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ona.carr/Desktop/Data/DATA ASSIGNMENT 2/Data Story/data/"/>
    </mc:Choice>
  </mc:AlternateContent>
  <xr:revisionPtr revIDLastSave="0" documentId="8_{A5335FB0-1E86-4843-A20F-8A833A129914}" xr6:coauthVersionLast="47" xr6:coauthVersionMax="47" xr10:uidLastSave="{00000000-0000-0000-0000-000000000000}"/>
  <bookViews>
    <workbookView xWindow="39880" yWindow="2260" windowWidth="27120" windowHeight="17020" activeTab="2" xr2:uid="{00000000-000D-0000-FFFF-FFFF00000000}"/>
  </bookViews>
  <sheets>
    <sheet name="HNY_CB1_filter" sheetId="1" state="hidden" r:id="rId1"/>
    <sheet name="HNY_CB1_raw1" sheetId="2" r:id="rId2"/>
    <sheet name="SUMMARY - FINAL " sheetId="12" r:id="rId3"/>
    <sheet name="CB_income" sheetId="3" state="hidden" r:id="rId4"/>
    <sheet name="AMI_referenc xe" sheetId="4" state="hidden" r:id="rId5"/>
    <sheet name="AMI_reference " sheetId="5" state="hidden" r:id="rId6"/>
    <sheet name="Summary" sheetId="6" state="hidden" r:id="rId7"/>
    <sheet name="New Data" sheetId="10" state="hidden" r:id="rId8"/>
    <sheet name="AMI_reference" sheetId="7" state="hidden" r:id="rId9"/>
    <sheet name="Chart_Data" sheetId="8" state="hidden" r:id="rId10"/>
    <sheet name="AMI_rent_2BR" sheetId="9" state="hidden" r:id="rId11"/>
  </sheets>
  <definedNames>
    <definedName name="_xlnm._FilterDatabase" localSheetId="0" hidden="1">HNY_CB1_filter!$A$1:$AO$1332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2" l="1"/>
  <c r="K6" i="12"/>
  <c r="G6" i="12"/>
  <c r="D6" i="12"/>
  <c r="B6" i="12"/>
  <c r="C2" i="6" l="1"/>
  <c r="K2" i="6" s="1"/>
  <c r="M6" i="6"/>
  <c r="N6" i="6" s="1"/>
  <c r="M5" i="6"/>
  <c r="N5" i="6" s="1"/>
  <c r="M4" i="6"/>
  <c r="C4" i="8" s="1"/>
  <c r="M3" i="6"/>
  <c r="B2" i="8"/>
  <c r="A6" i="8"/>
  <c r="A5" i="8"/>
  <c r="A4" i="8"/>
  <c r="A3" i="8"/>
  <c r="A2" i="8"/>
  <c r="C6" i="8"/>
  <c r="L6" i="6"/>
  <c r="B6" i="8" s="1"/>
  <c r="G6" i="6"/>
  <c r="F6" i="6"/>
  <c r="E6" i="6"/>
  <c r="D6" i="6"/>
  <c r="C6" i="6"/>
  <c r="K6" i="6" s="1"/>
  <c r="B6" i="6"/>
  <c r="L5" i="6"/>
  <c r="B5" i="8" s="1"/>
  <c r="K5" i="6"/>
  <c r="J5" i="6"/>
  <c r="I5" i="6"/>
  <c r="G5" i="6"/>
  <c r="F5" i="6"/>
  <c r="E5" i="6"/>
  <c r="D5" i="6"/>
  <c r="C5" i="6"/>
  <c r="H5" i="6" s="1"/>
  <c r="B5" i="6"/>
  <c r="L4" i="6"/>
  <c r="B4" i="8" s="1"/>
  <c r="G4" i="6"/>
  <c r="K4" i="6" s="1"/>
  <c r="F4" i="6"/>
  <c r="J4" i="6" s="1"/>
  <c r="E4" i="6"/>
  <c r="I4" i="6" s="1"/>
  <c r="D4" i="6"/>
  <c r="H4" i="6" s="1"/>
  <c r="C4" i="6"/>
  <c r="B4" i="6"/>
  <c r="L3" i="6"/>
  <c r="B3" i="8" s="1"/>
  <c r="G3" i="6"/>
  <c r="F3" i="6"/>
  <c r="E3" i="6"/>
  <c r="D3" i="6"/>
  <c r="C3" i="6"/>
  <c r="B3" i="6"/>
  <c r="L2" i="6"/>
  <c r="G2" i="6"/>
  <c r="F2" i="6"/>
  <c r="E2" i="6"/>
  <c r="D2" i="6"/>
  <c r="B2" i="6"/>
  <c r="J7" i="2"/>
  <c r="J6" i="2"/>
  <c r="J5" i="2"/>
  <c r="J4" i="2"/>
  <c r="J3" i="2"/>
  <c r="J2" i="2"/>
  <c r="N3" i="6" l="1"/>
  <c r="H3" i="6"/>
  <c r="M2" i="6"/>
  <c r="C5" i="8"/>
  <c r="N4" i="6"/>
  <c r="I3" i="6"/>
  <c r="H2" i="6"/>
  <c r="H6" i="6"/>
  <c r="K3" i="6"/>
  <c r="I2" i="6"/>
  <c r="C3" i="8"/>
  <c r="I6" i="6"/>
  <c r="J2" i="6"/>
  <c r="J6" i="6"/>
  <c r="J3" i="6"/>
  <c r="C2" i="8" l="1"/>
  <c r="N2" i="6"/>
</calcChain>
</file>

<file path=xl/sharedStrings.xml><?xml version="1.0" encoding="utf-8"?>
<sst xmlns="http://schemas.openxmlformats.org/spreadsheetml/2006/main" count="14700" uniqueCount="2303">
  <si>
    <t>Project ID</t>
  </si>
  <si>
    <t>Project Name</t>
  </si>
  <si>
    <t>Project Start Date</t>
  </si>
  <si>
    <t>Project Completion Date</t>
  </si>
  <si>
    <t>Building ID</t>
  </si>
  <si>
    <t>Number</t>
  </si>
  <si>
    <t>Street</t>
  </si>
  <si>
    <t>Borough</t>
  </si>
  <si>
    <t>Postcode</t>
  </si>
  <si>
    <t>BBL</t>
  </si>
  <si>
    <t>BIN</t>
  </si>
  <si>
    <t>Community Board</t>
  </si>
  <si>
    <t>Council District</t>
  </si>
  <si>
    <t>Census Tract</t>
  </si>
  <si>
    <t>NTA - Neighborhood Tabulation Area</t>
  </si>
  <si>
    <t>Latitude</t>
  </si>
  <si>
    <t>Longitude</t>
  </si>
  <si>
    <t>Latitude (Internal)</t>
  </si>
  <si>
    <t>Longitude (Internal)</t>
  </si>
  <si>
    <t>Building Completion Date</t>
  </si>
  <si>
    <t>Reporting Construction Type</t>
  </si>
  <si>
    <t>Extended Affordability Only</t>
  </si>
  <si>
    <t>Prevailing Wage Status</t>
  </si>
  <si>
    <t>Extremely Low Income Units</t>
  </si>
  <si>
    <t>Very Low Income Units</t>
  </si>
  <si>
    <t>Low Income Units</t>
  </si>
  <si>
    <t>Moderate Income Units</t>
  </si>
  <si>
    <t>Middle Income Units</t>
  </si>
  <si>
    <t>Other Income Units</t>
  </si>
  <si>
    <t>Studio Units</t>
  </si>
  <si>
    <t>1-BR Units</t>
  </si>
  <si>
    <t>2-BR Units</t>
  </si>
  <si>
    <t>3-BR Units</t>
  </si>
  <si>
    <t>4-BR Units</t>
  </si>
  <si>
    <t>5-BR Units</t>
  </si>
  <si>
    <t>6-BR+ Units</t>
  </si>
  <si>
    <t>Unknown-BR Units</t>
  </si>
  <si>
    <t>Counted Rental Units</t>
  </si>
  <si>
    <t>Counted Homeownership Units</t>
  </si>
  <si>
    <t>All Counted Units</t>
  </si>
  <si>
    <t>Total Units</t>
  </si>
  <si>
    <t>74488</t>
  </si>
  <si>
    <t>MORNINGSIDE HEIGHTS III. HPO.FY25</t>
  </si>
  <si>
    <t>106</t>
  </si>
  <si>
    <t>WEST 105 STREET</t>
  </si>
  <si>
    <t>Manhattan</t>
  </si>
  <si>
    <t>MN-07</t>
  </si>
  <si>
    <t>189</t>
  </si>
  <si>
    <t>MN0703</t>
  </si>
  <si>
    <t>Preservation</t>
  </si>
  <si>
    <t>Yes</t>
  </si>
  <si>
    <t>Non Prevailing Wage</t>
  </si>
  <si>
    <t>123</t>
  </si>
  <si>
    <t>WEST 106 STREET</t>
  </si>
  <si>
    <t>193</t>
  </si>
  <si>
    <t>125</t>
  </si>
  <si>
    <t>127</t>
  </si>
  <si>
    <t>203</t>
  </si>
  <si>
    <t>WEST 108 STREET</t>
  </si>
  <si>
    <t>195</t>
  </si>
  <si>
    <t>76578</t>
  </si>
  <si>
    <t>PUEBLO NUEVO.HUDMF.FY25</t>
  </si>
  <si>
    <t>210</t>
  </si>
  <si>
    <t>STANTON STREET</t>
  </si>
  <si>
    <t>MN-03</t>
  </si>
  <si>
    <t>2201</t>
  </si>
  <si>
    <t>MN0302</t>
  </si>
  <si>
    <t>76639</t>
  </si>
  <si>
    <t>WEST 104TH STREET.HUDMF.FY25</t>
  </si>
  <si>
    <t>82</t>
  </si>
  <si>
    <t>MANHATTAN AVENUE</t>
  </si>
  <si>
    <t>No</t>
  </si>
  <si>
    <t>73</t>
  </si>
  <si>
    <t>WEST 104 STREET</t>
  </si>
  <si>
    <t>74451</t>
  </si>
  <si>
    <t>45TH STREET HOUSING PARTNERS LLC.PLP.FY25</t>
  </si>
  <si>
    <t>357</t>
  </si>
  <si>
    <t>WEST 45 STREET</t>
  </si>
  <si>
    <t>MN-04</t>
  </si>
  <si>
    <t>12101</t>
  </si>
  <si>
    <t>MN0402</t>
  </si>
  <si>
    <t>351</t>
  </si>
  <si>
    <t>353</t>
  </si>
  <si>
    <t>355</t>
  </si>
  <si>
    <t>74487</t>
  </si>
  <si>
    <t>MORNINGSIDE HEIGHTS II.HPO.FY25</t>
  </si>
  <si>
    <t>929</t>
  </si>
  <si>
    <t>AMSTERDAM AVENUE</t>
  </si>
  <si>
    <t>931</t>
  </si>
  <si>
    <t>933</t>
  </si>
  <si>
    <t>965</t>
  </si>
  <si>
    <t>969</t>
  </si>
  <si>
    <t>971</t>
  </si>
  <si>
    <t>165</t>
  </si>
  <si>
    <t>120</t>
  </si>
  <si>
    <t>169</t>
  </si>
  <si>
    <t>74974</t>
  </si>
  <si>
    <t>MASARYK TOWERS.HRP.FY25</t>
  </si>
  <si>
    <t>51</t>
  </si>
  <si>
    <t>COLUMBIA STREET</t>
  </si>
  <si>
    <t>71</t>
  </si>
  <si>
    <t>75</t>
  </si>
  <si>
    <t>85</t>
  </si>
  <si>
    <t>73351</t>
  </si>
  <si>
    <t>TMN302G 1772 SECOND AVENUE - PASSAGEWAY WORK</t>
  </si>
  <si>
    <t>1772</t>
  </si>
  <si>
    <t>2 AVENUE</t>
  </si>
  <si>
    <t>MN-08</t>
  </si>
  <si>
    <t>15402</t>
  </si>
  <si>
    <t>MN0803</t>
  </si>
  <si>
    <t>77126</t>
  </si>
  <si>
    <t>205 CABRINI BLVD APARTMENTS</t>
  </si>
  <si>
    <t>201</t>
  </si>
  <si>
    <t>CABRINI BOULEVARD</t>
  </si>
  <si>
    <t>MN-12</t>
  </si>
  <si>
    <t>273</t>
  </si>
  <si>
    <t>MN1202</t>
  </si>
  <si>
    <t>New Construction</t>
  </si>
  <si>
    <t>75525</t>
  </si>
  <si>
    <t>GRAND ST. GUILD. 145 BROOME ST</t>
  </si>
  <si>
    <t>145</t>
  </si>
  <si>
    <t>BROOME STREET</t>
  </si>
  <si>
    <t>1402</t>
  </si>
  <si>
    <t>Prevailing Wage</t>
  </si>
  <si>
    <t>75177</t>
  </si>
  <si>
    <t>170 EAST 83RD STREET.HPO.FY25</t>
  </si>
  <si>
    <t>170</t>
  </si>
  <si>
    <t>EAST 83 STREET</t>
  </si>
  <si>
    <t>140</t>
  </si>
  <si>
    <t>MN0802</t>
  </si>
  <si>
    <t>75539</t>
  </si>
  <si>
    <t>MCKENNA SQUARE APARTMENTS.HUDMF.FY25</t>
  </si>
  <si>
    <t>2101</t>
  </si>
  <si>
    <t>24301</t>
  </si>
  <si>
    <t>MN1201</t>
  </si>
  <si>
    <t>11</t>
  </si>
  <si>
    <t>AUDUBON AVENUE</t>
  </si>
  <si>
    <t>251</t>
  </si>
  <si>
    <t>2134</t>
  </si>
  <si>
    <t>76950</t>
  </si>
  <si>
    <t>CONFIDENTIAL</t>
  </si>
  <si>
    <t>----</t>
  </si>
  <si>
    <t>77109</t>
  </si>
  <si>
    <t>217 WEST 123RD STREET APARTMENTS</t>
  </si>
  <si>
    <t>217</t>
  </si>
  <si>
    <t>WEST 123 STREET</t>
  </si>
  <si>
    <t>MN-10</t>
  </si>
  <si>
    <t>222</t>
  </si>
  <si>
    <t>MN1001</t>
  </si>
  <si>
    <t>76205</t>
  </si>
  <si>
    <t>180 EAST 125TH STREET</t>
  </si>
  <si>
    <t>180</t>
  </si>
  <si>
    <t>EAST 125 STREET</t>
  </si>
  <si>
    <t>MN-11</t>
  </si>
  <si>
    <t>196</t>
  </si>
  <si>
    <t>MN1102</t>
  </si>
  <si>
    <t>76892</t>
  </si>
  <si>
    <t>77172</t>
  </si>
  <si>
    <t>WESTBETH</t>
  </si>
  <si>
    <t>445</t>
  </si>
  <si>
    <t>WEST STREET</t>
  </si>
  <si>
    <t>MN-02</t>
  </si>
  <si>
    <t>79</t>
  </si>
  <si>
    <t>MN0203</t>
  </si>
  <si>
    <t>76819</t>
  </si>
  <si>
    <t>MN-06</t>
  </si>
  <si>
    <t>77118</t>
  </si>
  <si>
    <t>1440 AMSTERDAM AVENUE</t>
  </si>
  <si>
    <t>1440</t>
  </si>
  <si>
    <t>MN-09</t>
  </si>
  <si>
    <t>219</t>
  </si>
  <si>
    <t>MN0902</t>
  </si>
  <si>
    <t>77117</t>
  </si>
  <si>
    <t>2903 FREDERICK DOUGLASS BLVD APARTMENTS</t>
  </si>
  <si>
    <t>2903</t>
  </si>
  <si>
    <t>FREDERICK DOUGLASS BOULEVARD</t>
  </si>
  <si>
    <t>23502</t>
  </si>
  <si>
    <t>MN1002</t>
  </si>
  <si>
    <t>77062</t>
  </si>
  <si>
    <t>335 8TH AVENUE</t>
  </si>
  <si>
    <t>323</t>
  </si>
  <si>
    <t>8 AVENUE</t>
  </si>
  <si>
    <t>97</t>
  </si>
  <si>
    <t>MN0401</t>
  </si>
  <si>
    <t>77059</t>
  </si>
  <si>
    <t>1471 AMSTERDAM AVENUE</t>
  </si>
  <si>
    <t>1471</t>
  </si>
  <si>
    <t>21303</t>
  </si>
  <si>
    <t>77056</t>
  </si>
  <si>
    <t>1975 MADISON AVENUE</t>
  </si>
  <si>
    <t>1971</t>
  </si>
  <si>
    <t>MADISON AVENUE</t>
  </si>
  <si>
    <t>206</t>
  </si>
  <si>
    <t>74709</t>
  </si>
  <si>
    <t>73 LOISAIDA HDFC.PLP.FY25 (73 AVENUE C)</t>
  </si>
  <si>
    <t>AVENUE C</t>
  </si>
  <si>
    <t>2601</t>
  </si>
  <si>
    <t>MN0303</t>
  </si>
  <si>
    <t>75990</t>
  </si>
  <si>
    <t>622 11TH AVENUE</t>
  </si>
  <si>
    <t>622</t>
  </si>
  <si>
    <t>11 AVENUE</t>
  </si>
  <si>
    <t>12901</t>
  </si>
  <si>
    <t>76722</t>
  </si>
  <si>
    <t>185 CHRYSTIE STREET APARTMENTS</t>
  </si>
  <si>
    <t>185</t>
  </si>
  <si>
    <t>CHRYSTIE STREET</t>
  </si>
  <si>
    <t>3601</t>
  </si>
  <si>
    <t>76779</t>
  </si>
  <si>
    <t>555 WEST 45 STREET</t>
  </si>
  <si>
    <t>616</t>
  </si>
  <si>
    <t>76765</t>
  </si>
  <si>
    <t>55 BROAD STREET</t>
  </si>
  <si>
    <t>49</t>
  </si>
  <si>
    <t>BROAD STREET</t>
  </si>
  <si>
    <t>MN-01</t>
  </si>
  <si>
    <t>9</t>
  </si>
  <si>
    <t>MN0101</t>
  </si>
  <si>
    <t>75499</t>
  </si>
  <si>
    <t>142 WEST 139TH ST.HPO.FY25</t>
  </si>
  <si>
    <t>142</t>
  </si>
  <si>
    <t>WEST 139 STREET</t>
  </si>
  <si>
    <t>230</t>
  </si>
  <si>
    <t>76741</t>
  </si>
  <si>
    <t>280 8 AVENUE APARTMENTS</t>
  </si>
  <si>
    <t>280</t>
  </si>
  <si>
    <t>91</t>
  </si>
  <si>
    <t>74863</t>
  </si>
  <si>
    <t>TMN209G-1 644 RIVERSIDE (LOAN INCREASE)</t>
  </si>
  <si>
    <t>644</t>
  </si>
  <si>
    <t>RIVERSIDE DRIVE</t>
  </si>
  <si>
    <t>225</t>
  </si>
  <si>
    <t>MN0903</t>
  </si>
  <si>
    <t>76562</t>
  </si>
  <si>
    <t>70212</t>
  </si>
  <si>
    <t>534 3RD AVENUE</t>
  </si>
  <si>
    <t>534</t>
  </si>
  <si>
    <t>3 AVENUE</t>
  </si>
  <si>
    <t>80</t>
  </si>
  <si>
    <t>MN0603</t>
  </si>
  <si>
    <t>74296</t>
  </si>
  <si>
    <t>SALEM HOUSE.YR15.FY25</t>
  </si>
  <si>
    <t>2185</t>
  </si>
  <si>
    <t>ADAM C POWELL JR BOULEVARD</t>
  </si>
  <si>
    <t>224</t>
  </si>
  <si>
    <t>76478</t>
  </si>
  <si>
    <t>76751</t>
  </si>
  <si>
    <t>402 WEST 126 STREET APARTMENTS</t>
  </si>
  <si>
    <t>402</t>
  </si>
  <si>
    <t>WEST 126 STREET</t>
  </si>
  <si>
    <t>20901</t>
  </si>
  <si>
    <t>MN0901</t>
  </si>
  <si>
    <t>77170</t>
  </si>
  <si>
    <t>JERICHO HOUSE</t>
  </si>
  <si>
    <t>2013</t>
  </si>
  <si>
    <t>ADAM C POWELL BOULEVARD</t>
  </si>
  <si>
    <t>220</t>
  </si>
  <si>
    <t>76434</t>
  </si>
  <si>
    <t>463 WEST 125TH STREET APARTMENTS</t>
  </si>
  <si>
    <t>463</t>
  </si>
  <si>
    <t>WEST 125 STREET</t>
  </si>
  <si>
    <t>61846</t>
  </si>
  <si>
    <t>PARK AVE - E 129 STREET CLUSTER</t>
  </si>
  <si>
    <t>EAST 129 STREET</t>
  </si>
  <si>
    <t>1263</t>
  </si>
  <si>
    <t>PARK AVENUE</t>
  </si>
  <si>
    <t>15802</t>
  </si>
  <si>
    <t>MN1101</t>
  </si>
  <si>
    <t>61640</t>
  </si>
  <si>
    <t>VINCENT P CYRUS.YR15.FY25</t>
  </si>
  <si>
    <t>57</t>
  </si>
  <si>
    <t>EAST 128 STREET</t>
  </si>
  <si>
    <t>70595</t>
  </si>
  <si>
    <t>RENAISSANCE HDFC.HPO.FY25</t>
  </si>
  <si>
    <t>LENOX AVENUE</t>
  </si>
  <si>
    <t>190</t>
  </si>
  <si>
    <t>76349</t>
  </si>
  <si>
    <t>25 WATER STREET</t>
  </si>
  <si>
    <t>25</t>
  </si>
  <si>
    <t>WATER STREET</t>
  </si>
  <si>
    <t>71443</t>
  </si>
  <si>
    <t>FORTUNE SOCIETY. 256-258 WEST 97TH ST</t>
  </si>
  <si>
    <t>256</t>
  </si>
  <si>
    <t>WEST 97 STREET</t>
  </si>
  <si>
    <t>183</t>
  </si>
  <si>
    <t>MN0702</t>
  </si>
  <si>
    <t>73533</t>
  </si>
  <si>
    <t>PETER JAY SHARP.YR15.FY25</t>
  </si>
  <si>
    <t>223</t>
  </si>
  <si>
    <t>EAST 117 STREET</t>
  </si>
  <si>
    <t>188</t>
  </si>
  <si>
    <t>75409</t>
  </si>
  <si>
    <t>BG. 1760 THIRD AVE - CONSTRUCTION CLOSING</t>
  </si>
  <si>
    <t>1768</t>
  </si>
  <si>
    <t>75549</t>
  </si>
  <si>
    <t>MORNINGSIDE I.HUDMF.FY25</t>
  </si>
  <si>
    <t>20</t>
  </si>
  <si>
    <t>MORNINGSIDE AVENUE</t>
  </si>
  <si>
    <t>20102</t>
  </si>
  <si>
    <t>369</t>
  </si>
  <si>
    <t>WEST 116 STREET</t>
  </si>
  <si>
    <t>72745</t>
  </si>
  <si>
    <t>THE BRIDGE. 39 WEST 128 STREET</t>
  </si>
  <si>
    <t>37</t>
  </si>
  <si>
    <t>WEST 128 STREET</t>
  </si>
  <si>
    <t>208</t>
  </si>
  <si>
    <t>75051</t>
  </si>
  <si>
    <t>CATHEDRAL PARKWAY &amp; MID-HARLEM.YR15.FY25</t>
  </si>
  <si>
    <t>2246</t>
  </si>
  <si>
    <t>226</t>
  </si>
  <si>
    <t>2423</t>
  </si>
  <si>
    <t>2084</t>
  </si>
  <si>
    <t>216</t>
  </si>
  <si>
    <t>212</t>
  </si>
  <si>
    <t>WEST 111 STREET</t>
  </si>
  <si>
    <t>267</t>
  </si>
  <si>
    <t>WEST 113 STREET</t>
  </si>
  <si>
    <t>WEST 115 STREET</t>
  </si>
  <si>
    <t>218</t>
  </si>
  <si>
    <t>235</t>
  </si>
  <si>
    <t>231</t>
  </si>
  <si>
    <t>WEST 134 STREET</t>
  </si>
  <si>
    <t>228</t>
  </si>
  <si>
    <t>241</t>
  </si>
  <si>
    <t>WEST 135 STREET</t>
  </si>
  <si>
    <t>67</t>
  </si>
  <si>
    <t>WEST 137 STREET</t>
  </si>
  <si>
    <t>76200</t>
  </si>
  <si>
    <t>73472</t>
  </si>
  <si>
    <t>185 CHRYSTIE STREET</t>
  </si>
  <si>
    <t>76207</t>
  </si>
  <si>
    <t>75374</t>
  </si>
  <si>
    <t>UPACA / 1900 LEXINGTON.YR15.FY25</t>
  </si>
  <si>
    <t>1900</t>
  </si>
  <si>
    <t>LEXINGTON AVENUE</t>
  </si>
  <si>
    <t>182</t>
  </si>
  <si>
    <t>76424</t>
  </si>
  <si>
    <t>MAISON78</t>
  </si>
  <si>
    <t>1487</t>
  </si>
  <si>
    <t>1 AVENUE</t>
  </si>
  <si>
    <t>134</t>
  </si>
  <si>
    <t>MN0801</t>
  </si>
  <si>
    <t>74485</t>
  </si>
  <si>
    <t>RACHEL BRIDGE HDFC.HPO.FY25</t>
  </si>
  <si>
    <t>1360</t>
  </si>
  <si>
    <t>ST NICHOLAS AVENUE</t>
  </si>
  <si>
    <t>261</t>
  </si>
  <si>
    <t>101</t>
  </si>
  <si>
    <t>WADSWORTH AVENUE</t>
  </si>
  <si>
    <t>263</t>
  </si>
  <si>
    <t>258</t>
  </si>
  <si>
    <t>1361</t>
  </si>
  <si>
    <t>76387</t>
  </si>
  <si>
    <t>88 MARBLE HILL AVENUE</t>
  </si>
  <si>
    <t>86</t>
  </si>
  <si>
    <t>MARBLE HILL AVENUE</t>
  </si>
  <si>
    <t>309</t>
  </si>
  <si>
    <t>BX0802</t>
  </si>
  <si>
    <t>88</t>
  </si>
  <si>
    <t>67035</t>
  </si>
  <si>
    <t>LAS RAICES</t>
  </si>
  <si>
    <t>1761</t>
  </si>
  <si>
    <t>507</t>
  </si>
  <si>
    <t>EAST 118 STREET</t>
  </si>
  <si>
    <t>178</t>
  </si>
  <si>
    <t>338</t>
  </si>
  <si>
    <t>303</t>
  </si>
  <si>
    <t>EAST 102 STREET</t>
  </si>
  <si>
    <t>164</t>
  </si>
  <si>
    <t>76149</t>
  </si>
  <si>
    <t>76168</t>
  </si>
  <si>
    <t>67209</t>
  </si>
  <si>
    <t>BRIDGE COALITION L.P.YR15.FY25</t>
  </si>
  <si>
    <t>EAST 124 STREET</t>
  </si>
  <si>
    <t>194</t>
  </si>
  <si>
    <t>75995</t>
  </si>
  <si>
    <t>76415</t>
  </si>
  <si>
    <t>2371 8 AVENUE APARTMENTS</t>
  </si>
  <si>
    <t>2371</t>
  </si>
  <si>
    <t>215</t>
  </si>
  <si>
    <t>76303</t>
  </si>
  <si>
    <t>2171 FREDERICK DOUGLASS BLVD</t>
  </si>
  <si>
    <t>2171</t>
  </si>
  <si>
    <t>75450</t>
  </si>
  <si>
    <t>METROCOURT.HUDMF.FY25</t>
  </si>
  <si>
    <t>1952</t>
  </si>
  <si>
    <t>71923</t>
  </si>
  <si>
    <t>MANHATTAN - 5055 BROADWAY_MIH71658</t>
  </si>
  <si>
    <t>5055</t>
  </si>
  <si>
    <t>BROADWAY</t>
  </si>
  <si>
    <t>307</t>
  </si>
  <si>
    <t>MN1203</t>
  </si>
  <si>
    <t>75832</t>
  </si>
  <si>
    <t>76256</t>
  </si>
  <si>
    <t>563 WEST 170TH STREET</t>
  </si>
  <si>
    <t>563</t>
  </si>
  <si>
    <t>WEST 170 STREET</t>
  </si>
  <si>
    <t>253</t>
  </si>
  <si>
    <t>71513</t>
  </si>
  <si>
    <t>GEFFNER HOUSE II.YR15.FY24</t>
  </si>
  <si>
    <t>WEST 42 STREET</t>
  </si>
  <si>
    <t>72814</t>
  </si>
  <si>
    <t>JONATHAN ROSE. 570 WASHINGTON STREET</t>
  </si>
  <si>
    <t>570</t>
  </si>
  <si>
    <t>WASHINGTON STREET</t>
  </si>
  <si>
    <t>69</t>
  </si>
  <si>
    <t>71950</t>
  </si>
  <si>
    <t>WHGA AMSTERDAM-GARVEY.YR15.FY24</t>
  </si>
  <si>
    <t>1455</t>
  </si>
  <si>
    <t>1457</t>
  </si>
  <si>
    <t>1459</t>
  </si>
  <si>
    <t>1524</t>
  </si>
  <si>
    <t>22301</t>
  </si>
  <si>
    <t>1528</t>
  </si>
  <si>
    <t>1648</t>
  </si>
  <si>
    <t>1652</t>
  </si>
  <si>
    <t>500</t>
  </si>
  <si>
    <t>WEST 142 STREET</t>
  </si>
  <si>
    <t>476</t>
  </si>
  <si>
    <t>WEST 143 STREET</t>
  </si>
  <si>
    <t>227</t>
  </si>
  <si>
    <t>625</t>
  </si>
  <si>
    <t>629</t>
  </si>
  <si>
    <t>633</t>
  </si>
  <si>
    <t>641</t>
  </si>
  <si>
    <t>232</t>
  </si>
  <si>
    <t>653</t>
  </si>
  <si>
    <t>115</t>
  </si>
  <si>
    <t>WEST 129 STREET</t>
  </si>
  <si>
    <t>119</t>
  </si>
  <si>
    <t>121</t>
  </si>
  <si>
    <t>138</t>
  </si>
  <si>
    <t>158</t>
  </si>
  <si>
    <t>135</t>
  </si>
  <si>
    <t>WEST 131 STREET</t>
  </si>
  <si>
    <t>102</t>
  </si>
  <si>
    <t>131</t>
  </si>
  <si>
    <t>502</t>
  </si>
  <si>
    <t>513</t>
  </si>
  <si>
    <t>WEST 145 STREET</t>
  </si>
  <si>
    <t>229</t>
  </si>
  <si>
    <t>152</t>
  </si>
  <si>
    <t>W. 129TH STREET</t>
  </si>
  <si>
    <t>70589</t>
  </si>
  <si>
    <t>NEW SENATE RESIDENCES.YR15.FY24</t>
  </si>
  <si>
    <t>WEST 92 STREET</t>
  </si>
  <si>
    <t>179</t>
  </si>
  <si>
    <t>73874</t>
  </si>
  <si>
    <t>2005 3RD AVENUE</t>
  </si>
  <si>
    <t>2005</t>
  </si>
  <si>
    <t>75664</t>
  </si>
  <si>
    <t>4650 BROADWAY</t>
  </si>
  <si>
    <t>4650</t>
  </si>
  <si>
    <t>287</t>
  </si>
  <si>
    <t>75063</t>
  </si>
  <si>
    <t>LENOXVILLE.HUDMF.FY24</t>
  </si>
  <si>
    <t>186</t>
  </si>
  <si>
    <t>30</t>
  </si>
  <si>
    <t>69296</t>
  </si>
  <si>
    <t>WEST 120-126 STREET CLUSTER</t>
  </si>
  <si>
    <t>2350</t>
  </si>
  <si>
    <t>204</t>
  </si>
  <si>
    <t>WEST 120 STREET</t>
  </si>
  <si>
    <t>150</t>
  </si>
  <si>
    <t>WEST 121 STREET</t>
  </si>
  <si>
    <t>305</t>
  </si>
  <si>
    <t>73485</t>
  </si>
  <si>
    <t>COALITION HOUSES YR15.FY24</t>
  </si>
  <si>
    <t>166</t>
  </si>
  <si>
    <t>WEST 77 STREET</t>
  </si>
  <si>
    <t>161</t>
  </si>
  <si>
    <t>168</t>
  </si>
  <si>
    <t>74360</t>
  </si>
  <si>
    <t>WEST 107TH STREET.HUDMF.FY24</t>
  </si>
  <si>
    <t>14</t>
  </si>
  <si>
    <t>WEST 107 STREET</t>
  </si>
  <si>
    <t>75487</t>
  </si>
  <si>
    <t>75707</t>
  </si>
  <si>
    <t>4568 BROADWAY</t>
  </si>
  <si>
    <t>4560</t>
  </si>
  <si>
    <t>283</t>
  </si>
  <si>
    <t>74353</t>
  </si>
  <si>
    <t>TWO BRIDGES.HUDMF.FY24</t>
  </si>
  <si>
    <t>RUTGERS SLIP</t>
  </si>
  <si>
    <t>6</t>
  </si>
  <si>
    <t>MN0301</t>
  </si>
  <si>
    <t>69183</t>
  </si>
  <si>
    <t>HOUSING WORKS. 806 NINTH AVENUE. THE LIRIO</t>
  </si>
  <si>
    <t>364</t>
  </si>
  <si>
    <t>WEST 54 STREET</t>
  </si>
  <si>
    <t>133</t>
  </si>
  <si>
    <t>66956</t>
  </si>
  <si>
    <t>FORTUNE. 107-111 EAST 123RD STREET</t>
  </si>
  <si>
    <t>107-111</t>
  </si>
  <si>
    <t>EAST 123 STREET</t>
  </si>
  <si>
    <t>75289</t>
  </si>
  <si>
    <t>74710</t>
  </si>
  <si>
    <t>280 EAST HOUSTON STREET</t>
  </si>
  <si>
    <t>EAST HOUSTON STREET</t>
  </si>
  <si>
    <t>3002</t>
  </si>
  <si>
    <t>65470</t>
  </si>
  <si>
    <t>110 LENOX AVENUE CLUSTER</t>
  </si>
  <si>
    <t>128</t>
  </si>
  <si>
    <t>72</t>
  </si>
  <si>
    <t>WEST 119 STREET</t>
  </si>
  <si>
    <t>68264</t>
  </si>
  <si>
    <t>RIALTO WEST</t>
  </si>
  <si>
    <t>509</t>
  </si>
  <si>
    <t>WEST 48 STREET</t>
  </si>
  <si>
    <t>12902</t>
  </si>
  <si>
    <t>75235</t>
  </si>
  <si>
    <t>74438</t>
  </si>
  <si>
    <t>255 EAST 39TH STREET</t>
  </si>
  <si>
    <t>255</t>
  </si>
  <si>
    <t>EAST 39 STREET</t>
  </si>
  <si>
    <t>72709</t>
  </si>
  <si>
    <t>9 FORT WASHINGTON PHASE II</t>
  </si>
  <si>
    <t>FT WASHINGTON AVENUE</t>
  </si>
  <si>
    <t>247</t>
  </si>
  <si>
    <t>609</t>
  </si>
  <si>
    <t>WEST 158 STREET</t>
  </si>
  <si>
    <t>75048</t>
  </si>
  <si>
    <t>75392</t>
  </si>
  <si>
    <t>112 SEAMAN AVENUE</t>
  </si>
  <si>
    <t>112</t>
  </si>
  <si>
    <t>SEAMAN AVENUE</t>
  </si>
  <si>
    <t>295</t>
  </si>
  <si>
    <t>70530</t>
  </si>
  <si>
    <t>MHANY STELLA HEIGHTS LLC.PLP.FY24</t>
  </si>
  <si>
    <t>575</t>
  </si>
  <si>
    <t>WEST 155 STREET</t>
  </si>
  <si>
    <t>530</t>
  </si>
  <si>
    <t>WEST 178 STREET</t>
  </si>
  <si>
    <t>68209</t>
  </si>
  <si>
    <t>TMN1002-WEST HARLEM RENAISSANCE (INFINITE HORIZONS)</t>
  </si>
  <si>
    <t>1463</t>
  </si>
  <si>
    <t>621</t>
  </si>
  <si>
    <t>103</t>
  </si>
  <si>
    <t>WEST 141 STREET</t>
  </si>
  <si>
    <t>WEST 144 STREET</t>
  </si>
  <si>
    <t>533</t>
  </si>
  <si>
    <t>74464</t>
  </si>
  <si>
    <t>WHGA DUNBAR HDFC.HPO.FY24</t>
  </si>
  <si>
    <t>2816</t>
  </si>
  <si>
    <t>234</t>
  </si>
  <si>
    <t>2588</t>
  </si>
  <si>
    <t>7 AVENUE</t>
  </si>
  <si>
    <t>211</t>
  </si>
  <si>
    <t>WEST 149 STREET</t>
  </si>
  <si>
    <t>WEST 150 STREET</t>
  </si>
  <si>
    <t>70466</t>
  </si>
  <si>
    <t>PROJECT RENEWAL.225 E 45TH STREET.NEW PROVIDENCE</t>
  </si>
  <si>
    <t>EAST 45 STREET</t>
  </si>
  <si>
    <t>90</t>
  </si>
  <si>
    <t>MN0604</t>
  </si>
  <si>
    <t>74371</t>
  </si>
  <si>
    <t>SOJOURNER TRUTH.HUDMF.FY24</t>
  </si>
  <si>
    <t>921</t>
  </si>
  <si>
    <t>COLUMBUS AVENUE</t>
  </si>
  <si>
    <t>980</t>
  </si>
  <si>
    <t>988</t>
  </si>
  <si>
    <t>74539</t>
  </si>
  <si>
    <t>OGDEN PORTFOLIO HDFC.Y15.FY24</t>
  </si>
  <si>
    <t>NAGLE AVENUE</t>
  </si>
  <si>
    <t>291</t>
  </si>
  <si>
    <t>69648</t>
  </si>
  <si>
    <t>DOROTHY DAY HDFC.YR15.FY24</t>
  </si>
  <si>
    <t>583</t>
  </si>
  <si>
    <t>68973</t>
  </si>
  <si>
    <t>LIGHT HALL HDFC.GHPP.FY24</t>
  </si>
  <si>
    <t>528</t>
  </si>
  <si>
    <t>73843</t>
  </si>
  <si>
    <t>RED OAK.HUDMF.FY24</t>
  </si>
  <si>
    <t>149</t>
  </si>
  <si>
    <t>74254</t>
  </si>
  <si>
    <t>VILLA HERMOSA.HUDMF.FY24</t>
  </si>
  <si>
    <t>22</t>
  </si>
  <si>
    <t>EAST 108 STREET</t>
  </si>
  <si>
    <t>17401</t>
  </si>
  <si>
    <t>67998</t>
  </si>
  <si>
    <t>74803</t>
  </si>
  <si>
    <t>74845</t>
  </si>
  <si>
    <t>238 EAST 52ND STREET APARTMENTS</t>
  </si>
  <si>
    <t>EAST 52 STREET</t>
  </si>
  <si>
    <t>98</t>
  </si>
  <si>
    <t>73164</t>
  </si>
  <si>
    <t>ST. MATTHEW &amp; ST. TIMOTHY'S HDFC.HPO.FY23</t>
  </si>
  <si>
    <t>122</t>
  </si>
  <si>
    <t>WEST 83 STREET</t>
  </si>
  <si>
    <t>72808</t>
  </si>
  <si>
    <t>300 EAST 50TH STREET</t>
  </si>
  <si>
    <t>300</t>
  </si>
  <si>
    <t>EAST 50 STREET</t>
  </si>
  <si>
    <t>74489</t>
  </si>
  <si>
    <t>1026 THIRD AVENUE</t>
  </si>
  <si>
    <t>1026</t>
  </si>
  <si>
    <t>11402</t>
  </si>
  <si>
    <t>71425</t>
  </si>
  <si>
    <t>1984 THIRD AVENUE</t>
  </si>
  <si>
    <t>1984</t>
  </si>
  <si>
    <t>172</t>
  </si>
  <si>
    <t>74565</t>
  </si>
  <si>
    <t>699 EAST 6TH STREET</t>
  </si>
  <si>
    <t>2602</t>
  </si>
  <si>
    <t>74566</t>
  </si>
  <si>
    <t>351 EAST 10TH STREET</t>
  </si>
  <si>
    <t>EAST 10 STREET</t>
  </si>
  <si>
    <t>28</t>
  </si>
  <si>
    <t>72340</t>
  </si>
  <si>
    <t>MANHATTAN - 401 WEST 207TH STREET_MIH72311</t>
  </si>
  <si>
    <t>401</t>
  </si>
  <si>
    <t>WEST 207 STREET</t>
  </si>
  <si>
    <t>299</t>
  </si>
  <si>
    <t>74582</t>
  </si>
  <si>
    <t>645 EAST 9TH STREET</t>
  </si>
  <si>
    <t>645</t>
  </si>
  <si>
    <t>EAST 9 STREET</t>
  </si>
  <si>
    <t>61629</t>
  </si>
  <si>
    <t>PENCER HOUSE HDFC.YR15.FY24</t>
  </si>
  <si>
    <t>630</t>
  </si>
  <si>
    <t>EAST 6 STREET</t>
  </si>
  <si>
    <t>69911</t>
  </si>
  <si>
    <t>HAMILTON HEIGHTS II LLC.PLP.FY24 (HAMILTON HEIGHTS CLUSTER)</t>
  </si>
  <si>
    <t>110</t>
  </si>
  <si>
    <t>HAMILTON PLACE</t>
  </si>
  <si>
    <t>542</t>
  </si>
  <si>
    <t>WEST 140 STREET</t>
  </si>
  <si>
    <t>504</t>
  </si>
  <si>
    <t>531</t>
  </si>
  <si>
    <t>529</t>
  </si>
  <si>
    <t>74414</t>
  </si>
  <si>
    <t>74649</t>
  </si>
  <si>
    <t>521 WEST 134TH STREET APARTMENTS</t>
  </si>
  <si>
    <t>521</t>
  </si>
  <si>
    <t>74304</t>
  </si>
  <si>
    <t>74303</t>
  </si>
  <si>
    <t>74608</t>
  </si>
  <si>
    <t>336 EAST 112TH STREET</t>
  </si>
  <si>
    <t>336</t>
  </si>
  <si>
    <t>EAST 112 STREET</t>
  </si>
  <si>
    <t>73165</t>
  </si>
  <si>
    <t>PARADISE MANAGEMENT CLUSTER 1.HPO.FY23</t>
  </si>
  <si>
    <t>139</t>
  </si>
  <si>
    <t>143</t>
  </si>
  <si>
    <t>73166</t>
  </si>
  <si>
    <t>PARADISE MANAGEMENT CLUSTER 2.HPO.FY23</t>
  </si>
  <si>
    <t>611</t>
  </si>
  <si>
    <t>615</t>
  </si>
  <si>
    <t>617</t>
  </si>
  <si>
    <t>619</t>
  </si>
  <si>
    <t>70171</t>
  </si>
  <si>
    <t>SAINT FRANCIS PORTFOLIO.GHPP.FY23</t>
  </si>
  <si>
    <t>146</t>
  </si>
  <si>
    <t>81</t>
  </si>
  <si>
    <t>EAST 24 STREET</t>
  </si>
  <si>
    <t>MN-05</t>
  </si>
  <si>
    <t>68</t>
  </si>
  <si>
    <t>MN0602</t>
  </si>
  <si>
    <t>155</t>
  </si>
  <si>
    <t>WEST 22 STREET</t>
  </si>
  <si>
    <t>73371</t>
  </si>
  <si>
    <t>WEST 148TH STREET HEIGHLINER PORTFOLIO.HPO.FY23</t>
  </si>
  <si>
    <t>WEST 148 STREET</t>
  </si>
  <si>
    <t>72697</t>
  </si>
  <si>
    <t>230 EAST 88TH ST CORP.PLP.FY23 (ROSALIE MANNING)</t>
  </si>
  <si>
    <t>EAST 88 STREET</t>
  </si>
  <si>
    <t>14602</t>
  </si>
  <si>
    <t>70892</t>
  </si>
  <si>
    <t>CHELSEA RESIDENCE LIMITED PARTNERSHIP.YR15.FY23</t>
  </si>
  <si>
    <t>202</t>
  </si>
  <si>
    <t>WEST 24 STREET</t>
  </si>
  <si>
    <t>71289</t>
  </si>
  <si>
    <t>70493</t>
  </si>
  <si>
    <t>TAINO TOWERS PHASE 3.HUDMF.FY23</t>
  </si>
  <si>
    <t>2385</t>
  </si>
  <si>
    <t>2391</t>
  </si>
  <si>
    <t>2243</t>
  </si>
  <si>
    <t>EAST 122 STREET</t>
  </si>
  <si>
    <t>73507</t>
  </si>
  <si>
    <t>RENWICK GARDEN.HUDMF.FY23</t>
  </si>
  <si>
    <t>329</t>
  </si>
  <si>
    <t>EAST 28 STREET</t>
  </si>
  <si>
    <t>66</t>
  </si>
  <si>
    <t>72453</t>
  </si>
  <si>
    <t>GRAMERCY LEAF.YR15.FY23</t>
  </si>
  <si>
    <t>54</t>
  </si>
  <si>
    <t>74102</t>
  </si>
  <si>
    <t>74234</t>
  </si>
  <si>
    <t>101 MACOMBS PLACE</t>
  </si>
  <si>
    <t>MACOMBS PLACE</t>
  </si>
  <si>
    <t>236</t>
  </si>
  <si>
    <t>73193</t>
  </si>
  <si>
    <t>SITE 15 HEIGHLINER PORTFOLIO YR15.FY23</t>
  </si>
  <si>
    <t>205</t>
  </si>
  <si>
    <t>207</t>
  </si>
  <si>
    <t>209</t>
  </si>
  <si>
    <t>73372</t>
  </si>
  <si>
    <t>LENOX AVENUE HEIGHLINER PORTFOLIO.YR15.FY23</t>
  </si>
  <si>
    <t>359</t>
  </si>
  <si>
    <t>74100</t>
  </si>
  <si>
    <t>74209</t>
  </si>
  <si>
    <t>168 WEST 136 STREET APARTMENTS</t>
  </si>
  <si>
    <t>WEST 136 STREET</t>
  </si>
  <si>
    <t>73360</t>
  </si>
  <si>
    <t>GRAND STREET.HUDMF.FY23</t>
  </si>
  <si>
    <t>711</t>
  </si>
  <si>
    <t>65376</t>
  </si>
  <si>
    <t>PARK VALLEY &amp; SIMON BOLIVAR.YR15.FY23</t>
  </si>
  <si>
    <t>981</t>
  </si>
  <si>
    <t>113</t>
  </si>
  <si>
    <t>WEST 103 STREET</t>
  </si>
  <si>
    <t>8</t>
  </si>
  <si>
    <t>73895</t>
  </si>
  <si>
    <t>72169</t>
  </si>
  <si>
    <t>JAMES LENOX HOUSE</t>
  </si>
  <si>
    <t>EAST 73 STREET</t>
  </si>
  <si>
    <t>130</t>
  </si>
  <si>
    <t>73859</t>
  </si>
  <si>
    <t>73690</t>
  </si>
  <si>
    <t>1950 AMSTERDAM AVENUE APARMTENTS</t>
  </si>
  <si>
    <t>1950</t>
  </si>
  <si>
    <t>70816</t>
  </si>
  <si>
    <t>GODDARD. 235 W 107TH STREET. STEPHAN RUSSO RESIDENCE</t>
  </si>
  <si>
    <t>65254</t>
  </si>
  <si>
    <t>CB WHCO PORTFOLIO.YR15.FY23</t>
  </si>
  <si>
    <t>WEST 114 STREET</t>
  </si>
  <si>
    <t>104</t>
  </si>
  <si>
    <t>83</t>
  </si>
  <si>
    <t>157</t>
  </si>
  <si>
    <t>72364</t>
  </si>
  <si>
    <t>MANHATTAN - 4778 BROADWAY_MIH72087</t>
  </si>
  <si>
    <t>4778</t>
  </si>
  <si>
    <t>73730</t>
  </si>
  <si>
    <t>SUNROSE TOWER</t>
  </si>
  <si>
    <t>614</t>
  </si>
  <si>
    <t>WEST 153 STREET</t>
  </si>
  <si>
    <t>237</t>
  </si>
  <si>
    <t>62191</t>
  </si>
  <si>
    <t>NORTH COVE</t>
  </si>
  <si>
    <t>3875</t>
  </si>
  <si>
    <t>9 AVENUE</t>
  </si>
  <si>
    <t>66225</t>
  </si>
  <si>
    <t>MORNINGSIDE CLUSTER</t>
  </si>
  <si>
    <t>384</t>
  </si>
  <si>
    <t>494</t>
  </si>
  <si>
    <t>257</t>
  </si>
  <si>
    <t>63260</t>
  </si>
  <si>
    <t>ENNIS FRANCIS III B1</t>
  </si>
  <si>
    <t>WEST 124 STREET</t>
  </si>
  <si>
    <t>73153</t>
  </si>
  <si>
    <t>73159</t>
  </si>
  <si>
    <t>71952</t>
  </si>
  <si>
    <t>YORKVILLE GARDENS.HUDMF.FY23</t>
  </si>
  <si>
    <t>EAST 93 STREET</t>
  </si>
  <si>
    <t>15403</t>
  </si>
  <si>
    <t>73756</t>
  </si>
  <si>
    <t>440 E 115TH STREET APARTMENTS</t>
  </si>
  <si>
    <t>440</t>
  </si>
  <si>
    <t>EAST 115 STREET</t>
  </si>
  <si>
    <t>67528</t>
  </si>
  <si>
    <t>560 W. 165TH STREET HDFC.YR15.FY23</t>
  </si>
  <si>
    <t>3926</t>
  </si>
  <si>
    <t>245</t>
  </si>
  <si>
    <t>72783</t>
  </si>
  <si>
    <t>250 EAST 83 ST</t>
  </si>
  <si>
    <t>250</t>
  </si>
  <si>
    <t>72172</t>
  </si>
  <si>
    <t>141 WEST 73RD STREET</t>
  </si>
  <si>
    <t>141</t>
  </si>
  <si>
    <t>WEST 73 STREET</t>
  </si>
  <si>
    <t>MN0701</t>
  </si>
  <si>
    <t>74136</t>
  </si>
  <si>
    <t>1661 MADISON AVENUE APARTMENTS</t>
  </si>
  <si>
    <t>1661</t>
  </si>
  <si>
    <t>17402</t>
  </si>
  <si>
    <t>73033</t>
  </si>
  <si>
    <t>73252</t>
  </si>
  <si>
    <t>451 10TH AVENUE</t>
  </si>
  <si>
    <t>451</t>
  </si>
  <si>
    <t>10 AVENUE</t>
  </si>
  <si>
    <t>9903</t>
  </si>
  <si>
    <t>73761</t>
  </si>
  <si>
    <t>282 GRAND STREET APARTMENTS</t>
  </si>
  <si>
    <t>286</t>
  </si>
  <si>
    <t>GRAND STREET</t>
  </si>
  <si>
    <t>18</t>
  </si>
  <si>
    <t>71969</t>
  </si>
  <si>
    <t>1640 PARK AVENUE</t>
  </si>
  <si>
    <t>1638</t>
  </si>
  <si>
    <t>184</t>
  </si>
  <si>
    <t>69287</t>
  </si>
  <si>
    <t>TRINITY HOUSE</t>
  </si>
  <si>
    <t>100</t>
  </si>
  <si>
    <t>177</t>
  </si>
  <si>
    <t>72956</t>
  </si>
  <si>
    <t>72908</t>
  </si>
  <si>
    <t>72796</t>
  </si>
  <si>
    <t>72180</t>
  </si>
  <si>
    <t>405 WEST 206 STREET</t>
  </si>
  <si>
    <t>405</t>
  </si>
  <si>
    <t>WEST 206 STREET</t>
  </si>
  <si>
    <t>72182</t>
  </si>
  <si>
    <t>407 WEST 206 STREET</t>
  </si>
  <si>
    <t>407</t>
  </si>
  <si>
    <t>50204</t>
  </si>
  <si>
    <t>201-207 7TH AVENUE (ANCP)</t>
  </si>
  <si>
    <t>87</t>
  </si>
  <si>
    <t>66789</t>
  </si>
  <si>
    <t>JOE UPTOWN LLC - PHASE 1.YR15.FY22</t>
  </si>
  <si>
    <t>2851</t>
  </si>
  <si>
    <t>BRADHURST AVENUE</t>
  </si>
  <si>
    <t>107</t>
  </si>
  <si>
    <t>109</t>
  </si>
  <si>
    <t>111</t>
  </si>
  <si>
    <t>308</t>
  </si>
  <si>
    <t>WEST 151 STREET</t>
  </si>
  <si>
    <t>302</t>
  </si>
  <si>
    <t>WEST 152 STREET</t>
  </si>
  <si>
    <t>72581</t>
  </si>
  <si>
    <t>3333 BROADWAY</t>
  </si>
  <si>
    <t>3333A</t>
  </si>
  <si>
    <t>22302</t>
  </si>
  <si>
    <t>68134</t>
  </si>
  <si>
    <t>HCCI 144 STREET HDFC.HUDMF.FY22</t>
  </si>
  <si>
    <t>108</t>
  </si>
  <si>
    <t>67981</t>
  </si>
  <si>
    <t>GRAND STREET GUILD</t>
  </si>
  <si>
    <t>73227</t>
  </si>
  <si>
    <t>110 WEST 123RD STREET APARTMENTS</t>
  </si>
  <si>
    <t>71247</t>
  </si>
  <si>
    <t>2035 5TH AVENUE</t>
  </si>
  <si>
    <t>2035</t>
  </si>
  <si>
    <t>5 AVENUE</t>
  </si>
  <si>
    <t>198</t>
  </si>
  <si>
    <t>73277</t>
  </si>
  <si>
    <t>221 EAST 117TH STREET APARTMENTS</t>
  </si>
  <si>
    <t>221</t>
  </si>
  <si>
    <t>71822</t>
  </si>
  <si>
    <t>300 EAST 83RD STREET</t>
  </si>
  <si>
    <t>73206</t>
  </si>
  <si>
    <t>2750 &amp; 2754 FREDERICK DOUGLAS BOULEVARD APARTMENTS</t>
  </si>
  <si>
    <t>2750</t>
  </si>
  <si>
    <t>FREDERICK DOUGLASS BLVD</t>
  </si>
  <si>
    <t>2754</t>
  </si>
  <si>
    <t>71246</t>
  </si>
  <si>
    <t>339 W 38TH STREET</t>
  </si>
  <si>
    <t>341</t>
  </si>
  <si>
    <t>WEST 38 STREET</t>
  </si>
  <si>
    <t>52728</t>
  </si>
  <si>
    <t>SCATTERED SITES LP.YR15.FY22</t>
  </si>
  <si>
    <t>508</t>
  </si>
  <si>
    <t>WEST 159 STREET</t>
  </si>
  <si>
    <t>434</t>
  </si>
  <si>
    <t>WEST 164 STREET</t>
  </si>
  <si>
    <t>453</t>
  </si>
  <si>
    <t>WEST 168 STREET</t>
  </si>
  <si>
    <t>69912</t>
  </si>
  <si>
    <t>250 WEST HDFC.HPO.FY22 (CASSIOPEIA APTS - W 116 ST)</t>
  </si>
  <si>
    <t>246</t>
  </si>
  <si>
    <t>71012</t>
  </si>
  <si>
    <t>312 WEST 43RD STREET</t>
  </si>
  <si>
    <t>312</t>
  </si>
  <si>
    <t>WEST 43 STREET</t>
  </si>
  <si>
    <t>72395</t>
  </si>
  <si>
    <t>72372</t>
  </si>
  <si>
    <t>72466</t>
  </si>
  <si>
    <t>61-63 PITT STREET APARTMENTS</t>
  </si>
  <si>
    <t>61</t>
  </si>
  <si>
    <t>PITT STREET</t>
  </si>
  <si>
    <t>12</t>
  </si>
  <si>
    <t>67442</t>
  </si>
  <si>
    <t>505 WEST 134 STREET CLUSTER</t>
  </si>
  <si>
    <t>505</t>
  </si>
  <si>
    <t>523</t>
  </si>
  <si>
    <t>527</t>
  </si>
  <si>
    <t>68803</t>
  </si>
  <si>
    <t>TURIN HOUSE HDFC.PLP.FY22</t>
  </si>
  <si>
    <t>173</t>
  </si>
  <si>
    <t>68808</t>
  </si>
  <si>
    <t>HP 319-321 WEST 38TH STREET HDFC.HPO.FY22</t>
  </si>
  <si>
    <t>319</t>
  </si>
  <si>
    <t>72157</t>
  </si>
  <si>
    <t>73196</t>
  </si>
  <si>
    <t>1998 SECOND AVENUE APARTMENTS</t>
  </si>
  <si>
    <t>1998</t>
  </si>
  <si>
    <t>72192</t>
  </si>
  <si>
    <t>320 WEST 135TH STREET APARTMENTS</t>
  </si>
  <si>
    <t>320</t>
  </si>
  <si>
    <t>22102</t>
  </si>
  <si>
    <t>72664</t>
  </si>
  <si>
    <t>68747</t>
  </si>
  <si>
    <t>88 EAST 127TH STREET</t>
  </si>
  <si>
    <t>EAST 126 STREET</t>
  </si>
  <si>
    <t>72201</t>
  </si>
  <si>
    <t>469 CONVENT AVENUE APARTMENTS</t>
  </si>
  <si>
    <t>461</t>
  </si>
  <si>
    <t>CONVENT AVENUE</t>
  </si>
  <si>
    <t>23501</t>
  </si>
  <si>
    <t>65390</t>
  </si>
  <si>
    <t>81 - 95 LENOX AVENUE AKA CANAAN IV TOWERS</t>
  </si>
  <si>
    <t>95</t>
  </si>
  <si>
    <t>67895</t>
  </si>
  <si>
    <t>CLINTON TOWERS HOUSING CO INC.PLP.FY22</t>
  </si>
  <si>
    <t>540</t>
  </si>
  <si>
    <t>WEST 55 STREET</t>
  </si>
  <si>
    <t>13502</t>
  </si>
  <si>
    <t>64689</t>
  </si>
  <si>
    <t>NME III</t>
  </si>
  <si>
    <t>304</t>
  </si>
  <si>
    <t>259</t>
  </si>
  <si>
    <t>72206</t>
  </si>
  <si>
    <t>LYRA AT 555 WEST 38TH STREET</t>
  </si>
  <si>
    <t>555</t>
  </si>
  <si>
    <t>117</t>
  </si>
  <si>
    <t>66601</t>
  </si>
  <si>
    <t>266 WEST 96TH STREET</t>
  </si>
  <si>
    <t>270</t>
  </si>
  <si>
    <t>WEST 96 STREET</t>
  </si>
  <si>
    <t>71199</t>
  </si>
  <si>
    <t>REVIVE 103 HDFC</t>
  </si>
  <si>
    <t>160</t>
  </si>
  <si>
    <t>EAST 103 STREET</t>
  </si>
  <si>
    <t>68891</t>
  </si>
  <si>
    <t>LITTLE ITALY RESTORATION APARTMENTS (L.I.R.A.)</t>
  </si>
  <si>
    <t>13</t>
  </si>
  <si>
    <t>SPRING STREET</t>
  </si>
  <si>
    <t>43</t>
  </si>
  <si>
    <t>MN0201</t>
  </si>
  <si>
    <t>71206</t>
  </si>
  <si>
    <t>MADISON AVE</t>
  </si>
  <si>
    <t>47</t>
  </si>
  <si>
    <t>EAST 130 STREET</t>
  </si>
  <si>
    <t>2071</t>
  </si>
  <si>
    <t>70801</t>
  </si>
  <si>
    <t>550 TENTH AVENUE</t>
  </si>
  <si>
    <t>550</t>
  </si>
  <si>
    <t>71737</t>
  </si>
  <si>
    <t>68238</t>
  </si>
  <si>
    <t>606 WEST 30TH STREET</t>
  </si>
  <si>
    <t>606</t>
  </si>
  <si>
    <t>WEST 30 STREET</t>
  </si>
  <si>
    <t>9902</t>
  </si>
  <si>
    <t>72246</t>
  </si>
  <si>
    <t>26 SHERMAN RESIDENCE</t>
  </si>
  <si>
    <t>26</t>
  </si>
  <si>
    <t>SHERMAN AVENUE</t>
  </si>
  <si>
    <t>69133</t>
  </si>
  <si>
    <t>509 3RD AVENUE</t>
  </si>
  <si>
    <t>78</t>
  </si>
  <si>
    <t>71849</t>
  </si>
  <si>
    <t>2269 1ST AVENUE APARTMENTS</t>
  </si>
  <si>
    <t>340</t>
  </si>
  <si>
    <t>71689</t>
  </si>
  <si>
    <t>402 EAST 118 STREET APARTMENT</t>
  </si>
  <si>
    <t>71527</t>
  </si>
  <si>
    <t>71525</t>
  </si>
  <si>
    <t>71487</t>
  </si>
  <si>
    <t>7 DEY STREET</t>
  </si>
  <si>
    <t>68892</t>
  </si>
  <si>
    <t>WEST END. 15 W 118TH ST</t>
  </si>
  <si>
    <t>17</t>
  </si>
  <si>
    <t>WEST 118 STREET</t>
  </si>
  <si>
    <t>72263</t>
  </si>
  <si>
    <t>407 EAST 117TH STREET</t>
  </si>
  <si>
    <t>72265</t>
  </si>
  <si>
    <t>44 WEST 128TH STREET</t>
  </si>
  <si>
    <t>44</t>
  </si>
  <si>
    <t>71316</t>
  </si>
  <si>
    <t>68968</t>
  </si>
  <si>
    <t>EVERLASTING PINES HDFC</t>
  </si>
  <si>
    <t>96</t>
  </si>
  <si>
    <t>BAXTER STREET</t>
  </si>
  <si>
    <t>2901</t>
  </si>
  <si>
    <t>MN0102</t>
  </si>
  <si>
    <t>64543</t>
  </si>
  <si>
    <t>LOWER EAST SIDE CLUSTER</t>
  </si>
  <si>
    <t>406</t>
  </si>
  <si>
    <t>EAST 11 STREET</t>
  </si>
  <si>
    <t>34</t>
  </si>
  <si>
    <t>65358</t>
  </si>
  <si>
    <t>WEST 135TH ST. CLUSTER.YR15.FY21</t>
  </si>
  <si>
    <t>1453</t>
  </si>
  <si>
    <t>1732</t>
  </si>
  <si>
    <t>1747</t>
  </si>
  <si>
    <t>510</t>
  </si>
  <si>
    <t>67910</t>
  </si>
  <si>
    <t>GOUVERNEUR GARDENS.PLP.FY21</t>
  </si>
  <si>
    <t>MONTGOMERY STREET</t>
  </si>
  <si>
    <t>35</t>
  </si>
  <si>
    <t>605</t>
  </si>
  <si>
    <t>675</t>
  </si>
  <si>
    <t>70658</t>
  </si>
  <si>
    <t>278 8TH AVENUE</t>
  </si>
  <si>
    <t>278</t>
  </si>
  <si>
    <t>63974</t>
  </si>
  <si>
    <t>SENDERO VERDE A</t>
  </si>
  <si>
    <t>50</t>
  </si>
  <si>
    <t>70150</t>
  </si>
  <si>
    <t>202 EAST 23RD STREET</t>
  </si>
  <si>
    <t>EAST 23 STREET</t>
  </si>
  <si>
    <t>64</t>
  </si>
  <si>
    <t>69687</t>
  </si>
  <si>
    <t>2555 BROADWAY</t>
  </si>
  <si>
    <t>2555</t>
  </si>
  <si>
    <t>69473</t>
  </si>
  <si>
    <t>MANHATTAN AVE HDFC</t>
  </si>
  <si>
    <t>156</t>
  </si>
  <si>
    <t>65433</t>
  </si>
  <si>
    <t>2274 ADAM CLAYTON POWELL JR. BLVD. CLUSTER</t>
  </si>
  <si>
    <t>2274</t>
  </si>
  <si>
    <t>24</t>
  </si>
  <si>
    <t>WEST 132 STREET</t>
  </si>
  <si>
    <t>WEST 133 STREET</t>
  </si>
  <si>
    <t>66903</t>
  </si>
  <si>
    <t>INWOOD LIBRARY</t>
  </si>
  <si>
    <t>4790</t>
  </si>
  <si>
    <t>69561</t>
  </si>
  <si>
    <t>212 EAST 125TH STREET</t>
  </si>
  <si>
    <t>242</t>
  </si>
  <si>
    <t>71088</t>
  </si>
  <si>
    <t>650 WEST 42ND STREET APARTMENTS</t>
  </si>
  <si>
    <t>1</t>
  </si>
  <si>
    <t>RIVER PLACE</t>
  </si>
  <si>
    <t>66740</t>
  </si>
  <si>
    <t>60 NORFOLK</t>
  </si>
  <si>
    <t>NORFOLK STREET</t>
  </si>
  <si>
    <t>71081</t>
  </si>
  <si>
    <t>2494 AMSTERDAM AVENUE APARTMENT</t>
  </si>
  <si>
    <t>2494</t>
  </si>
  <si>
    <t>269</t>
  </si>
  <si>
    <t>70838</t>
  </si>
  <si>
    <t>1 UNION SQUARE SOUTH APARTMENTS</t>
  </si>
  <si>
    <t>UNION SQUARE SOUTH</t>
  </si>
  <si>
    <t>MN0202</t>
  </si>
  <si>
    <t>70760</t>
  </si>
  <si>
    <t>69878</t>
  </si>
  <si>
    <t>WHGA MANNIE L. WILSON TOWERS, LP.YR15.FY21</t>
  </si>
  <si>
    <t>565</t>
  </si>
  <si>
    <t>70751</t>
  </si>
  <si>
    <t>70863</t>
  </si>
  <si>
    <t>345 EAST 94TH STREET APARTMENTS</t>
  </si>
  <si>
    <t>345</t>
  </si>
  <si>
    <t>EAST 94 STREET</t>
  </si>
  <si>
    <t>15601</t>
  </si>
  <si>
    <t>70488</t>
  </si>
  <si>
    <t>ENNIS FRANCIS III- MIXED INCOME</t>
  </si>
  <si>
    <t>68867</t>
  </si>
  <si>
    <t>THE PEARL</t>
  </si>
  <si>
    <t>349</t>
  </si>
  <si>
    <t>70844</t>
  </si>
  <si>
    <t>465 WEST 163 STREET</t>
  </si>
  <si>
    <t>465</t>
  </si>
  <si>
    <t>WEST 163 STREET</t>
  </si>
  <si>
    <t>69817</t>
  </si>
  <si>
    <t>HCCI HP PLAZA HDFC.YR15.FY21</t>
  </si>
  <si>
    <t>2796</t>
  </si>
  <si>
    <t>2799</t>
  </si>
  <si>
    <t>2801</t>
  </si>
  <si>
    <t>310</t>
  </si>
  <si>
    <t>68866</t>
  </si>
  <si>
    <t>MAXWELL DEVELOPMENT LP.YR15.FY21</t>
  </si>
  <si>
    <t>151</t>
  </si>
  <si>
    <t>233</t>
  </si>
  <si>
    <t>67746</t>
  </si>
  <si>
    <t>WILLIAM R ANDERSON HDFC.GHPP.FY21</t>
  </si>
  <si>
    <t>93</t>
  </si>
  <si>
    <t>69230</t>
  </si>
  <si>
    <t>55 SUFFOLK STREET</t>
  </si>
  <si>
    <t>55</t>
  </si>
  <si>
    <t>SUFFOLK STREET</t>
  </si>
  <si>
    <t>69502</t>
  </si>
  <si>
    <t>141 NICHOLAS HDFC.YR15.FY21</t>
  </si>
  <si>
    <t>646</t>
  </si>
  <si>
    <t>69484</t>
  </si>
  <si>
    <t>HP WEST 49TH STREET PORTFOLIO HDFC.HPO.FY21</t>
  </si>
  <si>
    <t>WEST 49 STREET</t>
  </si>
  <si>
    <t>318</t>
  </si>
  <si>
    <t>322</t>
  </si>
  <si>
    <t>324</t>
  </si>
  <si>
    <t>326</t>
  </si>
  <si>
    <t>328</t>
  </si>
  <si>
    <t>330</t>
  </si>
  <si>
    <t>332</t>
  </si>
  <si>
    <t>334</t>
  </si>
  <si>
    <t>70480</t>
  </si>
  <si>
    <t>65467</t>
  </si>
  <si>
    <t>EHEBCLT</t>
  </si>
  <si>
    <t>2203</t>
  </si>
  <si>
    <t>2018</t>
  </si>
  <si>
    <t>53</t>
  </si>
  <si>
    <t>EAST 110 STREET</t>
  </si>
  <si>
    <t>69284</t>
  </si>
  <si>
    <t>WHGA ROBINSON PARK HDFC.HPO.FY21 (SCHREIBER)</t>
  </si>
  <si>
    <t>363</t>
  </si>
  <si>
    <t>EDGECOMBE AVENUE</t>
  </si>
  <si>
    <t>367</t>
  </si>
  <si>
    <t>WEST 154 STREET</t>
  </si>
  <si>
    <t>70474</t>
  </si>
  <si>
    <t>68496</t>
  </si>
  <si>
    <t>FAIRSTEAD. 117 W 79 ST</t>
  </si>
  <si>
    <t>WEST 79 STREET</t>
  </si>
  <si>
    <t>69490</t>
  </si>
  <si>
    <t>HP MORNINGSIDE HEIGHTS PORTFOLIO HDFC.YR15.FY21</t>
  </si>
  <si>
    <t>2111</t>
  </si>
  <si>
    <t>2113</t>
  </si>
  <si>
    <t>2115</t>
  </si>
  <si>
    <t>2117</t>
  </si>
  <si>
    <t>2121</t>
  </si>
  <si>
    <t>2123</t>
  </si>
  <si>
    <t>955</t>
  </si>
  <si>
    <t>963</t>
  </si>
  <si>
    <t>924</t>
  </si>
  <si>
    <t>926</t>
  </si>
  <si>
    <t>928</t>
  </si>
  <si>
    <t>344</t>
  </si>
  <si>
    <t>118</t>
  </si>
  <si>
    <t>WEST 109 STREET</t>
  </si>
  <si>
    <t>136</t>
  </si>
  <si>
    <t>214</t>
  </si>
  <si>
    <t>243</t>
  </si>
  <si>
    <t>249</t>
  </si>
  <si>
    <t>311</t>
  </si>
  <si>
    <t>315</t>
  </si>
  <si>
    <t>213</t>
  </si>
  <si>
    <t>68859</t>
  </si>
  <si>
    <t>241 WEST 28TH STREET</t>
  </si>
  <si>
    <t>WEST 28 STREET</t>
  </si>
  <si>
    <t>MN0501</t>
  </si>
  <si>
    <t>70499</t>
  </si>
  <si>
    <t>222 EAST 44TH STREET PHASE II</t>
  </si>
  <si>
    <t>EAST 44 STREET</t>
  </si>
  <si>
    <t>68231</t>
  </si>
  <si>
    <t>MMN1902 - LEMLE WEST 117 STREET</t>
  </si>
  <si>
    <t>WEST 117 STREET</t>
  </si>
  <si>
    <t>264</t>
  </si>
  <si>
    <t>64719</t>
  </si>
  <si>
    <t>LENOX COURT HDFC.GHPP.FY21</t>
  </si>
  <si>
    <t>70266</t>
  </si>
  <si>
    <t>168 EAST 100TH STREET</t>
  </si>
  <si>
    <t>EAST 100 STREET</t>
  </si>
  <si>
    <t>70308</t>
  </si>
  <si>
    <t>70241</t>
  </si>
  <si>
    <t>42 EAST 132ND STREET</t>
  </si>
  <si>
    <t>42</t>
  </si>
  <si>
    <t>EAST 132 STREET</t>
  </si>
  <si>
    <t>67720</t>
  </si>
  <si>
    <t>RISEBORO. 37 HILLSIDE AVENUE</t>
  </si>
  <si>
    <t>HILLSIDE AVENUE</t>
  </si>
  <si>
    <t>68191</t>
  </si>
  <si>
    <t>WEST 144 CLUSTER LLC.YR15.FY21</t>
  </si>
  <si>
    <t>137</t>
  </si>
  <si>
    <t>70539</t>
  </si>
  <si>
    <t>NUL 125TH STREET</t>
  </si>
  <si>
    <t>70008</t>
  </si>
  <si>
    <t>523 WEST 173RD STREET APARTMENTS</t>
  </si>
  <si>
    <t>WEST 173 STREET</t>
  </si>
  <si>
    <t>68410</t>
  </si>
  <si>
    <t>272 EAST 7TH STREET</t>
  </si>
  <si>
    <t>272</t>
  </si>
  <si>
    <t>EAST 7 STREET</t>
  </si>
  <si>
    <t>69978</t>
  </si>
  <si>
    <t>221 EAST 105TH STREET</t>
  </si>
  <si>
    <t>EAST 105 STREET</t>
  </si>
  <si>
    <t>69966</t>
  </si>
  <si>
    <t>2338 2ND AVENUE</t>
  </si>
  <si>
    <t>2338</t>
  </si>
  <si>
    <t>64390</t>
  </si>
  <si>
    <t>COOPER SQUARE MHA - PHASE 1.GHPP.FY20</t>
  </si>
  <si>
    <t>38</t>
  </si>
  <si>
    <t>EAST 3 STREET</t>
  </si>
  <si>
    <t>21</t>
  </si>
  <si>
    <t>23</t>
  </si>
  <si>
    <t>27</t>
  </si>
  <si>
    <t>89</t>
  </si>
  <si>
    <t>56</t>
  </si>
  <si>
    <t>EAST 4 STREET</t>
  </si>
  <si>
    <t>58</t>
  </si>
  <si>
    <t>60</t>
  </si>
  <si>
    <t>63</t>
  </si>
  <si>
    <t>65</t>
  </si>
  <si>
    <t>77</t>
  </si>
  <si>
    <t>69751</t>
  </si>
  <si>
    <t>2006 LEXINGTON AVENUE</t>
  </si>
  <si>
    <t>2006</t>
  </si>
  <si>
    <t>69748</t>
  </si>
  <si>
    <t>416 LENOX AVENUE</t>
  </si>
  <si>
    <t>416</t>
  </si>
  <si>
    <t>69672</t>
  </si>
  <si>
    <t>69740</t>
  </si>
  <si>
    <t>516 WEST 162 STREET APARTMENTS</t>
  </si>
  <si>
    <t>516</t>
  </si>
  <si>
    <t>WEST 162 STREET</t>
  </si>
  <si>
    <t>69709</t>
  </si>
  <si>
    <t>THE RENNIE CONDOMINIUM</t>
  </si>
  <si>
    <t>2351</t>
  </si>
  <si>
    <t>67693</t>
  </si>
  <si>
    <t>680 ST. NICHOLAS AVENUE</t>
  </si>
  <si>
    <t>680</t>
  </si>
  <si>
    <t>356</t>
  </si>
  <si>
    <t>68188</t>
  </si>
  <si>
    <t>WEST 141ST STREET CLUSTER.PILLARS.FY20</t>
  </si>
  <si>
    <t>148</t>
  </si>
  <si>
    <t>65563</t>
  </si>
  <si>
    <t>LES 278 HDFC.PLP.FY20 (278 EAST 7 STREET)</t>
  </si>
  <si>
    <t>276</t>
  </si>
  <si>
    <t>48996</t>
  </si>
  <si>
    <t>204 AVENUE A &amp; 535 EAST 12TH STREET PROJECT</t>
  </si>
  <si>
    <t>AVENUE A</t>
  </si>
  <si>
    <t>535</t>
  </si>
  <si>
    <t>EAST 12 STREET</t>
  </si>
  <si>
    <t>69335</t>
  </si>
  <si>
    <t>68079</t>
  </si>
  <si>
    <t>167-171 CHRYSTIE STREET</t>
  </si>
  <si>
    <t>167</t>
  </si>
  <si>
    <t>61840</t>
  </si>
  <si>
    <t>LENOX AVENUE CLUSTER (ANCP)</t>
  </si>
  <si>
    <t>424</t>
  </si>
  <si>
    <t>426</t>
  </si>
  <si>
    <t>432</t>
  </si>
  <si>
    <t>68810</t>
  </si>
  <si>
    <t>215 AUDUBON AVENUE HDFC.GHPP.FY20</t>
  </si>
  <si>
    <t>63968</t>
  </si>
  <si>
    <t>BALTON COMMONS</t>
  </si>
  <si>
    <t>69309</t>
  </si>
  <si>
    <t>69378</t>
  </si>
  <si>
    <t>251 WEST 117TH STREET</t>
  </si>
  <si>
    <t>69374</t>
  </si>
  <si>
    <t>433 EAST 13TH STREET APARTMENTS</t>
  </si>
  <si>
    <t>435</t>
  </si>
  <si>
    <t>EAST 13 STREET</t>
  </si>
  <si>
    <t>68433</t>
  </si>
  <si>
    <t>GODDARD RIVERSIDE.HRP.FY20</t>
  </si>
  <si>
    <t>181</t>
  </si>
  <si>
    <t>69118</t>
  </si>
  <si>
    <t>KNICKERBOCKER VILLAGE</t>
  </si>
  <si>
    <t>10</t>
  </si>
  <si>
    <t>MONROE STREET</t>
  </si>
  <si>
    <t>16</t>
  </si>
  <si>
    <t>32</t>
  </si>
  <si>
    <t>36</t>
  </si>
  <si>
    <t>40</t>
  </si>
  <si>
    <t>65360</t>
  </si>
  <si>
    <t>SEVENTEENTH STREET HDFC.YR15.FY20</t>
  </si>
  <si>
    <t>105</t>
  </si>
  <si>
    <t>WEST 17 STREET</t>
  </si>
  <si>
    <t>64768</t>
  </si>
  <si>
    <t>WATERSIDE PLAZA.HPO.FY20</t>
  </si>
  <si>
    <t>WATERSIDE PLAZA</t>
  </si>
  <si>
    <t>62</t>
  </si>
  <si>
    <t>68660</t>
  </si>
  <si>
    <t>RIVER CROSSING OWNER HDFC.HPO.FY20</t>
  </si>
  <si>
    <t>162</t>
  </si>
  <si>
    <t>420</t>
  </si>
  <si>
    <t>1962</t>
  </si>
  <si>
    <t>68661</t>
  </si>
  <si>
    <t>HERITAGE HOLDINGS HDFC.HPO.FY20</t>
  </si>
  <si>
    <t>1307</t>
  </si>
  <si>
    <t>1295</t>
  </si>
  <si>
    <t>FIFTH AVENUE</t>
  </si>
  <si>
    <t>1660</t>
  </si>
  <si>
    <t>68662</t>
  </si>
  <si>
    <t>MILES &amp; PARKER OWNER HDFC.HPO.FY20</t>
  </si>
  <si>
    <t>1890</t>
  </si>
  <si>
    <t>1982</t>
  </si>
  <si>
    <t>48143</t>
  </si>
  <si>
    <t>MMN1802 - CLOTH AMSTERDAM AVENUE</t>
  </si>
  <si>
    <t>2488</t>
  </si>
  <si>
    <t>2794</t>
  </si>
  <si>
    <t>2110</t>
  </si>
  <si>
    <t>69237</t>
  </si>
  <si>
    <t>64745</t>
  </si>
  <si>
    <t>EAST VILLAGE HOMES - PHASE I</t>
  </si>
  <si>
    <t>EAST 2 STREET</t>
  </si>
  <si>
    <t>2202</t>
  </si>
  <si>
    <t>67890</t>
  </si>
  <si>
    <t>HARLEN HDFC.HUD MF.FY 20</t>
  </si>
  <si>
    <t>560</t>
  </si>
  <si>
    <t>66137</t>
  </si>
  <si>
    <t>HP W53 HDFC.HUDMF.FY 19</t>
  </si>
  <si>
    <t>WEST 53 STREET</t>
  </si>
  <si>
    <t>69089</t>
  </si>
  <si>
    <t>3 WEST 128TH STREET</t>
  </si>
  <si>
    <t>3</t>
  </si>
  <si>
    <t>67504</t>
  </si>
  <si>
    <t>HP W 48 HDFC.HUDMF.FY19</t>
  </si>
  <si>
    <t>414</t>
  </si>
  <si>
    <t>69086</t>
  </si>
  <si>
    <t>173 MORNINGSIDE AVENUE APARTMENTS</t>
  </si>
  <si>
    <t>69083</t>
  </si>
  <si>
    <t>ORCHARD, THE</t>
  </si>
  <si>
    <t>ORCHARD STREET</t>
  </si>
  <si>
    <t>69065</t>
  </si>
  <si>
    <t>301 EAST 117TH STREET</t>
  </si>
  <si>
    <t>2282</t>
  </si>
  <si>
    <t>67891</t>
  </si>
  <si>
    <t>EAST HARLEM LEXINGTON HDFC.HUDMF.FY19</t>
  </si>
  <si>
    <t>EAST 119 STREET</t>
  </si>
  <si>
    <t>2010</t>
  </si>
  <si>
    <t>69056</t>
  </si>
  <si>
    <t>229 WEST 136 STREET</t>
  </si>
  <si>
    <t>69050</t>
  </si>
  <si>
    <t>152 WEST 140TH STREET</t>
  </si>
  <si>
    <t>2395</t>
  </si>
  <si>
    <t>61587</t>
  </si>
  <si>
    <t>601 WEST 148TH STREET PROJECT</t>
  </si>
  <si>
    <t>61875</t>
  </si>
  <si>
    <t>1199 HOUSING CORP.PLP.FY19</t>
  </si>
  <si>
    <t>2070</t>
  </si>
  <si>
    <t>EAST 111 STREET</t>
  </si>
  <si>
    <t>2090</t>
  </si>
  <si>
    <t>2116</t>
  </si>
  <si>
    <t>65378</t>
  </si>
  <si>
    <t>JENKINS PORTFOLIO COMPANIES LLC.YR15.FY19</t>
  </si>
  <si>
    <t>2550</t>
  </si>
  <si>
    <t>2554</t>
  </si>
  <si>
    <t>2566</t>
  </si>
  <si>
    <t>2568</t>
  </si>
  <si>
    <t>2574</t>
  </si>
  <si>
    <t>2496</t>
  </si>
  <si>
    <t>114</t>
  </si>
  <si>
    <t>132</t>
  </si>
  <si>
    <t>66563</t>
  </si>
  <si>
    <t>7TH AVENUE HDFC.FY19.PLP</t>
  </si>
  <si>
    <t>2524</t>
  </si>
  <si>
    <t>68076</t>
  </si>
  <si>
    <t>MANHATTANVILLE (PHASE III)</t>
  </si>
  <si>
    <t>3595</t>
  </si>
  <si>
    <t>68177</t>
  </si>
  <si>
    <t>CAPITOL APARTMENTS HDFC.HUDMF</t>
  </si>
  <si>
    <t>834</t>
  </si>
  <si>
    <t>MN0502</t>
  </si>
  <si>
    <t>68189</t>
  </si>
  <si>
    <t>PHELPS HOUSE LP.YR15.FY19</t>
  </si>
  <si>
    <t>581</t>
  </si>
  <si>
    <t>64027</t>
  </si>
  <si>
    <t>SENDERO VERDE B</t>
  </si>
  <si>
    <t>65392</t>
  </si>
  <si>
    <t>TAINO TOWERS.HUDMF.FY19</t>
  </si>
  <si>
    <t>67636</t>
  </si>
  <si>
    <t>2BT HDFC.YR15.FY19</t>
  </si>
  <si>
    <t>67462</t>
  </si>
  <si>
    <t>368 E 8TH ST HDFC.GHPP.FY19</t>
  </si>
  <si>
    <t>368</t>
  </si>
  <si>
    <t>EAST 8 STREET</t>
  </si>
  <si>
    <t>67685</t>
  </si>
  <si>
    <t>601 WEST 29TH STREET</t>
  </si>
  <si>
    <t>63252</t>
  </si>
  <si>
    <t>37 AVENUE B HDFC.HRP.FY19</t>
  </si>
  <si>
    <t>AVENUE B</t>
  </si>
  <si>
    <t>68107</t>
  </si>
  <si>
    <t>HP ACP HDFC.HPO.FY19 (BLACK SPRUCE)</t>
  </si>
  <si>
    <t>2232</t>
  </si>
  <si>
    <t>2247</t>
  </si>
  <si>
    <t>2251</t>
  </si>
  <si>
    <t>2252</t>
  </si>
  <si>
    <t>2253</t>
  </si>
  <si>
    <t>2254</t>
  </si>
  <si>
    <t>2256</t>
  </si>
  <si>
    <t>2258</t>
  </si>
  <si>
    <t>2300</t>
  </si>
  <si>
    <t>2302</t>
  </si>
  <si>
    <t>2304</t>
  </si>
  <si>
    <t>2306</t>
  </si>
  <si>
    <t>2308</t>
  </si>
  <si>
    <t>2310</t>
  </si>
  <si>
    <t>2484</t>
  </si>
  <si>
    <t>68269</t>
  </si>
  <si>
    <t>HP WH HDFC.HPO.FY19 (BLACK SPRUCE - WASHINGTON HEIGHTS)</t>
  </si>
  <si>
    <t>4221</t>
  </si>
  <si>
    <t>265</t>
  </si>
  <si>
    <t>1091</t>
  </si>
  <si>
    <t>1228</t>
  </si>
  <si>
    <t>1245</t>
  </si>
  <si>
    <t>1320</t>
  </si>
  <si>
    <t>1621</t>
  </si>
  <si>
    <t>279</t>
  </si>
  <si>
    <t>600</t>
  </si>
  <si>
    <t>WEST 192 STREET</t>
  </si>
  <si>
    <t>545</t>
  </si>
  <si>
    <t>610</t>
  </si>
  <si>
    <t>WEST 174 STREET</t>
  </si>
  <si>
    <t>65280</t>
  </si>
  <si>
    <t>9 SHERMAN ASSOCIATES LLC.PLP.FY19</t>
  </si>
  <si>
    <t>285</t>
  </si>
  <si>
    <t>68585</t>
  </si>
  <si>
    <t>WEST 135TH STREET APARTMENTS</t>
  </si>
  <si>
    <t>65215</t>
  </si>
  <si>
    <t>RIVER TERRACE.HRP.FY19</t>
  </si>
  <si>
    <t>156-20</t>
  </si>
  <si>
    <t>RIVERSIDE DRIVE WEST</t>
  </si>
  <si>
    <t>68531</t>
  </si>
  <si>
    <t>67437</t>
  </si>
  <si>
    <t>CASA RENACER HDFC.YR15.FY19</t>
  </si>
  <si>
    <t>67134</t>
  </si>
  <si>
    <t>111 W 71ST STREET</t>
  </si>
  <si>
    <t>WEST 71 STREET</t>
  </si>
  <si>
    <t>66264</t>
  </si>
  <si>
    <t>7-9 E 30TH STREET</t>
  </si>
  <si>
    <t>7</t>
  </si>
  <si>
    <t>EAST 30 STREET</t>
  </si>
  <si>
    <t>74</t>
  </si>
  <si>
    <t>68594</t>
  </si>
  <si>
    <t>HELUX, THE</t>
  </si>
  <si>
    <t>520</t>
  </si>
  <si>
    <t>67103</t>
  </si>
  <si>
    <t>214 WEST 72ND STREET</t>
  </si>
  <si>
    <t>WEST 72 STREET</t>
  </si>
  <si>
    <t>159</t>
  </si>
  <si>
    <t>66573</t>
  </si>
  <si>
    <t>HP 451 EAST 116TH STREET HDFC. HPO.FY19</t>
  </si>
  <si>
    <t>EAST 116 STREET</t>
  </si>
  <si>
    <t>301</t>
  </si>
  <si>
    <t>PLEASANT AVENUE</t>
  </si>
  <si>
    <t>60784</t>
  </si>
  <si>
    <t>105TH STREET &amp; AMSTERDAM AVENUE PROJECT</t>
  </si>
  <si>
    <t>68551</t>
  </si>
  <si>
    <t>614-20 EAST 9 STREET HDFC</t>
  </si>
  <si>
    <t>618</t>
  </si>
  <si>
    <t>620</t>
  </si>
  <si>
    <t>65391</t>
  </si>
  <si>
    <t>COOPER SQUARE SENIOR HDFC.HUDMF.FY19</t>
  </si>
  <si>
    <t>COOPER SQUARE</t>
  </si>
  <si>
    <t>61877</t>
  </si>
  <si>
    <t>464-68 W 51 ST HDFC.GHPP.FY19</t>
  </si>
  <si>
    <t>748</t>
  </si>
  <si>
    <t>464</t>
  </si>
  <si>
    <t>WEST 51 STREET</t>
  </si>
  <si>
    <t>68340</t>
  </si>
  <si>
    <t>2121 7TH AVENUE APARTMENTS</t>
  </si>
  <si>
    <t>49147</t>
  </si>
  <si>
    <t>21 ARDEN STREET</t>
  </si>
  <si>
    <t>ARDEN STREET</t>
  </si>
  <si>
    <t>44218</t>
  </si>
  <si>
    <t>MEC E. 125TH ST. PARCEL B WEST</t>
  </si>
  <si>
    <t>2319</t>
  </si>
  <si>
    <t>44256</t>
  </si>
  <si>
    <t>WSFSSH. 145 WEST 108TH ST. VALLEY LODGE</t>
  </si>
  <si>
    <t>48038</t>
  </si>
  <si>
    <t>165 WEST 80TH STREET</t>
  </si>
  <si>
    <t>WEST 80 STREET</t>
  </si>
  <si>
    <t>63168</t>
  </si>
  <si>
    <t>MANHANTANVILLE (PHASE II)</t>
  </si>
  <si>
    <t>66653</t>
  </si>
  <si>
    <t>CAMBER. 3-11 W118TH ST. VICTORY PLAZA</t>
  </si>
  <si>
    <t>67577</t>
  </si>
  <si>
    <t>ESPLANADE GARDENS INCORPORATED.PLP.FY19</t>
  </si>
  <si>
    <t>2541</t>
  </si>
  <si>
    <t>700</t>
  </si>
  <si>
    <t>ESPLANADE GDNS PLAZA</t>
  </si>
  <si>
    <t>2569</t>
  </si>
  <si>
    <t>720</t>
  </si>
  <si>
    <t>WEST 147 STREET</t>
  </si>
  <si>
    <t>129</t>
  </si>
  <si>
    <t>68075</t>
  </si>
  <si>
    <t>1980 AMSTERDAM AVENUE</t>
  </si>
  <si>
    <t>1980</t>
  </si>
  <si>
    <t>63154</t>
  </si>
  <si>
    <t>RIVERWALK 8</t>
  </si>
  <si>
    <t>460</t>
  </si>
  <si>
    <t>MAIN STREET</t>
  </si>
  <si>
    <t>23804</t>
  </si>
  <si>
    <t>65523</t>
  </si>
  <si>
    <t>AILEEN AVERY HDFC.HRP.FY19</t>
  </si>
  <si>
    <t>474</t>
  </si>
  <si>
    <t>61967</t>
  </si>
  <si>
    <t>ACACIA. 128 EAST 112TH ST. VIRGINIA HOUSE</t>
  </si>
  <si>
    <t>124</t>
  </si>
  <si>
    <t>67493</t>
  </si>
  <si>
    <t>111 VARICK STREET</t>
  </si>
  <si>
    <t>VARICK STREET</t>
  </si>
  <si>
    <t>67684</t>
  </si>
  <si>
    <t>56 WEST 125TH STREET</t>
  </si>
  <si>
    <t>200</t>
  </si>
  <si>
    <t>68028</t>
  </si>
  <si>
    <t>AVALON MIDTOWN WEST</t>
  </si>
  <si>
    <t>WEST 50 STREET</t>
  </si>
  <si>
    <t>67428</t>
  </si>
  <si>
    <t>NUEVA ERA APARTMENTS</t>
  </si>
  <si>
    <t>289</t>
  </si>
  <si>
    <t>67429</t>
  </si>
  <si>
    <t>DESHLER APARTMENT</t>
  </si>
  <si>
    <t>1871</t>
  </si>
  <si>
    <t>67490</t>
  </si>
  <si>
    <t>MORNINGSIDE APTS.HUDMF.FY19</t>
  </si>
  <si>
    <t>67457</t>
  </si>
  <si>
    <t>LAKEVIEW APARTMENTS HDFC.HPO.FY19</t>
  </si>
  <si>
    <t>1250</t>
  </si>
  <si>
    <t>EAST 106 STREET</t>
  </si>
  <si>
    <t>4</t>
  </si>
  <si>
    <t>EAST 107 STREET</t>
  </si>
  <si>
    <t>1590</t>
  </si>
  <si>
    <t>66805</t>
  </si>
  <si>
    <t>TRIPLE HDFC.HPO.FY19</t>
  </si>
  <si>
    <t>2295</t>
  </si>
  <si>
    <t>67840</t>
  </si>
  <si>
    <t>303 WEST 137TH STREET APARTMENTS</t>
  </si>
  <si>
    <t>67555</t>
  </si>
  <si>
    <t>65847</t>
  </si>
  <si>
    <t>NHP - HOPE HOMES CLUSTER AMENDMENT</t>
  </si>
  <si>
    <t>425</t>
  </si>
  <si>
    <t>EAST 120 STREET</t>
  </si>
  <si>
    <t>EAST 127 STREET</t>
  </si>
  <si>
    <t>67733</t>
  </si>
  <si>
    <t>516 WEST 162 STREET</t>
  </si>
  <si>
    <t>63811</t>
  </si>
  <si>
    <t>EAST VILLAGE I HDFC.HUDMF.FY18</t>
  </si>
  <si>
    <t>66723</t>
  </si>
  <si>
    <t>JAMIES PLACE HDFC. HUDMF. FY18</t>
  </si>
  <si>
    <t>126</t>
  </si>
  <si>
    <t>66836</t>
  </si>
  <si>
    <t>INWOOD HOUSING HDFC.HUDMF.FY18</t>
  </si>
  <si>
    <t>POST AVENUE</t>
  </si>
  <si>
    <t>66911</t>
  </si>
  <si>
    <t>HUDSON PIERS HDFC.HUDMF.FY18</t>
  </si>
  <si>
    <t>1626</t>
  </si>
  <si>
    <t>1640</t>
  </si>
  <si>
    <t>51867</t>
  </si>
  <si>
    <t>THE ROBESON</t>
  </si>
  <si>
    <t>52986</t>
  </si>
  <si>
    <t>ESSIE  JEFFRIES APARTMENTS HDFC.HUDMF.FY18</t>
  </si>
  <si>
    <t>1990</t>
  </si>
  <si>
    <t>WEST 160 STREET</t>
  </si>
  <si>
    <t>547</t>
  </si>
  <si>
    <t>65373</t>
  </si>
  <si>
    <t>MMN1801- UPTOWN 6</t>
  </si>
  <si>
    <t>45</t>
  </si>
  <si>
    <t>281</t>
  </si>
  <si>
    <t>65374</t>
  </si>
  <si>
    <t>TMN209G-2 - 640 RIVERSIDE</t>
  </si>
  <si>
    <t>640</t>
  </si>
  <si>
    <t>66721</t>
  </si>
  <si>
    <t>ROBESON APARTMENTS HDFC.HUDMF.FY18</t>
  </si>
  <si>
    <t>1995</t>
  </si>
  <si>
    <t>66834</t>
  </si>
  <si>
    <t>EAST VILLAGE II HDFC.HUDMF.FY18</t>
  </si>
  <si>
    <t>199</t>
  </si>
  <si>
    <t>627</t>
  </si>
  <si>
    <t>374</t>
  </si>
  <si>
    <t>67427</t>
  </si>
  <si>
    <t>MASARYK TOWERS</t>
  </si>
  <si>
    <t>85-89</t>
  </si>
  <si>
    <t>67426</t>
  </si>
  <si>
    <t>RUPPERT HOUSE</t>
  </si>
  <si>
    <t>EAST 92 STREET</t>
  </si>
  <si>
    <t>1779</t>
  </si>
  <si>
    <t>63367</t>
  </si>
  <si>
    <t>CUCS. 302-314 W 127TH STREET. KELLY HOTEL</t>
  </si>
  <si>
    <t>WEST 127 STREET</t>
  </si>
  <si>
    <t>61837</t>
  </si>
  <si>
    <t>9 FORT WASHINGTON AVENUE CLUSTER</t>
  </si>
  <si>
    <t>518</t>
  </si>
  <si>
    <t>WEST 161 STREET</t>
  </si>
  <si>
    <t>544</t>
  </si>
  <si>
    <t>67231</t>
  </si>
  <si>
    <t>WEST END. 483 WEST END AVE. WEST END INTERGENERATIONAL</t>
  </si>
  <si>
    <t>483</t>
  </si>
  <si>
    <t>WEST END AVENUE</t>
  </si>
  <si>
    <t>171</t>
  </si>
  <si>
    <t>48885</t>
  </si>
  <si>
    <t>FRANKLIN PLAZA APARTMENTS INC.HRP.FY18</t>
  </si>
  <si>
    <t>2086</t>
  </si>
  <si>
    <t>1925</t>
  </si>
  <si>
    <t>325</t>
  </si>
  <si>
    <t>2065</t>
  </si>
  <si>
    <t>2075</t>
  </si>
  <si>
    <t>2078</t>
  </si>
  <si>
    <t>2081</t>
  </si>
  <si>
    <t>1945</t>
  </si>
  <si>
    <t>64796</t>
  </si>
  <si>
    <t>127 WEST 43 ST | WOODSTOCK</t>
  </si>
  <si>
    <t>67307</t>
  </si>
  <si>
    <t>577 WEST 161ST STREET APARTMENTS</t>
  </si>
  <si>
    <t>577</t>
  </si>
  <si>
    <t>60041</t>
  </si>
  <si>
    <t>DORA MCKENZIE HDFC.PLP.FY18</t>
  </si>
  <si>
    <t>1646</t>
  </si>
  <si>
    <t>65210</t>
  </si>
  <si>
    <t>VOA. 305 W. 97TH ST. ROSE HOUSE</t>
  </si>
  <si>
    <t>67315</t>
  </si>
  <si>
    <t>2183 3RD AVENUE</t>
  </si>
  <si>
    <t>2183</t>
  </si>
  <si>
    <t>65775</t>
  </si>
  <si>
    <t>211 WEST 29TH STREET</t>
  </si>
  <si>
    <t>WEST 29 STREET</t>
  </si>
  <si>
    <t>61630</t>
  </si>
  <si>
    <t>HARLEM COMMUNITY INITIATIVE HDFC.YR15.FY18</t>
  </si>
  <si>
    <t>67339</t>
  </si>
  <si>
    <t>10 WEST 132 STREET APARTMENTS</t>
  </si>
  <si>
    <t>66702</t>
  </si>
  <si>
    <t>225 W 28TH STREET</t>
  </si>
  <si>
    <t>67343</t>
  </si>
  <si>
    <t>200 EAST 95 STREET</t>
  </si>
  <si>
    <t>1693</t>
  </si>
  <si>
    <t>65541</t>
  </si>
  <si>
    <t>TANYA TOWERS</t>
  </si>
  <si>
    <t>67008</t>
  </si>
  <si>
    <t>1992 THIRD AVENUE APARTMENTS</t>
  </si>
  <si>
    <t>1992</t>
  </si>
  <si>
    <t>64636</t>
  </si>
  <si>
    <t>505  EAST 86TH STREET</t>
  </si>
  <si>
    <t>515</t>
  </si>
  <si>
    <t>EAST 86 STREET</t>
  </si>
  <si>
    <t>14402</t>
  </si>
  <si>
    <t>67350</t>
  </si>
  <si>
    <t>524 EAST 14TH STREET</t>
  </si>
  <si>
    <t>67013</t>
  </si>
  <si>
    <t>ST. LUCY'S APARTMENTS</t>
  </si>
  <si>
    <t>EAST 104 STREET</t>
  </si>
  <si>
    <t>63939</t>
  </si>
  <si>
    <t>NERVE LTU HOUSING DEVELOPMENT FUND COMPANY.HUDMF.FY18</t>
  </si>
  <si>
    <t>15</t>
  </si>
  <si>
    <t>63941</t>
  </si>
  <si>
    <t>HP DUNWELL HOUSING DEVELOPMENT FUND COMPANY.HUDMF.FY18</t>
  </si>
  <si>
    <t>1930</t>
  </si>
  <si>
    <t>67010</t>
  </si>
  <si>
    <t>245 EAST 115 STREET</t>
  </si>
  <si>
    <t>67352</t>
  </si>
  <si>
    <t>111 EAST 115TH STREET</t>
  </si>
  <si>
    <t>67353</t>
  </si>
  <si>
    <t>517 WEST 134 STREET</t>
  </si>
  <si>
    <t>517</t>
  </si>
  <si>
    <t>61388</t>
  </si>
  <si>
    <t>ESSEX CROSSING - SITE 4</t>
  </si>
  <si>
    <t>61571</t>
  </si>
  <si>
    <t>255 E HOUSTON</t>
  </si>
  <si>
    <t>3001</t>
  </si>
  <si>
    <t>59429</t>
  </si>
  <si>
    <t>230-232 EAST 54TH STREET</t>
  </si>
  <si>
    <t>EAST 54 STREET</t>
  </si>
  <si>
    <t>65364</t>
  </si>
  <si>
    <t>CASA CECILIA</t>
  </si>
  <si>
    <t>536</t>
  </si>
  <si>
    <t>66331</t>
  </si>
  <si>
    <t>65856</t>
  </si>
  <si>
    <t>WYATT TEE WALKER HOUSING FOR THE ELDERLY</t>
  </si>
  <si>
    <t>2177</t>
  </si>
  <si>
    <t>61728</t>
  </si>
  <si>
    <t>BFC. 140 ESSEX ST. ESSEX CROSSING SITE 8</t>
  </si>
  <si>
    <t>ESSEX STREET</t>
  </si>
  <si>
    <t>65506</t>
  </si>
  <si>
    <t>572 11TH AVE</t>
  </si>
  <si>
    <t>572</t>
  </si>
  <si>
    <t>66586</t>
  </si>
  <si>
    <t>STRYCKER'S BAY</t>
  </si>
  <si>
    <t>689</t>
  </si>
  <si>
    <t>WEST 94 STREET</t>
  </si>
  <si>
    <t>63808</t>
  </si>
  <si>
    <t>INDEPENDENCE HOUSE.PLP.FY18</t>
  </si>
  <si>
    <t>176</t>
  </si>
  <si>
    <t>48608</t>
  </si>
  <si>
    <t>TMN904 - PRECISE</t>
  </si>
  <si>
    <t>244</t>
  </si>
  <si>
    <t>WEST 122 STREET</t>
  </si>
  <si>
    <t>410</t>
  </si>
  <si>
    <t>116</t>
  </si>
  <si>
    <t>63937</t>
  </si>
  <si>
    <t>POLYCLINIC OWNER LLC.HUDMULTI.FY18</t>
  </si>
  <si>
    <t>64157</t>
  </si>
  <si>
    <t>E.M. MOORE HOUSING FOR THE ELDERLY</t>
  </si>
  <si>
    <t>66058</t>
  </si>
  <si>
    <t>605 WEST 42ND STREET PHASE II</t>
  </si>
  <si>
    <t>66054</t>
  </si>
  <si>
    <t>230 EAST 124 STREET</t>
  </si>
  <si>
    <t>66060</t>
  </si>
  <si>
    <t>1 COLUMBUS PLACE</t>
  </si>
  <si>
    <t>COLUMBUS PLACE</t>
  </si>
  <si>
    <t>64892</t>
  </si>
  <si>
    <t>FH HOMES</t>
  </si>
  <si>
    <t>2264</t>
  </si>
  <si>
    <t>441</t>
  </si>
  <si>
    <t>WEST 47 STREET</t>
  </si>
  <si>
    <t>65454</t>
  </si>
  <si>
    <t>66056</t>
  </si>
  <si>
    <t>40 WEST 126 STREET</t>
  </si>
  <si>
    <t>54954</t>
  </si>
  <si>
    <t>THE FREDERICK</t>
  </si>
  <si>
    <t>63760</t>
  </si>
  <si>
    <t>DANCE THEATRE OF HARLEM</t>
  </si>
  <si>
    <t>847</t>
  </si>
  <si>
    <t>51868</t>
  </si>
  <si>
    <t>LEXINGTON GARDENS II</t>
  </si>
  <si>
    <t>1465</t>
  </si>
  <si>
    <t>59474</t>
  </si>
  <si>
    <t>LOTT LEGACY APARTMENTS HDFC.YR15.FY2017</t>
  </si>
  <si>
    <t>2051</t>
  </si>
  <si>
    <t>EAST 101 STREET</t>
  </si>
  <si>
    <t>29</t>
  </si>
  <si>
    <t>447</t>
  </si>
  <si>
    <t>1553</t>
  </si>
  <si>
    <t>1555</t>
  </si>
  <si>
    <t>1265</t>
  </si>
  <si>
    <t>1325</t>
  </si>
  <si>
    <t>449</t>
  </si>
  <si>
    <t>61701</t>
  </si>
  <si>
    <t>CITILEAF HDFC</t>
  </si>
  <si>
    <t>63845</t>
  </si>
  <si>
    <t>LESPMHA HDFC</t>
  </si>
  <si>
    <t>ATTORNEY STREET</t>
  </si>
  <si>
    <t>AVENUE D</t>
  </si>
  <si>
    <t>CLINTON STREET</t>
  </si>
  <si>
    <t>327</t>
  </si>
  <si>
    <t>391</t>
  </si>
  <si>
    <t>419</t>
  </si>
  <si>
    <t>539</t>
  </si>
  <si>
    <t>59411</t>
  </si>
  <si>
    <t>102 CHARLTON STREET</t>
  </si>
  <si>
    <t>CHARLTON STREET</t>
  </si>
  <si>
    <t>65049</t>
  </si>
  <si>
    <t>47878</t>
  </si>
  <si>
    <t>152 EAST 116TH STREET</t>
  </si>
  <si>
    <t>60872</t>
  </si>
  <si>
    <t>MHANY 2004 HDFC.HPOP.FY17</t>
  </si>
  <si>
    <t>428</t>
  </si>
  <si>
    <t>446</t>
  </si>
  <si>
    <t>62271</t>
  </si>
  <si>
    <t>795 SHEVA REALTY HDFC.HPO.FY17</t>
  </si>
  <si>
    <t>795</t>
  </si>
  <si>
    <t>60000</t>
  </si>
  <si>
    <t>139-141 AVENUE D HDFC.YR15.FY2017</t>
  </si>
  <si>
    <t>58521</t>
  </si>
  <si>
    <t>505 WEST 43RD STREET</t>
  </si>
  <si>
    <t>49279</t>
  </si>
  <si>
    <t>1402 YORK AVENUE</t>
  </si>
  <si>
    <t>YORK AVENUE</t>
  </si>
  <si>
    <t>13201</t>
  </si>
  <si>
    <t>63839</t>
  </si>
  <si>
    <t>PENN SOUTH</t>
  </si>
  <si>
    <t>350</t>
  </si>
  <si>
    <t>365</t>
  </si>
  <si>
    <t>WEST 25 STREET</t>
  </si>
  <si>
    <t>61405</t>
  </si>
  <si>
    <t>THE GILBERT</t>
  </si>
  <si>
    <t>1912</t>
  </si>
  <si>
    <t>63121</t>
  </si>
  <si>
    <t>2211 THIRD AVENUE</t>
  </si>
  <si>
    <t>EAST 121 STREET</t>
  </si>
  <si>
    <t>59637</t>
  </si>
  <si>
    <t>VICTOR SANCHEZ HDFC.HRP.FY17</t>
  </si>
  <si>
    <t>409</t>
  </si>
  <si>
    <t>65036</t>
  </si>
  <si>
    <t>SAVANNA HALL</t>
  </si>
  <si>
    <t>65086</t>
  </si>
  <si>
    <t>100 BARROW STREET</t>
  </si>
  <si>
    <t>BARROW STREET</t>
  </si>
  <si>
    <t>64645</t>
  </si>
  <si>
    <t>39 WEST 23RD STREET</t>
  </si>
  <si>
    <t>39</t>
  </si>
  <si>
    <t>WEST 23 STREET</t>
  </si>
  <si>
    <t>65097</t>
  </si>
  <si>
    <t>2139 THIRD AVENUE</t>
  </si>
  <si>
    <t>2139</t>
  </si>
  <si>
    <t>60427</t>
  </si>
  <si>
    <t>HP 109TH STREET HDFC.HUDMF.FY17</t>
  </si>
  <si>
    <t>60777</t>
  </si>
  <si>
    <t>477 LENOX AVENUE HDFC.HUDMF.FY17</t>
  </si>
  <si>
    <t>477</t>
  </si>
  <si>
    <t>63372</t>
  </si>
  <si>
    <t>Village East Towers (HDC)</t>
  </si>
  <si>
    <t>411</t>
  </si>
  <si>
    <t>710</t>
  </si>
  <si>
    <t>44282</t>
  </si>
  <si>
    <t>NYCHA FULTON HOUSES</t>
  </si>
  <si>
    <t>WEST 18 STREET</t>
  </si>
  <si>
    <t>58889</t>
  </si>
  <si>
    <t>KENMORE HALL ASSOCIATES LP.YR15.FY17</t>
  </si>
  <si>
    <t>58891</t>
  </si>
  <si>
    <t>HOPE EAST OF FIFTH HDFC INC.YR15.FY17</t>
  </si>
  <si>
    <t>2158</t>
  </si>
  <si>
    <t>2161</t>
  </si>
  <si>
    <t>2164</t>
  </si>
  <si>
    <t>2284</t>
  </si>
  <si>
    <t>2291 1/2</t>
  </si>
  <si>
    <t>2330</t>
  </si>
  <si>
    <t>2349</t>
  </si>
  <si>
    <t>EAST 109 STREET</t>
  </si>
  <si>
    <t>415</t>
  </si>
  <si>
    <t>422</t>
  </si>
  <si>
    <t>423</t>
  </si>
  <si>
    <t>429</t>
  </si>
  <si>
    <t>316</t>
  </si>
  <si>
    <t>154</t>
  </si>
  <si>
    <t>1691</t>
  </si>
  <si>
    <t>2026</t>
  </si>
  <si>
    <t>1618</t>
  </si>
  <si>
    <t>58926</t>
  </si>
  <si>
    <t>517-525 WEST 45TH STREET (CURE)</t>
  </si>
  <si>
    <t>61736</t>
  </si>
  <si>
    <t>RIVERSIDE CENTER, BUILDING 4</t>
  </si>
  <si>
    <t>663</t>
  </si>
  <si>
    <t>WEST 59 STREET</t>
  </si>
  <si>
    <t>15102</t>
  </si>
  <si>
    <t>61738</t>
  </si>
  <si>
    <t>RIVERSIDE CENTER, BUILDING 1</t>
  </si>
  <si>
    <t>400</t>
  </si>
  <si>
    <t>WEST 61 STREET</t>
  </si>
  <si>
    <t>61741</t>
  </si>
  <si>
    <t>RIVERSIDE CENTER, BUILDING 3</t>
  </si>
  <si>
    <t>58658</t>
  </si>
  <si>
    <t>LA CASA NUESTRA HDFC.YR15.FY17</t>
  </si>
  <si>
    <t>2334</t>
  </si>
  <si>
    <t>192</t>
  </si>
  <si>
    <t>1411</t>
  </si>
  <si>
    <t>50386</t>
  </si>
  <si>
    <t>304-306 EAST 8TH STREET HDFC</t>
  </si>
  <si>
    <t>61021</t>
  </si>
  <si>
    <t>316 EAST 91ST STREET</t>
  </si>
  <si>
    <t>EAST 91 STREET</t>
  </si>
  <si>
    <t>15401</t>
  </si>
  <si>
    <t>57758</t>
  </si>
  <si>
    <t>MANHATTANVILLE PHASE I</t>
  </si>
  <si>
    <t>65131</t>
  </si>
  <si>
    <t>THE SUTTON</t>
  </si>
  <si>
    <t>53484</t>
  </si>
  <si>
    <t>GOTHAM RESIDENTIAL</t>
  </si>
  <si>
    <t>60049</t>
  </si>
  <si>
    <t>West 204 Street Project</t>
  </si>
  <si>
    <t>436</t>
  </si>
  <si>
    <t>WEST 204 STREET</t>
  </si>
  <si>
    <t>65077</t>
  </si>
  <si>
    <t>AURUM</t>
  </si>
  <si>
    <t>2239</t>
  </si>
  <si>
    <t>60361</t>
  </si>
  <si>
    <t>81 Madison St.</t>
  </si>
  <si>
    <t>MADISON STREET</t>
  </si>
  <si>
    <t>65125</t>
  </si>
  <si>
    <t>WEST END TOWERS</t>
  </si>
  <si>
    <t>59387</t>
  </si>
  <si>
    <t>145 MADISON AVENUE</t>
  </si>
  <si>
    <t>58945</t>
  </si>
  <si>
    <t>Prince George Hotel</t>
  </si>
  <si>
    <t>65140</t>
  </si>
  <si>
    <t>607 WEST 161 STREET</t>
  </si>
  <si>
    <t>607</t>
  </si>
  <si>
    <t>52461</t>
  </si>
  <si>
    <t>92 St. Nicholas Avenue HDFC</t>
  </si>
  <si>
    <t>92</t>
  </si>
  <si>
    <t>54984</t>
  </si>
  <si>
    <t>610 WEST 178 ST. HDFC</t>
  </si>
  <si>
    <t>608</t>
  </si>
  <si>
    <t>61660</t>
  </si>
  <si>
    <t>ECDO TRANSFERS TO NYC JOE</t>
  </si>
  <si>
    <t>654</t>
  </si>
  <si>
    <t>ST NICHOLAS PLACE</t>
  </si>
  <si>
    <t>457</t>
  </si>
  <si>
    <t>361</t>
  </si>
  <si>
    <t>433</t>
  </si>
  <si>
    <t>366</t>
  </si>
  <si>
    <t>452</t>
  </si>
  <si>
    <t>59946</t>
  </si>
  <si>
    <t>Tahl-Propp - AIMCO</t>
  </si>
  <si>
    <t>46</t>
  </si>
  <si>
    <t>52</t>
  </si>
  <si>
    <t>602</t>
  </si>
  <si>
    <t>2411</t>
  </si>
  <si>
    <t>frederick douglass boulevard</t>
  </si>
  <si>
    <t>604</t>
  </si>
  <si>
    <t>612</t>
  </si>
  <si>
    <t>50519</t>
  </si>
  <si>
    <t>Randolph Houses Phase II</t>
  </si>
  <si>
    <t>61485</t>
  </si>
  <si>
    <t>58887</t>
  </si>
  <si>
    <t>EAST CHINATOWN HDFC</t>
  </si>
  <si>
    <t>ELDRIDGE STREET</t>
  </si>
  <si>
    <t>50132</t>
  </si>
  <si>
    <t>TMN906 - NMIC</t>
  </si>
  <si>
    <t>271</t>
  </si>
  <si>
    <t>47868</t>
  </si>
  <si>
    <t>211 West 147 Street</t>
  </si>
  <si>
    <t>47888</t>
  </si>
  <si>
    <t>46-48 East 129 Street</t>
  </si>
  <si>
    <t>62256</t>
  </si>
  <si>
    <t>65117</t>
  </si>
  <si>
    <t>CRESCENT 110 EQUITIES LLC</t>
  </si>
  <si>
    <t>2040</t>
  </si>
  <si>
    <t>58789</t>
  </si>
  <si>
    <t>French Apartments</t>
  </si>
  <si>
    <t>65070</t>
  </si>
  <si>
    <t>71 EAST 110TH STREET</t>
  </si>
  <si>
    <t>65090</t>
  </si>
  <si>
    <t>1674 PARK AVENUE APARTMENTS</t>
  </si>
  <si>
    <t>1674</t>
  </si>
  <si>
    <t>44357</t>
  </si>
  <si>
    <t>Acacia Gardens</t>
  </si>
  <si>
    <t>54807</t>
  </si>
  <si>
    <t>166 East 100th Street</t>
  </si>
  <si>
    <t>50384</t>
  </si>
  <si>
    <t>Mascot Flats HDFC</t>
  </si>
  <si>
    <t>742</t>
  </si>
  <si>
    <t>60789</t>
  </si>
  <si>
    <t>58870</t>
  </si>
  <si>
    <t>El Caribe Apartments</t>
  </si>
  <si>
    <t>ALLEN STREET</t>
  </si>
  <si>
    <t>147</t>
  </si>
  <si>
    <t>RIVINGTON STREET</t>
  </si>
  <si>
    <t>60761</t>
  </si>
  <si>
    <t>Marseilles Apartments</t>
  </si>
  <si>
    <t>2689</t>
  </si>
  <si>
    <t>191</t>
  </si>
  <si>
    <t>65118</t>
  </si>
  <si>
    <t>ENCLAVE AT THE CATHEDRAL</t>
  </si>
  <si>
    <t>19701</t>
  </si>
  <si>
    <t>55238</t>
  </si>
  <si>
    <t>JOHN PAUL II APARTMENTS</t>
  </si>
  <si>
    <t>61376</t>
  </si>
  <si>
    <t>435 East 13th Street Apartments</t>
  </si>
  <si>
    <t>EAST 14 STREET</t>
  </si>
  <si>
    <t>59688</t>
  </si>
  <si>
    <t>Riverton Square</t>
  </si>
  <si>
    <t>2225</t>
  </si>
  <si>
    <t>EAST 135 STREET</t>
  </si>
  <si>
    <t>EAST 138 STREET</t>
  </si>
  <si>
    <t>2255</t>
  </si>
  <si>
    <t>2156</t>
  </si>
  <si>
    <t>2190</t>
  </si>
  <si>
    <t>65092</t>
  </si>
  <si>
    <t>1770 MADISON AVENUE LLC</t>
  </si>
  <si>
    <t>1770</t>
  </si>
  <si>
    <t>49445</t>
  </si>
  <si>
    <t>TMN903 - Lemle &amp; Wolff</t>
  </si>
  <si>
    <t>31</t>
  </si>
  <si>
    <t>53077</t>
  </si>
  <si>
    <t>CLAYTON APARTMENTS, INC. 8-A LOAN</t>
  </si>
  <si>
    <t>485</t>
  </si>
  <si>
    <t>57642</t>
  </si>
  <si>
    <t>404 East 10 Street HDFC</t>
  </si>
  <si>
    <t>404</t>
  </si>
  <si>
    <t>59857</t>
  </si>
  <si>
    <t>Stuy Town Peter Cooper Village</t>
  </si>
  <si>
    <t>240</t>
  </si>
  <si>
    <t>MN0601</t>
  </si>
  <si>
    <t>277</t>
  </si>
  <si>
    <t>635</t>
  </si>
  <si>
    <t>647</t>
  </si>
  <si>
    <t>430</t>
  </si>
  <si>
    <t>EAST 20 STREET</t>
  </si>
  <si>
    <t>431</t>
  </si>
  <si>
    <t>442</t>
  </si>
  <si>
    <t>511</t>
  </si>
  <si>
    <t>522</t>
  </si>
  <si>
    <t>541</t>
  </si>
  <si>
    <t>601</t>
  </si>
  <si>
    <t>360</t>
  </si>
  <si>
    <t>370</t>
  </si>
  <si>
    <t>390</t>
  </si>
  <si>
    <t>2</t>
  </si>
  <si>
    <t>PETER COOPER ROAD</t>
  </si>
  <si>
    <t>5</t>
  </si>
  <si>
    <t>STUYVESANT OVAL</t>
  </si>
  <si>
    <t>19</t>
  </si>
  <si>
    <t>53551</t>
  </si>
  <si>
    <t>Lower East Side - Inclusionary Zoning</t>
  </si>
  <si>
    <t>377</t>
  </si>
  <si>
    <t>52435</t>
  </si>
  <si>
    <t>Essex Crossing - Site 6</t>
  </si>
  <si>
    <t>59856</t>
  </si>
  <si>
    <t>Washington Square Southeast</t>
  </si>
  <si>
    <t>501</t>
  </si>
  <si>
    <t>LA GUARDIA PLACE</t>
  </si>
  <si>
    <t>5501</t>
  </si>
  <si>
    <t>52082</t>
  </si>
  <si>
    <t>ESSEX CROSSING - SITE 1</t>
  </si>
  <si>
    <t>59407</t>
  </si>
  <si>
    <t>59827</t>
  </si>
  <si>
    <t>15 Hudson Yards Apartments</t>
  </si>
  <si>
    <t>553</t>
  </si>
  <si>
    <t>52795</t>
  </si>
  <si>
    <t>WIN. 21 WEST 118TH STREET</t>
  </si>
  <si>
    <t>59816</t>
  </si>
  <si>
    <t>The Victoria Theater (20146036)</t>
  </si>
  <si>
    <t>53392</t>
  </si>
  <si>
    <t>1766-68 SECOND AVENUE</t>
  </si>
  <si>
    <t>1766</t>
  </si>
  <si>
    <t>53552</t>
  </si>
  <si>
    <t>38-46 West 33rd Street</t>
  </si>
  <si>
    <t>WEST 33 STREET</t>
  </si>
  <si>
    <t>76</t>
  </si>
  <si>
    <t>54748</t>
  </si>
  <si>
    <t>515 WEST 36TH STREET</t>
  </si>
  <si>
    <t>WEST 36 STREET</t>
  </si>
  <si>
    <t>52287</t>
  </si>
  <si>
    <t>229 Cherry Street</t>
  </si>
  <si>
    <t>CHERRY STREET</t>
  </si>
  <si>
    <t>48973</t>
  </si>
  <si>
    <t>508 West 134 Street</t>
  </si>
  <si>
    <t>48650</t>
  </si>
  <si>
    <t>Cooper Square. 222 East 13th St. Ali Forney</t>
  </si>
  <si>
    <t>4002</t>
  </si>
  <si>
    <t>50223</t>
  </si>
  <si>
    <t>CENTRAL HARLEM HDFC&amp;270 ROCHESTER AVEHDFC</t>
  </si>
  <si>
    <t>2480</t>
  </si>
  <si>
    <t>52083</t>
  </si>
  <si>
    <t>Essex Crossing - Site 5</t>
  </si>
  <si>
    <t>52122</t>
  </si>
  <si>
    <t>Essex Crossing - Site 2</t>
  </si>
  <si>
    <t>DELANCEY STREET</t>
  </si>
  <si>
    <t>54366</t>
  </si>
  <si>
    <t>321 East 60th Street</t>
  </si>
  <si>
    <t>321</t>
  </si>
  <si>
    <t>EAST 60 STREET</t>
  </si>
  <si>
    <t>54709</t>
  </si>
  <si>
    <t>HCCI 2 Phase II</t>
  </si>
  <si>
    <t>239</t>
  </si>
  <si>
    <t>48940</t>
  </si>
  <si>
    <t>207 W. 147 St. HDFC</t>
  </si>
  <si>
    <t>50388</t>
  </si>
  <si>
    <t>TWEEMILL HOUSE HDFC</t>
  </si>
  <si>
    <t>2089</t>
  </si>
  <si>
    <t>51248</t>
  </si>
  <si>
    <t>270 Convent Ave HDFC</t>
  </si>
  <si>
    <t>54948</t>
  </si>
  <si>
    <t>West 140th Street</t>
  </si>
  <si>
    <t>50415</t>
  </si>
  <si>
    <t>Lexington Gardens</t>
  </si>
  <si>
    <t>52674</t>
  </si>
  <si>
    <t>Genesis Year 15 Resyndication</t>
  </si>
  <si>
    <t>2094</t>
  </si>
  <si>
    <t>2407</t>
  </si>
  <si>
    <t>2451</t>
  </si>
  <si>
    <t>2467</t>
  </si>
  <si>
    <t>418</t>
  </si>
  <si>
    <t>WEST 130 STREET</t>
  </si>
  <si>
    <t>WEST 138 STREET</t>
  </si>
  <si>
    <t>51143</t>
  </si>
  <si>
    <t>Edward Dozier HDFC</t>
  </si>
  <si>
    <t>1488</t>
  </si>
  <si>
    <t>1492</t>
  </si>
  <si>
    <t>1496</t>
  </si>
  <si>
    <t>51396</t>
  </si>
  <si>
    <t>RIVERBEND HOUSING COMPANY, INC.</t>
  </si>
  <si>
    <t>2289</t>
  </si>
  <si>
    <t>2301</t>
  </si>
  <si>
    <t>2311</t>
  </si>
  <si>
    <t>2333</t>
  </si>
  <si>
    <t>48732</t>
  </si>
  <si>
    <t>TMN601B - MDG</t>
  </si>
  <si>
    <t>503</t>
  </si>
  <si>
    <t>65130</t>
  </si>
  <si>
    <t>423 EAST 117 STREET</t>
  </si>
  <si>
    <t>45647</t>
  </si>
  <si>
    <t>HARLEN PARK 70 WEST 139TH STREET</t>
  </si>
  <si>
    <t>70</t>
  </si>
  <si>
    <t>48763</t>
  </si>
  <si>
    <t>Dorie Miller Apartments - WHGA</t>
  </si>
  <si>
    <t>2472</t>
  </si>
  <si>
    <t>2797</t>
  </si>
  <si>
    <t>53518</t>
  </si>
  <si>
    <t>222 EAST 44TH STREET</t>
  </si>
  <si>
    <t>54898</t>
  </si>
  <si>
    <t>69 EAST 125TH STREET</t>
  </si>
  <si>
    <t>53006</t>
  </si>
  <si>
    <t>7 West 21st Street</t>
  </si>
  <si>
    <t>WEST 21 STREET</t>
  </si>
  <si>
    <t>54982</t>
  </si>
  <si>
    <t>79-89 AVENUE D</t>
  </si>
  <si>
    <t>751</t>
  </si>
  <si>
    <t>53498</t>
  </si>
  <si>
    <t>118 Fulton Street</t>
  </si>
  <si>
    <t>FULTON STREET</t>
  </si>
  <si>
    <t>1502</t>
  </si>
  <si>
    <t>44324</t>
  </si>
  <si>
    <t>Clinton URA Site 7/CHDC</t>
  </si>
  <si>
    <t>525</t>
  </si>
  <si>
    <t>WEST 52 STREET</t>
  </si>
  <si>
    <t>13501</t>
  </si>
  <si>
    <t>52053</t>
  </si>
  <si>
    <t>525 West 52nd Street</t>
  </si>
  <si>
    <t>50875</t>
  </si>
  <si>
    <t>68 Charlton</t>
  </si>
  <si>
    <t>54494</t>
  </si>
  <si>
    <t>211 WEST 28TH STREET</t>
  </si>
  <si>
    <t>65095</t>
  </si>
  <si>
    <t>207 WEST 115TH STREET</t>
  </si>
  <si>
    <t>49774</t>
  </si>
  <si>
    <t>555 Tenth Avenue</t>
  </si>
  <si>
    <t>551</t>
  </si>
  <si>
    <t>52126</t>
  </si>
  <si>
    <t>509 West 38th Street</t>
  </si>
  <si>
    <t>52218</t>
  </si>
  <si>
    <t>56 FULTON STREET</t>
  </si>
  <si>
    <t>54389</t>
  </si>
  <si>
    <t>Lands End 1</t>
  </si>
  <si>
    <t>54728</t>
  </si>
  <si>
    <t>HELP. 113 EAST 13TH STREET</t>
  </si>
  <si>
    <t>48646</t>
  </si>
  <si>
    <t>SKA MARIN. 1918 FIRST AVE. DRAPER HALL</t>
  </si>
  <si>
    <t>1918</t>
  </si>
  <si>
    <t>55428</t>
  </si>
  <si>
    <t>NYCHA Section 8</t>
  </si>
  <si>
    <t>438</t>
  </si>
  <si>
    <t>51103</t>
  </si>
  <si>
    <t>601 WEST 59TH STREET (1 WEST END AVENUE)</t>
  </si>
  <si>
    <t>50184</t>
  </si>
  <si>
    <t>STRIVERS PLAZA II</t>
  </si>
  <si>
    <t>2312</t>
  </si>
  <si>
    <t>2518</t>
  </si>
  <si>
    <t>2540</t>
  </si>
  <si>
    <t>488</t>
  </si>
  <si>
    <t>490</t>
  </si>
  <si>
    <t>51363</t>
  </si>
  <si>
    <t>Manhattan West (371 Ninth Avenue)</t>
  </si>
  <si>
    <t>371</t>
  </si>
  <si>
    <t>52666</t>
  </si>
  <si>
    <t>STRIVERS PLAZA</t>
  </si>
  <si>
    <t>275</t>
  </si>
  <si>
    <t>58511</t>
  </si>
  <si>
    <t>Canaan House (20140287)</t>
  </si>
  <si>
    <t>51918</t>
  </si>
  <si>
    <t>225 E 39th Street (fka 222 East 40th Street)</t>
  </si>
  <si>
    <t>54679</t>
  </si>
  <si>
    <t>50467</t>
  </si>
  <si>
    <t>210 East 39th Street</t>
  </si>
  <si>
    <t>52733</t>
  </si>
  <si>
    <t>HCCI 2</t>
  </si>
  <si>
    <t>2031</t>
  </si>
  <si>
    <t>2400</t>
  </si>
  <si>
    <t>2815</t>
  </si>
  <si>
    <t>2819</t>
  </si>
  <si>
    <t>2844</t>
  </si>
  <si>
    <t>2855</t>
  </si>
  <si>
    <t>52075</t>
  </si>
  <si>
    <t>PHIPPS PLAZA SOUTH/KB 25</t>
  </si>
  <si>
    <t>EAST 25 STREET</t>
  </si>
  <si>
    <t>53558</t>
  </si>
  <si>
    <t>Phipps Plaza South/KB25 Article XI</t>
  </si>
  <si>
    <t>65138</t>
  </si>
  <si>
    <t>53 WEST 126TH STREET</t>
  </si>
  <si>
    <t>50356</t>
  </si>
  <si>
    <t>Gabriel House LP</t>
  </si>
  <si>
    <t>2044</t>
  </si>
  <si>
    <t>50417</t>
  </si>
  <si>
    <t>Gateway 1</t>
  </si>
  <si>
    <t>WEST 112 STREET</t>
  </si>
  <si>
    <t>50418</t>
  </si>
  <si>
    <t>Audubon</t>
  </si>
  <si>
    <t>2321</t>
  </si>
  <si>
    <t>52241</t>
  </si>
  <si>
    <t>606 WEST 57TH STREET</t>
  </si>
  <si>
    <t>WEST 57 STREET</t>
  </si>
  <si>
    <t>50419</t>
  </si>
  <si>
    <t>Site A/Washington Heights</t>
  </si>
  <si>
    <t>2036</t>
  </si>
  <si>
    <t>50421</t>
  </si>
  <si>
    <t>MSHOUSES</t>
  </si>
  <si>
    <t>58506</t>
  </si>
  <si>
    <t>625 West 57th Street Apartments (20140275)</t>
  </si>
  <si>
    <t>51585</t>
  </si>
  <si>
    <t>217-221 W. 29TH STREET</t>
  </si>
  <si>
    <t>48638</t>
  </si>
  <si>
    <t>LANTERN. 330-332 WEST 51ST ST. STARDOM HALL</t>
  </si>
  <si>
    <t>49959</t>
  </si>
  <si>
    <t>L&amp;M HCCI 260 W 153RD STREET</t>
  </si>
  <si>
    <t>260</t>
  </si>
  <si>
    <t>49544</t>
  </si>
  <si>
    <t>BRC. 330 EAST 4TH ST. CLYDE BURTON</t>
  </si>
  <si>
    <t>49709</t>
  </si>
  <si>
    <t>605 WEST 42ND ST</t>
  </si>
  <si>
    <t>51357</t>
  </si>
  <si>
    <t>PS 186 AKA BGCH (BOYS AND GIRLS CLUB OF HARLEM)</t>
  </si>
  <si>
    <t>44239</t>
  </si>
  <si>
    <t>Home for Harlem Dowling</t>
  </si>
  <si>
    <t>48742</t>
  </si>
  <si>
    <t>40 Riverside Boulevard</t>
  </si>
  <si>
    <t>RIVERSIDE BOULEVARD</t>
  </si>
  <si>
    <t>48898</t>
  </si>
  <si>
    <t>Maple Court - 1901 Madison Ave</t>
  </si>
  <si>
    <t>1883</t>
  </si>
  <si>
    <t>50291</t>
  </si>
  <si>
    <t>E. H. C. C. I. / LA FORTALEZA HDFC</t>
  </si>
  <si>
    <t>EAST 131 STREET</t>
  </si>
  <si>
    <t>52319</t>
  </si>
  <si>
    <t>Chinatown Planning Council HDFC</t>
  </si>
  <si>
    <t>50842</t>
  </si>
  <si>
    <t>Lands End II - Two Bridges A/k/a Cherry St.</t>
  </si>
  <si>
    <t>51177</t>
  </si>
  <si>
    <t>Edgecombe Preservation Reyndication (Phase)</t>
  </si>
  <si>
    <t>1702</t>
  </si>
  <si>
    <t>1780</t>
  </si>
  <si>
    <t>1784</t>
  </si>
  <si>
    <t>1786</t>
  </si>
  <si>
    <t>347</t>
  </si>
  <si>
    <t>49908</t>
  </si>
  <si>
    <t>546 West 44th Street</t>
  </si>
  <si>
    <t>546</t>
  </si>
  <si>
    <t>WEST 44 STREET</t>
  </si>
  <si>
    <t>51104</t>
  </si>
  <si>
    <t>456 Washington Street</t>
  </si>
  <si>
    <t>51607</t>
  </si>
  <si>
    <t>261 Hudson Street</t>
  </si>
  <si>
    <t>HUDSON STREET</t>
  </si>
  <si>
    <t>50359</t>
  </si>
  <si>
    <t>FS Development</t>
  </si>
  <si>
    <t>2394</t>
  </si>
  <si>
    <t>51590</t>
  </si>
  <si>
    <t>226 West 113th Street HDFC</t>
  </si>
  <si>
    <t>50580</t>
  </si>
  <si>
    <t>180 Saint Nicholas Avenue HDFC</t>
  </si>
  <si>
    <t>48128</t>
  </si>
  <si>
    <t>Harlem Cluster-Artimus Construction, Inc.</t>
  </si>
  <si>
    <t>WEST 137TH ST</t>
  </si>
  <si>
    <t>48767</t>
  </si>
  <si>
    <t>HRP 133-134</t>
  </si>
  <si>
    <t>50330</t>
  </si>
  <si>
    <t>626 First Avenue</t>
  </si>
  <si>
    <t>626</t>
  </si>
  <si>
    <t>8601</t>
  </si>
  <si>
    <t>50416</t>
  </si>
  <si>
    <t>Logan Plaza</t>
  </si>
  <si>
    <t>1423</t>
  </si>
  <si>
    <t>55500</t>
  </si>
  <si>
    <t>Carnegie Park</t>
  </si>
  <si>
    <t>50252</t>
  </si>
  <si>
    <t>El Borinquen II</t>
  </si>
  <si>
    <t>52436</t>
  </si>
  <si>
    <t>153 Manhattan Ave HDFC Extended Affordability</t>
  </si>
  <si>
    <t>153</t>
  </si>
  <si>
    <t>65123</t>
  </si>
  <si>
    <t>THE STACK</t>
  </si>
  <si>
    <t>4857</t>
  </si>
  <si>
    <t>49588</t>
  </si>
  <si>
    <t>MY MICRO NY FKA ADAPT NYC/MICRO UNITS</t>
  </si>
  <si>
    <t>335</t>
  </si>
  <si>
    <t>EAST 27 STREET</t>
  </si>
  <si>
    <t>50392</t>
  </si>
  <si>
    <t>Promenade Apartments</t>
  </si>
  <si>
    <t>WEST 225 STREET</t>
  </si>
  <si>
    <t>50682</t>
  </si>
  <si>
    <t>74 W 105th Street</t>
  </si>
  <si>
    <t xml:space="preserve">Total Units </t>
  </si>
  <si>
    <t>Extremely Low = 30% AMI</t>
  </si>
  <si>
    <t>Very Low = 40% AMI</t>
  </si>
  <si>
    <t>Low = 60% AMI</t>
  </si>
  <si>
    <t>Moderate = 80% AMI</t>
  </si>
  <si>
    <t>Middle = 120% AMI</t>
  </si>
  <si>
    <t>Community_Board</t>
  </si>
  <si>
    <t>Median_Household_income</t>
  </si>
  <si>
    <t>AMI_Level</t>
  </si>
  <si>
    <t>Required_Income_1_Person</t>
  </si>
  <si>
    <t>Required_Income_2_Person</t>
  </si>
  <si>
    <t>Required_Income_3_Person</t>
  </si>
  <si>
    <t>Required_Income_4_Person</t>
  </si>
  <si>
    <t xml:space="preserve">$34,020	</t>
  </si>
  <si>
    <t xml:space="preserve">	$43,740</t>
  </si>
  <si>
    <t xml:space="preserve">	$51,840</t>
  </si>
  <si>
    <t xml:space="preserve">	$64,800</t>
  </si>
  <si>
    <t xml:space="preserve">	$68,040</t>
  </si>
  <si>
    <t xml:space="preserve">$90,720	</t>
  </si>
  <si>
    <t xml:space="preserve">$102,060	</t>
  </si>
  <si>
    <t xml:space="preserve">$129,600	</t>
  </si>
  <si>
    <t>read definitions</t>
  </si>
  <si>
    <t>Total_Units</t>
  </si>
  <si>
    <t>Median_Income</t>
  </si>
  <si>
    <t>Req_Income_1</t>
  </si>
  <si>
    <t>Req_Income_2</t>
  </si>
  <si>
    <t>Req_Income_3</t>
  </si>
  <si>
    <t>Req_Income_4</t>
  </si>
  <si>
    <t>Gap_1</t>
  </si>
  <si>
    <t>Gap_2</t>
  </si>
  <si>
    <t>Gap_3</t>
  </si>
  <si>
    <t>Gap_4</t>
  </si>
  <si>
    <t>HPD_Affordable_2BR_Rent_AMI</t>
  </si>
  <si>
    <t>CB1_Affordable_Rent_30pct</t>
  </si>
  <si>
    <t>Max_Rent_2BR</t>
  </si>
  <si>
    <t>GAP</t>
  </si>
  <si>
    <t>2 bedroom is key</t>
  </si>
  <si>
    <t>ize</t>
  </si>
  <si>
    <t>30% AMI</t>
  </si>
  <si>
    <t>40% AMI</t>
  </si>
  <si>
    <t>50% AMI</t>
  </si>
  <si>
    <t>60% AMI</t>
  </si>
  <si>
    <t>70% AMI</t>
  </si>
  <si>
    <t>80% AMI</t>
  </si>
  <si>
    <t>90% AMI</t>
  </si>
  <si>
    <t>100% AMI</t>
  </si>
  <si>
    <t>110% AMI</t>
  </si>
  <si>
    <t>120% AMI</t>
  </si>
  <si>
    <t>130% AMI</t>
  </si>
  <si>
    <t>165% AMI</t>
  </si>
  <si>
    <t>Studio</t>
  </si>
  <si>
    <t>One-bedroom</t>
  </si>
  <si>
    <t>Two-bedroom</t>
  </si>
  <si>
    <t>FAMILY SIZE</t>
  </si>
  <si>
    <t>Affordable Housing Area Media Income (AMI)</t>
  </si>
  <si>
    <t>Required_Income_3Person</t>
  </si>
  <si>
    <t>Units_Built</t>
  </si>
  <si>
    <t>31-50%</t>
  </si>
  <si>
    <t>Income Band</t>
  </si>
  <si>
    <t>Percent of AMI</t>
  </si>
  <si>
    <t>Extremely Low-Income</t>
  </si>
  <si>
    <t>0-30%</t>
  </si>
  <si>
    <t>Very Low-Income</t>
  </si>
  <si>
    <t>Low-Income</t>
  </si>
  <si>
    <t>51-80%</t>
  </si>
  <si>
    <t>Moderate-Income</t>
  </si>
  <si>
    <t>81-120%</t>
  </si>
  <si>
    <t>Middle-Income</t>
  </si>
  <si>
    <t>121-165%</t>
  </si>
  <si>
    <t>Units Built</t>
  </si>
  <si>
    <t>Area Median Income - HPD</t>
  </si>
  <si>
    <t>Affordable Housing Production by Project | NYC Open Data</t>
  </si>
  <si>
    <t>Sources:</t>
  </si>
  <si>
    <t>Area Median Income (AMI)</t>
  </si>
  <si>
    <t>Family Size</t>
  </si>
  <si>
    <t xml:space="preserve">Required Income 3 Person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</si>
</sst>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mm/dd/yyyy"/>
    <numFmt numFmtId="165" formatCode="0.###########"/>
    <numFmt numFmtId="166" formatCode="#,##0.###########"/>
    <numFmt numFmtId="167" formatCode="&quot;$&quot;#,##0"/>
    <numFmt numFmtId="168" formatCode="_(&quot;$&quot;* #,##0_);_(&quot;$&quot;* \(#,##0\);_(&quot;$&quot;* &quot;-&quot;??_);_(@_)"/>
    <numFmt numFmtId="169" formatCode="&quot;$&quot;#,##0.00"/>
    <numFmt numFmtId="170" formatCode="&quot;$&quot;#,##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333333"/>
      <name val="Helvetica Neue"/>
      <family val="2"/>
    </font>
    <font>
      <sz val="12"/>
      <color theme="1"/>
      <name val="Calibri"/>
      <family val="2"/>
    </font>
    <font>
      <sz val="12"/>
      <color rgb="FF333333"/>
      <name val="Calibri"/>
      <family val="2"/>
    </font>
    <font>
      <sz val="14"/>
      <color theme="1"/>
      <name val="Calibri"/>
      <family val="2"/>
    </font>
    <font>
      <sz val="14"/>
      <color rgb="FF333333"/>
      <name val="Calibri"/>
      <family val="2"/>
    </font>
    <font>
      <b/>
      <sz val="16"/>
      <color theme="1"/>
      <name val="Helvetica Neue"/>
      <family val="2"/>
    </font>
    <font>
      <sz val="16"/>
      <color theme="1"/>
      <name val="Helvetica Neue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5" fillId="0" borderId="0"/>
    <xf numFmtId="9" fontId="5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1">
    <xf numFmtId="0" fontId="0" fillId="0" borderId="0" xfId="0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9" fontId="0" fillId="0" borderId="0" xfId="0" applyNumberFormat="1"/>
    <xf numFmtId="0" fontId="7" fillId="0" borderId="0" xfId="0" applyFont="1"/>
    <xf numFmtId="0" fontId="3" fillId="0" borderId="0" xfId="0" applyFont="1"/>
    <xf numFmtId="167" fontId="8" fillId="0" borderId="0" xfId="1" applyNumberFormat="1" applyFont="1" applyAlignment="1">
      <alignment horizontal="right" indent="1"/>
    </xf>
    <xf numFmtId="167" fontId="9" fillId="0" borderId="0" xfId="1" applyNumberFormat="1" applyFont="1" applyAlignment="1">
      <alignment horizontal="right" indent="1"/>
    </xf>
    <xf numFmtId="0" fontId="8" fillId="0" borderId="0" xfId="0" applyFont="1"/>
    <xf numFmtId="9" fontId="8" fillId="0" borderId="0" xfId="0" applyNumberFormat="1" applyFont="1"/>
    <xf numFmtId="9" fontId="10" fillId="0" borderId="0" xfId="0" applyNumberFormat="1" applyFont="1"/>
    <xf numFmtId="167" fontId="10" fillId="0" borderId="0" xfId="1" applyNumberFormat="1" applyFont="1" applyAlignment="1">
      <alignment horizontal="right" indent="1"/>
    </xf>
    <xf numFmtId="167" fontId="11" fillId="0" borderId="0" xfId="1" applyNumberFormat="1" applyFont="1" applyAlignment="1">
      <alignment horizontal="right" indent="1"/>
    </xf>
    <xf numFmtId="0" fontId="10" fillId="0" borderId="0" xfId="0" applyFont="1"/>
    <xf numFmtId="0" fontId="6" fillId="0" borderId="0" xfId="0" applyFont="1"/>
    <xf numFmtId="1" fontId="0" fillId="0" borderId="0" xfId="0" applyNumberFormat="1"/>
    <xf numFmtId="168" fontId="9" fillId="0" borderId="0" xfId="1" applyNumberFormat="1" applyFont="1" applyAlignment="1">
      <alignment horizontal="right" indent="1"/>
    </xf>
    <xf numFmtId="168" fontId="8" fillId="0" borderId="0" xfId="1" applyNumberFormat="1" applyFont="1" applyAlignment="1">
      <alignment horizontal="right" indent="1"/>
    </xf>
    <xf numFmtId="168" fontId="10" fillId="0" borderId="0" xfId="1" applyNumberFormat="1" applyFont="1" applyAlignment="1">
      <alignment horizontal="right" indent="1"/>
    </xf>
    <xf numFmtId="0" fontId="2" fillId="0" borderId="0" xfId="0" applyFont="1"/>
    <xf numFmtId="169" fontId="5" fillId="0" borderId="0" xfId="1" applyNumberFormat="1"/>
    <xf numFmtId="9" fontId="2" fillId="0" borderId="0" xfId="2" applyFont="1"/>
    <xf numFmtId="9" fontId="0" fillId="0" borderId="0" xfId="2" applyFont="1"/>
    <xf numFmtId="168" fontId="5" fillId="0" borderId="0" xfId="1" applyNumberFormat="1"/>
    <xf numFmtId="9" fontId="1" fillId="0" borderId="0" xfId="0" applyNumberFormat="1" applyFont="1"/>
    <xf numFmtId="1" fontId="1" fillId="0" borderId="0" xfId="0" applyNumberFormat="1" applyFont="1"/>
    <xf numFmtId="169" fontId="1" fillId="0" borderId="0" xfId="1" applyNumberFormat="1" applyFont="1"/>
    <xf numFmtId="169" fontId="1" fillId="0" borderId="0" xfId="1" applyNumberFormat="1" applyFont="1" applyAlignment="1">
      <alignment horizontal="right"/>
    </xf>
    <xf numFmtId="169" fontId="1" fillId="0" borderId="0" xfId="1" applyNumberFormat="1" applyFont="1" applyAlignment="1">
      <alignment horizontal="right" indent="1"/>
    </xf>
    <xf numFmtId="5" fontId="1" fillId="0" borderId="0" xfId="0" applyNumberFormat="1" applyFont="1"/>
    <xf numFmtId="169" fontId="1" fillId="0" borderId="0" xfId="0" applyNumberFormat="1" applyFont="1"/>
    <xf numFmtId="0" fontId="1" fillId="0" borderId="0" xfId="0" applyFont="1"/>
    <xf numFmtId="170" fontId="1" fillId="0" borderId="0" xfId="0" applyNumberFormat="1" applyFont="1"/>
    <xf numFmtId="168" fontId="1" fillId="0" borderId="0" xfId="1" applyNumberFormat="1" applyFont="1" applyAlignment="1">
      <alignment horizontal="right" indent="1"/>
    </xf>
    <xf numFmtId="0" fontId="0" fillId="2" borderId="0" xfId="0" applyFill="1"/>
    <xf numFmtId="44" fontId="5" fillId="2" borderId="0" xfId="1" applyFill="1"/>
    <xf numFmtId="6" fontId="7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center"/>
    </xf>
    <xf numFmtId="9" fontId="12" fillId="0" borderId="0" xfId="0" applyNumberFormat="1" applyFont="1"/>
    <xf numFmtId="0" fontId="13" fillId="0" borderId="0" xfId="0" applyFont="1"/>
    <xf numFmtId="6" fontId="13" fillId="0" borderId="0" xfId="0" applyNumberFormat="1" applyFont="1"/>
    <xf numFmtId="0" fontId="15" fillId="0" borderId="0" xfId="0" applyFont="1"/>
    <xf numFmtId="0" fontId="17" fillId="0" borderId="0" xfId="0" applyFont="1"/>
    <xf numFmtId="0" fontId="17" fillId="0" borderId="0" xfId="0" applyFont="1" applyBorder="1"/>
    <xf numFmtId="0" fontId="16" fillId="0" borderId="0" xfId="0" applyFont="1" applyBorder="1" applyAlignment="1">
      <alignment horizontal="center" vertical="top"/>
    </xf>
    <xf numFmtId="0" fontId="17" fillId="0" borderId="1" xfId="0" applyFont="1" applyBorder="1"/>
    <xf numFmtId="1" fontId="17" fillId="0" borderId="1" xfId="0" applyNumberFormat="1" applyFont="1" applyBorder="1"/>
    <xf numFmtId="0" fontId="14" fillId="0" borderId="0" xfId="3"/>
    <xf numFmtId="0" fontId="4" fillId="0" borderId="0" xfId="3" applyFont="1"/>
    <xf numFmtId="0" fontId="16" fillId="3" borderId="1" xfId="0" applyFont="1" applyFill="1" applyBorder="1"/>
    <xf numFmtId="9" fontId="16" fillId="3" borderId="1" xfId="0" applyNumberFormat="1" applyFont="1" applyFill="1" applyBorder="1"/>
    <xf numFmtId="0" fontId="18" fillId="0" borderId="1" xfId="0" applyFont="1" applyBorder="1"/>
    <xf numFmtId="6" fontId="18" fillId="0" borderId="1" xfId="0" applyNumberFormat="1" applyFont="1" applyBorder="1"/>
    <xf numFmtId="0" fontId="17" fillId="0" borderId="1" xfId="0" applyFont="1" applyFill="1" applyBorder="1"/>
    <xf numFmtId="6" fontId="16" fillId="0" borderId="1" xfId="0" applyNumberFormat="1" applyFont="1" applyFill="1" applyBorder="1"/>
    <xf numFmtId="6" fontId="17" fillId="0" borderId="1" xfId="0" applyNumberFormat="1" applyFont="1" applyFill="1" applyBorder="1"/>
    <xf numFmtId="1" fontId="17" fillId="0" borderId="1" xfId="0" applyNumberFormat="1" applyFont="1" applyFill="1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ityofnewyork.us/Housing-Development/Affordable-Housing-Production-by-Project/hq68-rnsi/about_data" TargetMode="External"/><Relationship Id="rId1" Type="http://schemas.openxmlformats.org/officeDocument/2006/relationships/hyperlink" Target="https://www.nyc.gov/site/hpd/services-and-information/area-median-income.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332"/>
  <sheetViews>
    <sheetView topLeftCell="V1" workbookViewId="0">
      <pane ySplit="1" topLeftCell="A49" activePane="bottomLeft" state="frozen"/>
      <selection pane="bottomLeft" activeCell="A1377" sqref="A1377"/>
    </sheetView>
  </sheetViews>
  <sheetFormatPr baseColWidth="10" defaultColWidth="30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idden="1" x14ac:dyDescent="0.2">
      <c r="A2" t="s">
        <v>41</v>
      </c>
      <c r="B2" t="s">
        <v>42</v>
      </c>
      <c r="C2" s="2">
        <v>45838</v>
      </c>
      <c r="E2" s="3">
        <v>37512</v>
      </c>
      <c r="F2" t="s">
        <v>43</v>
      </c>
      <c r="G2" t="s">
        <v>44</v>
      </c>
      <c r="H2" t="s">
        <v>45</v>
      </c>
      <c r="I2" s="3">
        <v>10025</v>
      </c>
      <c r="J2" s="3">
        <v>1018590037</v>
      </c>
      <c r="K2" s="3">
        <v>1055923</v>
      </c>
      <c r="L2" t="s">
        <v>46</v>
      </c>
      <c r="M2" s="4">
        <v>7</v>
      </c>
      <c r="N2" t="s">
        <v>47</v>
      </c>
      <c r="O2" t="s">
        <v>48</v>
      </c>
      <c r="P2" s="4">
        <v>40.798689000000003</v>
      </c>
      <c r="Q2" s="4">
        <v>-73.963676000000007</v>
      </c>
      <c r="R2" s="4">
        <v>40.798613000000003</v>
      </c>
      <c r="S2" s="4">
        <v>-73.964080999999993</v>
      </c>
      <c r="U2" t="s">
        <v>49</v>
      </c>
      <c r="V2" t="s">
        <v>50</v>
      </c>
      <c r="W2" t="s">
        <v>51</v>
      </c>
      <c r="X2" s="4">
        <v>4</v>
      </c>
      <c r="Y2" s="4">
        <v>1</v>
      </c>
      <c r="Z2" s="4">
        <v>1</v>
      </c>
      <c r="AA2" s="4">
        <v>2</v>
      </c>
      <c r="AB2" s="4">
        <v>3</v>
      </c>
      <c r="AF2" s="4">
        <v>1</v>
      </c>
      <c r="AG2" s="4">
        <v>5</v>
      </c>
      <c r="AH2" s="4">
        <v>3</v>
      </c>
      <c r="AI2" s="4">
        <v>2</v>
      </c>
      <c r="AL2" s="4">
        <v>11</v>
      </c>
      <c r="AN2" s="4">
        <v>11</v>
      </c>
      <c r="AO2" s="4">
        <v>19</v>
      </c>
    </row>
    <row r="3" spans="1:41" hidden="1" x14ac:dyDescent="0.2">
      <c r="A3" t="s">
        <v>41</v>
      </c>
      <c r="B3" t="s">
        <v>42</v>
      </c>
      <c r="C3" s="2">
        <v>45838</v>
      </c>
      <c r="E3" s="3">
        <v>37594</v>
      </c>
      <c r="F3" t="s">
        <v>52</v>
      </c>
      <c r="G3" t="s">
        <v>53</v>
      </c>
      <c r="H3" t="s">
        <v>45</v>
      </c>
      <c r="I3" s="3">
        <v>10025</v>
      </c>
      <c r="J3" s="3">
        <v>1018610121</v>
      </c>
      <c r="K3" s="3">
        <v>1055982</v>
      </c>
      <c r="L3" t="s">
        <v>46</v>
      </c>
      <c r="M3" s="4">
        <v>7</v>
      </c>
      <c r="N3" t="s">
        <v>54</v>
      </c>
      <c r="O3" t="s">
        <v>48</v>
      </c>
      <c r="P3" s="4">
        <v>40.799633999999998</v>
      </c>
      <c r="Q3" s="4">
        <v>-73.963784000000004</v>
      </c>
      <c r="R3" s="4">
        <v>40.799905000000003</v>
      </c>
      <c r="S3" s="4">
        <v>-73.963725999999994</v>
      </c>
      <c r="U3" t="s">
        <v>49</v>
      </c>
      <c r="V3" t="s">
        <v>50</v>
      </c>
      <c r="W3" t="s">
        <v>51</v>
      </c>
      <c r="Y3" s="4">
        <v>1</v>
      </c>
      <c r="Z3" s="4">
        <v>1</v>
      </c>
      <c r="AA3" s="4">
        <v>3</v>
      </c>
      <c r="AB3" s="4">
        <v>5</v>
      </c>
      <c r="AF3" s="4">
        <v>3</v>
      </c>
      <c r="AG3" s="4">
        <v>4</v>
      </c>
      <c r="AH3" s="4">
        <v>3</v>
      </c>
      <c r="AL3" s="4">
        <v>10</v>
      </c>
      <c r="AN3" s="4">
        <v>10</v>
      </c>
      <c r="AO3" s="4">
        <v>10</v>
      </c>
    </row>
    <row r="4" spans="1:41" hidden="1" x14ac:dyDescent="0.2">
      <c r="A4" t="s">
        <v>41</v>
      </c>
      <c r="B4" t="s">
        <v>42</v>
      </c>
      <c r="C4" s="2">
        <v>45838</v>
      </c>
      <c r="E4" s="3">
        <v>37595</v>
      </c>
      <c r="F4" t="s">
        <v>55</v>
      </c>
      <c r="G4" t="s">
        <v>53</v>
      </c>
      <c r="H4" t="s">
        <v>45</v>
      </c>
      <c r="I4" s="3">
        <v>10025</v>
      </c>
      <c r="J4" s="3">
        <v>1018610021</v>
      </c>
      <c r="K4" s="3">
        <v>1055959</v>
      </c>
      <c r="L4" t="s">
        <v>46</v>
      </c>
      <c r="M4" s="4">
        <v>7</v>
      </c>
      <c r="N4" t="s">
        <v>54</v>
      </c>
      <c r="O4" t="s">
        <v>48</v>
      </c>
      <c r="P4" s="4">
        <v>40.799661</v>
      </c>
      <c r="Q4" s="4">
        <v>-73.963848999999996</v>
      </c>
      <c r="R4" s="4">
        <v>40.799930000000003</v>
      </c>
      <c r="S4" s="4">
        <v>-73.963786999999996</v>
      </c>
      <c r="U4" t="s">
        <v>49</v>
      </c>
      <c r="V4" t="s">
        <v>50</v>
      </c>
      <c r="W4" t="s">
        <v>51</v>
      </c>
      <c r="Y4" s="4">
        <v>2</v>
      </c>
      <c r="Z4" s="4">
        <v>1</v>
      </c>
      <c r="AA4" s="4">
        <v>2</v>
      </c>
      <c r="AB4" s="4">
        <v>5</v>
      </c>
      <c r="AF4" s="4">
        <v>4</v>
      </c>
      <c r="AG4" s="4">
        <v>4</v>
      </c>
      <c r="AH4" s="4">
        <v>2</v>
      </c>
      <c r="AL4" s="4">
        <v>10</v>
      </c>
      <c r="AN4" s="4">
        <v>10</v>
      </c>
      <c r="AO4" s="4">
        <v>10</v>
      </c>
    </row>
    <row r="5" spans="1:41" hidden="1" x14ac:dyDescent="0.2">
      <c r="A5" t="s">
        <v>41</v>
      </c>
      <c r="B5" t="s">
        <v>42</v>
      </c>
      <c r="C5" s="2">
        <v>45838</v>
      </c>
      <c r="E5" s="3">
        <v>37596</v>
      </c>
      <c r="F5" t="s">
        <v>56</v>
      </c>
      <c r="G5" t="s">
        <v>53</v>
      </c>
      <c r="H5" t="s">
        <v>45</v>
      </c>
      <c r="I5" s="3">
        <v>10025</v>
      </c>
      <c r="J5" s="3">
        <v>1018610020</v>
      </c>
      <c r="K5" s="3">
        <v>1055958</v>
      </c>
      <c r="L5" t="s">
        <v>46</v>
      </c>
      <c r="M5" s="4">
        <v>7</v>
      </c>
      <c r="N5" t="s">
        <v>54</v>
      </c>
      <c r="O5" t="s">
        <v>48</v>
      </c>
      <c r="P5" s="4">
        <v>40.799688000000003</v>
      </c>
      <c r="Q5" s="4">
        <v>-73.963909999999998</v>
      </c>
      <c r="R5" s="4">
        <v>40.799956999999999</v>
      </c>
      <c r="S5" s="4">
        <v>-73.963852000000003</v>
      </c>
      <c r="U5" t="s">
        <v>49</v>
      </c>
      <c r="V5" t="s">
        <v>50</v>
      </c>
      <c r="W5" t="s">
        <v>51</v>
      </c>
      <c r="Y5" s="4">
        <v>1</v>
      </c>
      <c r="Z5" s="4">
        <v>2</v>
      </c>
      <c r="AA5" s="4">
        <v>1</v>
      </c>
      <c r="AB5" s="4">
        <v>6</v>
      </c>
      <c r="AF5" s="4">
        <v>5</v>
      </c>
      <c r="AG5" s="4">
        <v>2</v>
      </c>
      <c r="AH5" s="4">
        <v>3</v>
      </c>
      <c r="AL5" s="4">
        <v>10</v>
      </c>
      <c r="AN5" s="4">
        <v>10</v>
      </c>
      <c r="AO5" s="4">
        <v>10</v>
      </c>
    </row>
    <row r="6" spans="1:41" hidden="1" x14ac:dyDescent="0.2">
      <c r="A6" t="s">
        <v>41</v>
      </c>
      <c r="B6" t="s">
        <v>42</v>
      </c>
      <c r="C6" s="2">
        <v>45838</v>
      </c>
      <c r="E6" s="3">
        <v>37723</v>
      </c>
      <c r="F6" t="s">
        <v>57</v>
      </c>
      <c r="G6" t="s">
        <v>58</v>
      </c>
      <c r="H6" t="s">
        <v>45</v>
      </c>
      <c r="I6" s="3">
        <v>10025</v>
      </c>
      <c r="J6" s="3">
        <v>1018800027</v>
      </c>
      <c r="K6" s="3">
        <v>1056680</v>
      </c>
      <c r="L6" t="s">
        <v>46</v>
      </c>
      <c r="M6" s="4">
        <v>7</v>
      </c>
      <c r="N6" t="s">
        <v>59</v>
      </c>
      <c r="O6" t="s">
        <v>48</v>
      </c>
      <c r="P6" s="4">
        <v>40.801904</v>
      </c>
      <c r="Q6" s="4">
        <v>-73.965123000000006</v>
      </c>
      <c r="R6" s="4">
        <v>40.802165000000002</v>
      </c>
      <c r="S6" s="4">
        <v>-73.965176999999997</v>
      </c>
      <c r="U6" t="s">
        <v>49</v>
      </c>
      <c r="V6" t="s">
        <v>50</v>
      </c>
      <c r="W6" t="s">
        <v>51</v>
      </c>
      <c r="X6" s="4">
        <v>7</v>
      </c>
      <c r="Y6" s="4">
        <v>2</v>
      </c>
      <c r="Z6" s="4">
        <v>1</v>
      </c>
      <c r="AA6" s="4">
        <v>2</v>
      </c>
      <c r="AB6" s="4">
        <v>6</v>
      </c>
      <c r="AC6" s="4">
        <v>1</v>
      </c>
      <c r="AD6" s="4">
        <v>1</v>
      </c>
      <c r="AF6" s="4">
        <v>3</v>
      </c>
      <c r="AG6" s="4">
        <v>12</v>
      </c>
      <c r="AH6" s="4">
        <v>3</v>
      </c>
      <c r="AL6" s="4">
        <v>19</v>
      </c>
      <c r="AN6" s="4">
        <v>19</v>
      </c>
      <c r="AO6" s="4">
        <v>21</v>
      </c>
    </row>
    <row r="7" spans="1:41" hidden="1" x14ac:dyDescent="0.2">
      <c r="A7" t="s">
        <v>60</v>
      </c>
      <c r="B7" t="s">
        <v>61</v>
      </c>
      <c r="C7" s="2">
        <v>45838</v>
      </c>
      <c r="D7" s="2">
        <v>45838</v>
      </c>
      <c r="E7" s="3">
        <v>805337</v>
      </c>
      <c r="F7" t="s">
        <v>62</v>
      </c>
      <c r="G7" t="s">
        <v>63</v>
      </c>
      <c r="H7" t="s">
        <v>45</v>
      </c>
      <c r="I7" s="3">
        <v>10002</v>
      </c>
      <c r="J7" s="3">
        <v>1003450048</v>
      </c>
      <c r="K7" s="3">
        <v>1004151</v>
      </c>
      <c r="L7" t="s">
        <v>64</v>
      </c>
      <c r="M7" s="4">
        <v>2</v>
      </c>
      <c r="N7" t="s">
        <v>65</v>
      </c>
      <c r="O7" t="s">
        <v>66</v>
      </c>
      <c r="P7" s="4">
        <v>40.719597999999998</v>
      </c>
      <c r="Q7" s="4">
        <v>-73.982363000000007</v>
      </c>
      <c r="R7" s="4">
        <v>40.720103000000002</v>
      </c>
      <c r="S7" s="4">
        <v>-73.982174999999998</v>
      </c>
      <c r="T7" s="2">
        <v>45838</v>
      </c>
      <c r="U7" t="s">
        <v>49</v>
      </c>
      <c r="V7" t="s">
        <v>50</v>
      </c>
      <c r="W7" t="s">
        <v>51</v>
      </c>
      <c r="X7" s="4">
        <v>139</v>
      </c>
      <c r="Y7" s="4">
        <v>19</v>
      </c>
      <c r="Z7" s="4">
        <v>12</v>
      </c>
      <c r="AA7" s="4">
        <v>1</v>
      </c>
      <c r="AC7" s="4">
        <v>1</v>
      </c>
      <c r="AE7" s="4">
        <v>78</v>
      </c>
      <c r="AF7" s="4">
        <v>72</v>
      </c>
      <c r="AG7" s="4">
        <v>22</v>
      </c>
      <c r="AL7" s="4">
        <v>172</v>
      </c>
      <c r="AN7" s="4">
        <v>172</v>
      </c>
      <c r="AO7" s="4">
        <v>172</v>
      </c>
    </row>
    <row r="8" spans="1:41" hidden="1" x14ac:dyDescent="0.2">
      <c r="A8" t="s">
        <v>67</v>
      </c>
      <c r="B8" t="s">
        <v>68</v>
      </c>
      <c r="C8" s="2">
        <v>45838</v>
      </c>
      <c r="E8" s="3">
        <v>25352</v>
      </c>
      <c r="F8" t="s">
        <v>69</v>
      </c>
      <c r="G8" t="s">
        <v>70</v>
      </c>
      <c r="H8" t="s">
        <v>45</v>
      </c>
      <c r="I8" s="3">
        <v>10025</v>
      </c>
      <c r="J8" s="3">
        <v>1018390045</v>
      </c>
      <c r="K8" s="3">
        <v>1055483</v>
      </c>
      <c r="L8" t="s">
        <v>46</v>
      </c>
      <c r="M8" s="4">
        <v>7</v>
      </c>
      <c r="N8" t="s">
        <v>47</v>
      </c>
      <c r="O8" t="s">
        <v>48</v>
      </c>
      <c r="P8" s="4">
        <v>40.797055999999998</v>
      </c>
      <c r="Q8" s="4">
        <v>-73.962630000000004</v>
      </c>
      <c r="R8" s="4">
        <v>40.797119000000002</v>
      </c>
      <c r="S8" s="4">
        <v>-73.962276000000003</v>
      </c>
      <c r="U8" t="s">
        <v>49</v>
      </c>
      <c r="V8" t="s">
        <v>71</v>
      </c>
      <c r="W8" t="s">
        <v>51</v>
      </c>
      <c r="X8" s="4">
        <v>14</v>
      </c>
      <c r="Y8" s="4">
        <v>3</v>
      </c>
      <c r="Z8" s="4">
        <v>2</v>
      </c>
      <c r="AC8" s="4">
        <v>1</v>
      </c>
      <c r="AD8" s="4">
        <v>5</v>
      </c>
      <c r="AE8" s="4">
        <v>10</v>
      </c>
      <c r="AF8" s="4">
        <v>1</v>
      </c>
      <c r="AG8" s="4">
        <v>4</v>
      </c>
      <c r="AL8" s="4">
        <v>20</v>
      </c>
      <c r="AN8" s="4">
        <v>20</v>
      </c>
      <c r="AO8" s="4">
        <v>20</v>
      </c>
    </row>
    <row r="9" spans="1:41" hidden="1" x14ac:dyDescent="0.2">
      <c r="A9" t="s">
        <v>67</v>
      </c>
      <c r="B9" t="s">
        <v>68</v>
      </c>
      <c r="C9" s="2">
        <v>45838</v>
      </c>
      <c r="E9" s="3">
        <v>37505</v>
      </c>
      <c r="F9" t="s">
        <v>72</v>
      </c>
      <c r="G9" t="s">
        <v>73</v>
      </c>
      <c r="H9" t="s">
        <v>45</v>
      </c>
      <c r="I9" s="3">
        <v>10025</v>
      </c>
      <c r="J9" s="3">
        <v>1018400005</v>
      </c>
      <c r="K9" s="3">
        <v>1055488</v>
      </c>
      <c r="L9" t="s">
        <v>46</v>
      </c>
      <c r="M9" s="4">
        <v>7</v>
      </c>
      <c r="N9" t="s">
        <v>47</v>
      </c>
      <c r="O9" t="s">
        <v>48</v>
      </c>
      <c r="P9" s="4">
        <v>40.797772999999999</v>
      </c>
      <c r="Q9" s="4">
        <v>-73.963474000000005</v>
      </c>
      <c r="R9" s="4">
        <v>40.797840999999998</v>
      </c>
      <c r="S9" s="4">
        <v>-73.963030000000003</v>
      </c>
      <c r="U9" t="s">
        <v>49</v>
      </c>
      <c r="V9" t="s">
        <v>71</v>
      </c>
      <c r="W9" t="s">
        <v>51</v>
      </c>
      <c r="X9" s="4">
        <v>29</v>
      </c>
      <c r="Y9" s="4">
        <v>5</v>
      </c>
      <c r="Z9" s="4">
        <v>5</v>
      </c>
      <c r="AE9" s="4">
        <v>14</v>
      </c>
      <c r="AF9" s="4">
        <v>5</v>
      </c>
      <c r="AG9" s="4">
        <v>15</v>
      </c>
      <c r="AH9" s="4">
        <v>5</v>
      </c>
      <c r="AL9" s="4">
        <v>39</v>
      </c>
      <c r="AN9" s="4">
        <v>39</v>
      </c>
      <c r="AO9" s="4">
        <v>39</v>
      </c>
    </row>
    <row r="10" spans="1:41" hidden="1" x14ac:dyDescent="0.2">
      <c r="A10" t="s">
        <v>74</v>
      </c>
      <c r="B10" t="s">
        <v>75</v>
      </c>
      <c r="C10" s="2">
        <v>45835</v>
      </c>
      <c r="E10" s="3">
        <v>33189</v>
      </c>
      <c r="F10" t="s">
        <v>76</v>
      </c>
      <c r="G10" t="s">
        <v>77</v>
      </c>
      <c r="H10" t="s">
        <v>45</v>
      </c>
      <c r="I10" s="3">
        <v>10036</v>
      </c>
      <c r="J10" s="3">
        <v>1010360005</v>
      </c>
      <c r="K10" s="3">
        <v>1085020</v>
      </c>
      <c r="L10" t="s">
        <v>78</v>
      </c>
      <c r="M10" s="4">
        <v>3</v>
      </c>
      <c r="N10" t="s">
        <v>79</v>
      </c>
      <c r="O10" t="s">
        <v>80</v>
      </c>
      <c r="P10" s="4">
        <v>40.759825999999997</v>
      </c>
      <c r="Q10" s="4">
        <v>-73.989947000000001</v>
      </c>
      <c r="R10" s="4">
        <v>40.760278999999997</v>
      </c>
      <c r="S10" s="4">
        <v>-73.990463000000005</v>
      </c>
      <c r="U10" t="s">
        <v>49</v>
      </c>
      <c r="V10" t="s">
        <v>71</v>
      </c>
      <c r="W10" t="s">
        <v>51</v>
      </c>
      <c r="X10" s="4">
        <v>8</v>
      </c>
      <c r="Y10" s="4">
        <v>10</v>
      </c>
      <c r="Z10" s="4">
        <v>1</v>
      </c>
      <c r="AA10" s="4">
        <v>1</v>
      </c>
      <c r="AE10" s="4">
        <v>10</v>
      </c>
      <c r="AF10" s="4">
        <v>10</v>
      </c>
      <c r="AL10" s="4">
        <v>20</v>
      </c>
      <c r="AN10" s="4">
        <v>20</v>
      </c>
      <c r="AO10" s="4">
        <v>20</v>
      </c>
    </row>
    <row r="11" spans="1:41" hidden="1" x14ac:dyDescent="0.2">
      <c r="A11" t="s">
        <v>74</v>
      </c>
      <c r="B11" t="s">
        <v>75</v>
      </c>
      <c r="C11" s="2">
        <v>45835</v>
      </c>
      <c r="E11" s="3">
        <v>805624</v>
      </c>
      <c r="F11" t="s">
        <v>81</v>
      </c>
      <c r="G11" t="s">
        <v>77</v>
      </c>
      <c r="H11" t="s">
        <v>45</v>
      </c>
      <c r="I11" s="3">
        <v>10036</v>
      </c>
      <c r="J11" s="3">
        <v>1010360005</v>
      </c>
      <c r="K11" s="3">
        <v>1025006</v>
      </c>
      <c r="L11" t="s">
        <v>78</v>
      </c>
      <c r="M11" s="4">
        <v>3</v>
      </c>
      <c r="N11" t="s">
        <v>79</v>
      </c>
      <c r="O11" t="s">
        <v>80</v>
      </c>
      <c r="P11" s="4">
        <v>40.759774</v>
      </c>
      <c r="Q11" s="4">
        <v>-73.989828000000003</v>
      </c>
      <c r="R11" s="4">
        <v>40.760278999999997</v>
      </c>
      <c r="S11" s="4">
        <v>-73.990463000000005</v>
      </c>
      <c r="U11" t="s">
        <v>49</v>
      </c>
      <c r="V11" t="s">
        <v>71</v>
      </c>
      <c r="W11" t="s">
        <v>51</v>
      </c>
      <c r="X11" s="4">
        <v>9</v>
      </c>
      <c r="Y11" s="4">
        <v>9</v>
      </c>
      <c r="Z11" s="4">
        <v>1</v>
      </c>
      <c r="AA11" s="4">
        <v>1</v>
      </c>
      <c r="AE11" s="4">
        <v>10</v>
      </c>
      <c r="AF11" s="4">
        <v>10</v>
      </c>
      <c r="AL11" s="4">
        <v>20</v>
      </c>
      <c r="AN11" s="4">
        <v>20</v>
      </c>
      <c r="AO11" s="4">
        <v>20</v>
      </c>
    </row>
    <row r="12" spans="1:41" hidden="1" x14ac:dyDescent="0.2">
      <c r="A12" t="s">
        <v>74</v>
      </c>
      <c r="B12" t="s">
        <v>75</v>
      </c>
      <c r="C12" s="2">
        <v>45835</v>
      </c>
      <c r="E12" s="3">
        <v>805625</v>
      </c>
      <c r="F12" t="s">
        <v>82</v>
      </c>
      <c r="G12" t="s">
        <v>77</v>
      </c>
      <c r="H12" t="s">
        <v>45</v>
      </c>
      <c r="I12" s="3">
        <v>10036</v>
      </c>
      <c r="J12" s="3">
        <v>1010360005</v>
      </c>
      <c r="K12" s="3">
        <v>1085018</v>
      </c>
      <c r="L12" t="s">
        <v>78</v>
      </c>
      <c r="M12" s="4">
        <v>3</v>
      </c>
      <c r="N12" t="s">
        <v>79</v>
      </c>
      <c r="O12" t="s">
        <v>80</v>
      </c>
      <c r="P12" s="4">
        <v>40.759791</v>
      </c>
      <c r="Q12" s="4">
        <v>-73.989868000000001</v>
      </c>
      <c r="R12" s="4">
        <v>40.760278999999997</v>
      </c>
      <c r="S12" s="4">
        <v>-73.990463000000005</v>
      </c>
      <c r="U12" t="s">
        <v>49</v>
      </c>
      <c r="V12" t="s">
        <v>71</v>
      </c>
      <c r="W12" t="s">
        <v>51</v>
      </c>
      <c r="X12" s="4">
        <v>4</v>
      </c>
      <c r="Y12" s="4">
        <v>14</v>
      </c>
      <c r="Z12" s="4">
        <v>2</v>
      </c>
      <c r="AE12" s="4">
        <v>10</v>
      </c>
      <c r="AF12" s="4">
        <v>10</v>
      </c>
      <c r="AL12" s="4">
        <v>20</v>
      </c>
      <c r="AN12" s="4">
        <v>20</v>
      </c>
      <c r="AO12" s="4">
        <v>20</v>
      </c>
    </row>
    <row r="13" spans="1:41" hidden="1" x14ac:dyDescent="0.2">
      <c r="A13" t="s">
        <v>74</v>
      </c>
      <c r="B13" t="s">
        <v>75</v>
      </c>
      <c r="C13" s="2">
        <v>45835</v>
      </c>
      <c r="E13" s="3">
        <v>805626</v>
      </c>
      <c r="F13" t="s">
        <v>83</v>
      </c>
      <c r="G13" t="s">
        <v>77</v>
      </c>
      <c r="H13" t="s">
        <v>45</v>
      </c>
      <c r="I13" s="3">
        <v>10036</v>
      </c>
      <c r="J13" s="3">
        <v>1010360005</v>
      </c>
      <c r="K13" s="3">
        <v>1085019</v>
      </c>
      <c r="L13" t="s">
        <v>78</v>
      </c>
      <c r="M13" s="4">
        <v>3</v>
      </c>
      <c r="N13" t="s">
        <v>79</v>
      </c>
      <c r="O13" t="s">
        <v>80</v>
      </c>
      <c r="P13" s="4">
        <v>40.759810000000002</v>
      </c>
      <c r="Q13" s="4">
        <v>-73.989907000000002</v>
      </c>
      <c r="R13" s="4">
        <v>40.760278999999997</v>
      </c>
      <c r="S13" s="4">
        <v>-73.990463000000005</v>
      </c>
      <c r="U13" t="s">
        <v>49</v>
      </c>
      <c r="V13" t="s">
        <v>71</v>
      </c>
      <c r="W13" t="s">
        <v>51</v>
      </c>
      <c r="X13" s="4">
        <v>9</v>
      </c>
      <c r="Y13" s="4">
        <v>8</v>
      </c>
      <c r="Z13" s="4">
        <v>1</v>
      </c>
      <c r="AA13" s="4">
        <v>2</v>
      </c>
      <c r="AE13" s="4">
        <v>10</v>
      </c>
      <c r="AF13" s="4">
        <v>10</v>
      </c>
      <c r="AL13" s="4">
        <v>20</v>
      </c>
      <c r="AN13" s="4">
        <v>20</v>
      </c>
      <c r="AO13" s="4">
        <v>20</v>
      </c>
    </row>
    <row r="14" spans="1:41" hidden="1" x14ac:dyDescent="0.2">
      <c r="A14" t="s">
        <v>84</v>
      </c>
      <c r="B14" t="s">
        <v>85</v>
      </c>
      <c r="C14" s="2">
        <v>45835</v>
      </c>
      <c r="E14" s="3">
        <v>6068</v>
      </c>
      <c r="F14" t="s">
        <v>86</v>
      </c>
      <c r="G14" t="s">
        <v>87</v>
      </c>
      <c r="H14" t="s">
        <v>45</v>
      </c>
      <c r="I14" s="3">
        <v>10025</v>
      </c>
      <c r="J14" s="3">
        <v>1018600064</v>
      </c>
      <c r="K14" s="3">
        <v>1055946</v>
      </c>
      <c r="L14" t="s">
        <v>46</v>
      </c>
      <c r="M14" s="4">
        <v>7</v>
      </c>
      <c r="N14" t="s">
        <v>47</v>
      </c>
      <c r="O14" t="s">
        <v>48</v>
      </c>
      <c r="P14" s="4">
        <v>40.80012</v>
      </c>
      <c r="Q14" s="4">
        <v>-73.965933000000007</v>
      </c>
      <c r="R14" s="4">
        <v>40.799979999999998</v>
      </c>
      <c r="S14" s="4">
        <v>-73.965639999999993</v>
      </c>
      <c r="U14" t="s">
        <v>49</v>
      </c>
      <c r="V14" t="s">
        <v>50</v>
      </c>
      <c r="W14" t="s">
        <v>51</v>
      </c>
      <c r="X14" s="4">
        <v>2</v>
      </c>
      <c r="Y14" s="4">
        <v>2</v>
      </c>
      <c r="Z14" s="4">
        <v>1</v>
      </c>
      <c r="AA14" s="4">
        <v>4</v>
      </c>
      <c r="AB14" s="4">
        <v>4</v>
      </c>
      <c r="AF14" s="4">
        <v>6</v>
      </c>
      <c r="AG14" s="4">
        <v>7</v>
      </c>
      <c r="AL14" s="4">
        <v>13</v>
      </c>
      <c r="AN14" s="4">
        <v>13</v>
      </c>
      <c r="AO14" s="4">
        <v>13</v>
      </c>
    </row>
    <row r="15" spans="1:41" hidden="1" x14ac:dyDescent="0.2">
      <c r="A15" t="s">
        <v>84</v>
      </c>
      <c r="B15" t="s">
        <v>85</v>
      </c>
      <c r="C15" s="2">
        <v>45835</v>
      </c>
      <c r="E15" s="3">
        <v>6070</v>
      </c>
      <c r="F15" t="s">
        <v>88</v>
      </c>
      <c r="G15" t="s">
        <v>87</v>
      </c>
      <c r="H15" t="s">
        <v>45</v>
      </c>
      <c r="I15" s="3">
        <v>10025</v>
      </c>
      <c r="J15" s="3">
        <v>1018600063</v>
      </c>
      <c r="K15" s="3">
        <v>1055945</v>
      </c>
      <c r="L15" t="s">
        <v>46</v>
      </c>
      <c r="M15" s="4">
        <v>7</v>
      </c>
      <c r="N15" t="s">
        <v>47</v>
      </c>
      <c r="O15" t="s">
        <v>48</v>
      </c>
      <c r="P15" s="4">
        <v>40.800175000000003</v>
      </c>
      <c r="Q15" s="4">
        <v>-73.965892999999994</v>
      </c>
      <c r="R15" s="4">
        <v>40.800040000000003</v>
      </c>
      <c r="S15" s="4">
        <v>-73.965597000000002</v>
      </c>
      <c r="U15" t="s">
        <v>49</v>
      </c>
      <c r="V15" t="s">
        <v>50</v>
      </c>
      <c r="W15" t="s">
        <v>51</v>
      </c>
      <c r="X15" s="4">
        <v>3</v>
      </c>
      <c r="Y15" s="4">
        <v>1</v>
      </c>
      <c r="Z15" s="4">
        <v>1</v>
      </c>
      <c r="AA15" s="4">
        <v>6</v>
      </c>
      <c r="AB15" s="4">
        <v>2</v>
      </c>
      <c r="AF15" s="4">
        <v>3</v>
      </c>
      <c r="AG15" s="4">
        <v>10</v>
      </c>
      <c r="AL15" s="4">
        <v>13</v>
      </c>
      <c r="AN15" s="4">
        <v>13</v>
      </c>
      <c r="AO15" s="4">
        <v>13</v>
      </c>
    </row>
    <row r="16" spans="1:41" hidden="1" x14ac:dyDescent="0.2">
      <c r="A16" t="s">
        <v>84</v>
      </c>
      <c r="B16" t="s">
        <v>85</v>
      </c>
      <c r="C16" s="2">
        <v>45835</v>
      </c>
      <c r="E16" s="3">
        <v>6072</v>
      </c>
      <c r="F16" t="s">
        <v>89</v>
      </c>
      <c r="G16" t="s">
        <v>87</v>
      </c>
      <c r="H16" t="s">
        <v>45</v>
      </c>
      <c r="I16" s="3">
        <v>10025</v>
      </c>
      <c r="J16" s="3">
        <v>1018600061</v>
      </c>
      <c r="K16" s="3">
        <v>1055944</v>
      </c>
      <c r="L16" t="s">
        <v>46</v>
      </c>
      <c r="M16" s="4">
        <v>7</v>
      </c>
      <c r="N16" t="s">
        <v>47</v>
      </c>
      <c r="O16" t="s">
        <v>48</v>
      </c>
      <c r="P16" s="4">
        <v>40.800227</v>
      </c>
      <c r="Q16" s="4">
        <v>-73.965852999999996</v>
      </c>
      <c r="R16" s="4">
        <v>40.800131</v>
      </c>
      <c r="S16" s="4">
        <v>-73.965528000000006</v>
      </c>
      <c r="U16" t="s">
        <v>49</v>
      </c>
      <c r="V16" t="s">
        <v>50</v>
      </c>
      <c r="W16" t="s">
        <v>51</v>
      </c>
      <c r="X16" s="4">
        <v>1</v>
      </c>
      <c r="Y16" s="4">
        <v>7</v>
      </c>
      <c r="Z16" s="4">
        <v>8</v>
      </c>
      <c r="AA16" s="4">
        <v>6</v>
      </c>
      <c r="AB16" s="4">
        <v>3</v>
      </c>
      <c r="AE16" s="4">
        <v>14</v>
      </c>
      <c r="AF16" s="4">
        <v>6</v>
      </c>
      <c r="AG16" s="4">
        <v>5</v>
      </c>
      <c r="AL16" s="4">
        <v>25</v>
      </c>
      <c r="AN16" s="4">
        <v>25</v>
      </c>
      <c r="AO16" s="4">
        <v>28</v>
      </c>
    </row>
    <row r="17" spans="1:41" hidden="1" x14ac:dyDescent="0.2">
      <c r="A17" t="s">
        <v>84</v>
      </c>
      <c r="B17" t="s">
        <v>85</v>
      </c>
      <c r="C17" s="2">
        <v>45835</v>
      </c>
      <c r="E17" s="3">
        <v>6090</v>
      </c>
      <c r="F17" t="s">
        <v>90</v>
      </c>
      <c r="G17" t="s">
        <v>87</v>
      </c>
      <c r="H17" t="s">
        <v>45</v>
      </c>
      <c r="I17" s="3">
        <v>10025</v>
      </c>
      <c r="J17" s="3">
        <v>1018620003</v>
      </c>
      <c r="K17" s="3">
        <v>1055985</v>
      </c>
      <c r="L17" t="s">
        <v>46</v>
      </c>
      <c r="M17" s="4">
        <v>7</v>
      </c>
      <c r="N17" t="s">
        <v>54</v>
      </c>
      <c r="O17" t="s">
        <v>48</v>
      </c>
      <c r="P17" s="4">
        <v>40.801299999999998</v>
      </c>
      <c r="Q17" s="4">
        <v>-73.965064999999996</v>
      </c>
      <c r="R17" s="4">
        <v>40.801237</v>
      </c>
      <c r="S17" s="4">
        <v>-73.964725999999999</v>
      </c>
      <c r="U17" t="s">
        <v>49</v>
      </c>
      <c r="V17" t="s">
        <v>50</v>
      </c>
      <c r="W17" t="s">
        <v>51</v>
      </c>
      <c r="X17" s="4">
        <v>5</v>
      </c>
      <c r="Y17" s="4">
        <v>5</v>
      </c>
      <c r="AA17" s="4">
        <v>9</v>
      </c>
      <c r="AB17" s="4">
        <v>7</v>
      </c>
      <c r="AF17" s="4">
        <v>14</v>
      </c>
      <c r="AG17" s="4">
        <v>12</v>
      </c>
      <c r="AL17" s="4">
        <v>26</v>
      </c>
      <c r="AN17" s="4">
        <v>26</v>
      </c>
      <c r="AO17" s="4">
        <v>28</v>
      </c>
    </row>
    <row r="18" spans="1:41" hidden="1" x14ac:dyDescent="0.2">
      <c r="A18" t="s">
        <v>84</v>
      </c>
      <c r="B18" t="s">
        <v>85</v>
      </c>
      <c r="C18" s="2">
        <v>45835</v>
      </c>
      <c r="E18" s="3">
        <v>6092</v>
      </c>
      <c r="F18" t="s">
        <v>91</v>
      </c>
      <c r="G18" t="s">
        <v>87</v>
      </c>
      <c r="H18" t="s">
        <v>45</v>
      </c>
      <c r="I18" s="3">
        <v>10025</v>
      </c>
      <c r="J18" s="3">
        <v>1018620064</v>
      </c>
      <c r="K18" s="3">
        <v>1055995</v>
      </c>
      <c r="L18" t="s">
        <v>46</v>
      </c>
      <c r="M18" s="4">
        <v>7</v>
      </c>
      <c r="N18" t="s">
        <v>54</v>
      </c>
      <c r="O18" t="s">
        <v>48</v>
      </c>
      <c r="P18" s="4">
        <v>40.801399000000004</v>
      </c>
      <c r="Q18" s="4">
        <v>-73.964993000000007</v>
      </c>
      <c r="R18" s="4">
        <v>40.801327000000001</v>
      </c>
      <c r="S18" s="4">
        <v>-73.964657000000003</v>
      </c>
      <c r="U18" t="s">
        <v>49</v>
      </c>
      <c r="V18" t="s">
        <v>50</v>
      </c>
      <c r="W18" t="s">
        <v>51</v>
      </c>
      <c r="X18" s="4">
        <v>1</v>
      </c>
      <c r="Y18" s="4">
        <v>2</v>
      </c>
      <c r="Z18" s="4">
        <v>1</v>
      </c>
      <c r="AA18" s="4">
        <v>3</v>
      </c>
      <c r="AB18" s="4">
        <v>5</v>
      </c>
      <c r="AF18" s="4">
        <v>7</v>
      </c>
      <c r="AG18" s="4">
        <v>5</v>
      </c>
      <c r="AL18" s="4">
        <v>12</v>
      </c>
      <c r="AN18" s="4">
        <v>12</v>
      </c>
      <c r="AO18" s="4">
        <v>12</v>
      </c>
    </row>
    <row r="19" spans="1:41" hidden="1" x14ac:dyDescent="0.2">
      <c r="A19" t="s">
        <v>84</v>
      </c>
      <c r="B19" t="s">
        <v>85</v>
      </c>
      <c r="C19" s="2">
        <v>45835</v>
      </c>
      <c r="E19" s="3">
        <v>6093</v>
      </c>
      <c r="F19" t="s">
        <v>92</v>
      </c>
      <c r="G19" t="s">
        <v>87</v>
      </c>
      <c r="H19" t="s">
        <v>45</v>
      </c>
      <c r="I19" s="3">
        <v>10025</v>
      </c>
      <c r="J19" s="3">
        <v>1018620063</v>
      </c>
      <c r="K19" s="3">
        <v>1055994</v>
      </c>
      <c r="L19" t="s">
        <v>46</v>
      </c>
      <c r="M19" s="4">
        <v>7</v>
      </c>
      <c r="N19" t="s">
        <v>54</v>
      </c>
      <c r="O19" t="s">
        <v>48</v>
      </c>
      <c r="P19" s="4">
        <v>40.801445000000001</v>
      </c>
      <c r="Q19" s="4">
        <v>-73.964960000000005</v>
      </c>
      <c r="R19" s="4">
        <v>40.801392999999997</v>
      </c>
      <c r="S19" s="4">
        <v>-73.964624999999998</v>
      </c>
      <c r="U19" t="s">
        <v>49</v>
      </c>
      <c r="V19" t="s">
        <v>50</v>
      </c>
      <c r="W19" t="s">
        <v>51</v>
      </c>
      <c r="X19" s="4">
        <v>1</v>
      </c>
      <c r="Y19" s="4">
        <v>1</v>
      </c>
      <c r="Z19" s="4">
        <v>1</v>
      </c>
      <c r="AA19" s="4">
        <v>4</v>
      </c>
      <c r="AC19" s="4">
        <v>1</v>
      </c>
      <c r="AF19" s="4">
        <v>1</v>
      </c>
      <c r="AG19" s="4">
        <v>6</v>
      </c>
      <c r="AH19" s="4">
        <v>1</v>
      </c>
      <c r="AL19" s="4">
        <v>8</v>
      </c>
      <c r="AN19" s="4">
        <v>8</v>
      </c>
      <c r="AO19" s="4">
        <v>9</v>
      </c>
    </row>
    <row r="20" spans="1:41" hidden="1" x14ac:dyDescent="0.2">
      <c r="A20" t="s">
        <v>84</v>
      </c>
      <c r="B20" t="s">
        <v>85</v>
      </c>
      <c r="C20" s="2">
        <v>45835</v>
      </c>
      <c r="E20" s="3">
        <v>25200</v>
      </c>
      <c r="F20" t="s">
        <v>93</v>
      </c>
      <c r="G20" t="s">
        <v>70</v>
      </c>
      <c r="H20" t="s">
        <v>45</v>
      </c>
      <c r="I20" s="3">
        <v>10025</v>
      </c>
      <c r="J20" s="3">
        <v>1018430017</v>
      </c>
      <c r="K20" s="3">
        <v>1055686</v>
      </c>
      <c r="L20" t="s">
        <v>46</v>
      </c>
      <c r="M20" s="4">
        <v>7</v>
      </c>
      <c r="N20" t="s">
        <v>54</v>
      </c>
      <c r="O20" t="s">
        <v>48</v>
      </c>
      <c r="P20" s="4">
        <v>40.799616</v>
      </c>
      <c r="Q20" s="4">
        <v>-73.960790000000003</v>
      </c>
      <c r="R20" s="4">
        <v>40.799858</v>
      </c>
      <c r="S20" s="4">
        <v>-73.960966999999997</v>
      </c>
      <c r="U20" t="s">
        <v>49</v>
      </c>
      <c r="V20" t="s">
        <v>50</v>
      </c>
      <c r="W20" t="s">
        <v>51</v>
      </c>
      <c r="Y20" s="4">
        <v>6</v>
      </c>
      <c r="Z20" s="4">
        <v>1</v>
      </c>
      <c r="AB20" s="4">
        <v>15</v>
      </c>
      <c r="AE20" s="4">
        <v>10</v>
      </c>
      <c r="AF20" s="4">
        <v>12</v>
      </c>
      <c r="AL20" s="4">
        <v>22</v>
      </c>
      <c r="AN20" s="4">
        <v>22</v>
      </c>
      <c r="AO20" s="4">
        <v>23</v>
      </c>
    </row>
    <row r="21" spans="1:41" hidden="1" x14ac:dyDescent="0.2">
      <c r="A21" t="s">
        <v>84</v>
      </c>
      <c r="B21" t="s">
        <v>85</v>
      </c>
      <c r="C21" s="2">
        <v>45835</v>
      </c>
      <c r="E21" s="3">
        <v>37515</v>
      </c>
      <c r="F21" t="s">
        <v>94</v>
      </c>
      <c r="G21" t="s">
        <v>44</v>
      </c>
      <c r="H21" t="s">
        <v>45</v>
      </c>
      <c r="I21" s="3">
        <v>10025</v>
      </c>
      <c r="J21" s="3">
        <v>1018590039</v>
      </c>
      <c r="K21" s="3">
        <v>1055924</v>
      </c>
      <c r="L21" t="s">
        <v>46</v>
      </c>
      <c r="M21" s="4">
        <v>7</v>
      </c>
      <c r="N21" t="s">
        <v>47</v>
      </c>
      <c r="O21" t="s">
        <v>48</v>
      </c>
      <c r="P21" s="4">
        <v>40.798820999999997</v>
      </c>
      <c r="Q21" s="4">
        <v>-73.963989999999995</v>
      </c>
      <c r="R21" s="4">
        <v>40.798755</v>
      </c>
      <c r="S21" s="4">
        <v>-73.964370000000002</v>
      </c>
      <c r="U21" t="s">
        <v>49</v>
      </c>
      <c r="V21" t="s">
        <v>50</v>
      </c>
      <c r="W21" t="s">
        <v>51</v>
      </c>
      <c r="X21" s="4">
        <v>1</v>
      </c>
      <c r="Y21" s="4">
        <v>22</v>
      </c>
      <c r="Z21" s="4">
        <v>1</v>
      </c>
      <c r="AA21" s="4">
        <v>9</v>
      </c>
      <c r="AB21" s="4">
        <v>20</v>
      </c>
      <c r="AE21" s="4">
        <v>13</v>
      </c>
      <c r="AF21" s="4">
        <v>27</v>
      </c>
      <c r="AG21" s="4">
        <v>11</v>
      </c>
      <c r="AH21" s="4">
        <v>2</v>
      </c>
      <c r="AL21" s="4">
        <v>53</v>
      </c>
      <c r="AN21" s="4">
        <v>53</v>
      </c>
      <c r="AO21" s="4">
        <v>62</v>
      </c>
    </row>
    <row r="22" spans="1:41" hidden="1" x14ac:dyDescent="0.2">
      <c r="A22" t="s">
        <v>84</v>
      </c>
      <c r="B22" t="s">
        <v>85</v>
      </c>
      <c r="C22" s="2">
        <v>45835</v>
      </c>
      <c r="E22" s="3">
        <v>944847</v>
      </c>
      <c r="F22" t="s">
        <v>95</v>
      </c>
      <c r="G22" t="s">
        <v>70</v>
      </c>
      <c r="H22" t="s">
        <v>45</v>
      </c>
      <c r="I22" s="3">
        <v>10025</v>
      </c>
      <c r="J22" s="3">
        <v>1018430051</v>
      </c>
      <c r="K22" s="3">
        <v>1055699</v>
      </c>
      <c r="L22" t="s">
        <v>46</v>
      </c>
      <c r="M22" s="4">
        <v>7</v>
      </c>
      <c r="N22" t="s">
        <v>54</v>
      </c>
      <c r="O22" t="s">
        <v>48</v>
      </c>
      <c r="P22" s="4">
        <v>40.799678999999998</v>
      </c>
      <c r="Q22" s="4">
        <v>-73.960742999999994</v>
      </c>
      <c r="R22" s="4">
        <v>40.799959000000001</v>
      </c>
      <c r="S22" s="4">
        <v>-73.960893999999996</v>
      </c>
      <c r="U22" t="s">
        <v>49</v>
      </c>
      <c r="V22" t="s">
        <v>50</v>
      </c>
      <c r="W22" t="s">
        <v>51</v>
      </c>
      <c r="Y22" s="4">
        <v>2</v>
      </c>
      <c r="AA22" s="4">
        <v>10</v>
      </c>
      <c r="AB22" s="4">
        <v>10</v>
      </c>
      <c r="AE22" s="4">
        <v>7</v>
      </c>
      <c r="AF22" s="4">
        <v>5</v>
      </c>
      <c r="AG22" s="4">
        <v>10</v>
      </c>
      <c r="AL22" s="4">
        <v>22</v>
      </c>
      <c r="AN22" s="4">
        <v>22</v>
      </c>
      <c r="AO22" s="4">
        <v>26</v>
      </c>
    </row>
    <row r="23" spans="1:41" hidden="1" x14ac:dyDescent="0.2">
      <c r="A23" t="s">
        <v>96</v>
      </c>
      <c r="B23" t="s">
        <v>97</v>
      </c>
      <c r="C23" s="2">
        <v>45834</v>
      </c>
      <c r="E23" s="3">
        <v>9707</v>
      </c>
      <c r="F23" t="s">
        <v>98</v>
      </c>
      <c r="G23" t="s">
        <v>99</v>
      </c>
      <c r="H23" t="s">
        <v>45</v>
      </c>
      <c r="I23" s="3">
        <v>10002</v>
      </c>
      <c r="J23" s="3">
        <v>1003330001</v>
      </c>
      <c r="K23" s="3">
        <v>1082667</v>
      </c>
      <c r="L23" t="s">
        <v>64</v>
      </c>
      <c r="M23" s="4">
        <v>2</v>
      </c>
      <c r="N23" t="s">
        <v>65</v>
      </c>
      <c r="O23" t="s">
        <v>66</v>
      </c>
      <c r="P23" s="4">
        <v>40.716686000000003</v>
      </c>
      <c r="Q23" s="4">
        <v>-73.980463</v>
      </c>
      <c r="R23" s="4">
        <v>40.717885000000003</v>
      </c>
      <c r="S23" s="4">
        <v>-73.980845000000002</v>
      </c>
      <c r="U23" t="s">
        <v>49</v>
      </c>
      <c r="V23" t="s">
        <v>71</v>
      </c>
      <c r="W23" t="s">
        <v>51</v>
      </c>
      <c r="X23" s="4">
        <v>1</v>
      </c>
      <c r="Y23" s="4">
        <v>218</v>
      </c>
      <c r="AD23" s="4">
        <v>20</v>
      </c>
      <c r="AE23" s="4">
        <v>40</v>
      </c>
      <c r="AF23" s="4">
        <v>139</v>
      </c>
      <c r="AG23" s="4">
        <v>20</v>
      </c>
      <c r="AM23" s="4">
        <v>219</v>
      </c>
      <c r="AN23" s="4">
        <v>219</v>
      </c>
      <c r="AO23" s="4">
        <v>219</v>
      </c>
    </row>
    <row r="24" spans="1:41" hidden="1" x14ac:dyDescent="0.2">
      <c r="A24" t="s">
        <v>96</v>
      </c>
      <c r="B24" t="s">
        <v>97</v>
      </c>
      <c r="C24" s="2">
        <v>45834</v>
      </c>
      <c r="E24" s="3">
        <v>804199</v>
      </c>
      <c r="F24" t="s">
        <v>100</v>
      </c>
      <c r="G24" t="s">
        <v>99</v>
      </c>
      <c r="H24" t="s">
        <v>45</v>
      </c>
      <c r="I24" s="3">
        <v>10002</v>
      </c>
      <c r="J24" s="3">
        <v>1003330001</v>
      </c>
      <c r="K24" s="3">
        <v>1082665</v>
      </c>
      <c r="L24" t="s">
        <v>64</v>
      </c>
      <c r="M24" s="4">
        <v>2</v>
      </c>
      <c r="N24" t="s">
        <v>65</v>
      </c>
      <c r="O24" t="s">
        <v>66</v>
      </c>
      <c r="P24" s="4">
        <v>40.717218000000003</v>
      </c>
      <c r="Q24" s="4">
        <v>-73.980174000000005</v>
      </c>
      <c r="R24" s="4">
        <v>40.717885000000003</v>
      </c>
      <c r="S24" s="4">
        <v>-73.980845000000002</v>
      </c>
      <c r="U24" t="s">
        <v>49</v>
      </c>
      <c r="V24" t="s">
        <v>71</v>
      </c>
      <c r="W24" t="s">
        <v>51</v>
      </c>
      <c r="Y24" s="4">
        <v>208</v>
      </c>
      <c r="AD24" s="4">
        <v>1</v>
      </c>
      <c r="AE24" s="4">
        <v>20</v>
      </c>
      <c r="AF24" s="4">
        <v>145</v>
      </c>
      <c r="AG24" s="4">
        <v>42</v>
      </c>
      <c r="AM24" s="4">
        <v>208</v>
      </c>
      <c r="AN24" s="4">
        <v>208</v>
      </c>
      <c r="AO24" s="4">
        <v>208</v>
      </c>
    </row>
    <row r="25" spans="1:41" hidden="1" x14ac:dyDescent="0.2">
      <c r="A25" t="s">
        <v>96</v>
      </c>
      <c r="B25" t="s">
        <v>97</v>
      </c>
      <c r="C25" s="2">
        <v>45834</v>
      </c>
      <c r="E25" s="3">
        <v>804200</v>
      </c>
      <c r="F25" t="s">
        <v>101</v>
      </c>
      <c r="G25" t="s">
        <v>99</v>
      </c>
      <c r="H25" t="s">
        <v>45</v>
      </c>
      <c r="I25" s="3">
        <v>10002</v>
      </c>
      <c r="J25" s="3">
        <v>1003330001</v>
      </c>
      <c r="K25" s="3">
        <v>1082666</v>
      </c>
      <c r="L25" t="s">
        <v>64</v>
      </c>
      <c r="M25" s="4">
        <v>2</v>
      </c>
      <c r="N25" t="s">
        <v>65</v>
      </c>
      <c r="O25" t="s">
        <v>66</v>
      </c>
      <c r="P25" s="4">
        <v>40.717567000000003</v>
      </c>
      <c r="Q25" s="4">
        <v>-73.979985999999997</v>
      </c>
      <c r="R25" s="4">
        <v>40.717885000000003</v>
      </c>
      <c r="S25" s="4">
        <v>-73.980845000000002</v>
      </c>
      <c r="U25" t="s">
        <v>49</v>
      </c>
      <c r="V25" t="s">
        <v>71</v>
      </c>
      <c r="W25" t="s">
        <v>51</v>
      </c>
      <c r="Y25" s="4">
        <v>350</v>
      </c>
      <c r="AD25" s="4">
        <v>20</v>
      </c>
      <c r="AE25" s="4">
        <v>81</v>
      </c>
      <c r="AF25" s="4">
        <v>186</v>
      </c>
      <c r="AG25" s="4">
        <v>63</v>
      </c>
      <c r="AM25" s="4">
        <v>350</v>
      </c>
      <c r="AN25" s="4">
        <v>350</v>
      </c>
      <c r="AO25" s="4">
        <v>350</v>
      </c>
    </row>
    <row r="26" spans="1:41" hidden="1" x14ac:dyDescent="0.2">
      <c r="A26" t="s">
        <v>96</v>
      </c>
      <c r="B26" t="s">
        <v>97</v>
      </c>
      <c r="C26" s="2">
        <v>45834</v>
      </c>
      <c r="E26" s="3">
        <v>804201</v>
      </c>
      <c r="F26" t="s">
        <v>102</v>
      </c>
      <c r="G26" t="s">
        <v>99</v>
      </c>
      <c r="H26" t="s">
        <v>45</v>
      </c>
      <c r="I26" s="3">
        <v>10002</v>
      </c>
      <c r="J26" s="3">
        <v>1003330001</v>
      </c>
      <c r="K26" s="3">
        <v>1086089</v>
      </c>
      <c r="L26" t="s">
        <v>64</v>
      </c>
      <c r="M26" s="4">
        <v>2</v>
      </c>
      <c r="N26" t="s">
        <v>65</v>
      </c>
      <c r="O26" t="s">
        <v>66</v>
      </c>
      <c r="P26" s="4">
        <v>40.717891000000002</v>
      </c>
      <c r="Q26" s="4">
        <v>-73.979823999999994</v>
      </c>
      <c r="R26" s="4">
        <v>40.717885000000003</v>
      </c>
      <c r="S26" s="4">
        <v>-73.980845000000002</v>
      </c>
      <c r="U26" t="s">
        <v>49</v>
      </c>
      <c r="V26" t="s">
        <v>71</v>
      </c>
      <c r="W26" t="s">
        <v>51</v>
      </c>
      <c r="Y26" s="4">
        <v>331</v>
      </c>
      <c r="AC26" s="4">
        <v>1</v>
      </c>
      <c r="AD26" s="4">
        <v>1</v>
      </c>
      <c r="AE26" s="4">
        <v>60</v>
      </c>
      <c r="AF26" s="4">
        <v>187</v>
      </c>
      <c r="AG26" s="4">
        <v>84</v>
      </c>
      <c r="AM26" s="4">
        <v>332</v>
      </c>
      <c r="AN26" s="4">
        <v>332</v>
      </c>
      <c r="AO26" s="4">
        <v>332</v>
      </c>
    </row>
    <row r="27" spans="1:41" hidden="1" x14ac:dyDescent="0.2">
      <c r="A27" t="s">
        <v>103</v>
      </c>
      <c r="B27" t="s">
        <v>104</v>
      </c>
      <c r="C27" s="2">
        <v>45833</v>
      </c>
      <c r="E27" s="3">
        <v>1067</v>
      </c>
      <c r="F27" t="s">
        <v>105</v>
      </c>
      <c r="G27" t="s">
        <v>106</v>
      </c>
      <c r="H27" t="s">
        <v>45</v>
      </c>
      <c r="I27" s="3">
        <v>10128</v>
      </c>
      <c r="J27" s="3">
        <v>1015550004</v>
      </c>
      <c r="K27" s="3">
        <v>1050240</v>
      </c>
      <c r="L27" t="s">
        <v>107</v>
      </c>
      <c r="M27" s="4">
        <v>5</v>
      </c>
      <c r="N27" t="s">
        <v>108</v>
      </c>
      <c r="O27" t="s">
        <v>109</v>
      </c>
      <c r="P27" s="4">
        <v>40.7819</v>
      </c>
      <c r="Q27" s="4">
        <v>-73.948797999999996</v>
      </c>
      <c r="R27" s="4">
        <v>40.781838999999998</v>
      </c>
      <c r="S27" s="4">
        <v>-73.948440000000005</v>
      </c>
      <c r="U27" t="s">
        <v>49</v>
      </c>
      <c r="V27" t="s">
        <v>71</v>
      </c>
      <c r="W27" t="s">
        <v>51</v>
      </c>
      <c r="X27" s="4">
        <v>13</v>
      </c>
      <c r="AE27" s="4">
        <v>9</v>
      </c>
      <c r="AF27" s="4">
        <v>4</v>
      </c>
      <c r="AL27" s="4">
        <v>13</v>
      </c>
      <c r="AN27" s="4">
        <v>13</v>
      </c>
      <c r="AO27" s="4">
        <v>13</v>
      </c>
    </row>
    <row r="28" spans="1:41" hidden="1" x14ac:dyDescent="0.2">
      <c r="A28" t="s">
        <v>110</v>
      </c>
      <c r="B28" t="s">
        <v>111</v>
      </c>
      <c r="C28" s="2">
        <v>45827</v>
      </c>
      <c r="E28" s="3">
        <v>8787</v>
      </c>
      <c r="F28" t="s">
        <v>112</v>
      </c>
      <c r="G28" t="s">
        <v>113</v>
      </c>
      <c r="H28" t="s">
        <v>45</v>
      </c>
      <c r="I28" s="3">
        <v>10033</v>
      </c>
      <c r="J28" s="3">
        <v>1021790152</v>
      </c>
      <c r="K28" s="3">
        <v>1000000</v>
      </c>
      <c r="L28" t="s">
        <v>114</v>
      </c>
      <c r="M28" s="4">
        <v>10</v>
      </c>
      <c r="N28" t="s">
        <v>115</v>
      </c>
      <c r="O28" t="s">
        <v>116</v>
      </c>
      <c r="P28" s="4">
        <v>40.854256999999997</v>
      </c>
      <c r="Q28" s="4">
        <v>-73.938952999999998</v>
      </c>
      <c r="R28" s="4">
        <v>40.854202000000001</v>
      </c>
      <c r="S28" s="4">
        <v>-73.938699999999997</v>
      </c>
      <c r="U28" t="s">
        <v>117</v>
      </c>
      <c r="V28" t="s">
        <v>71</v>
      </c>
      <c r="W28" t="s">
        <v>51</v>
      </c>
      <c r="AB28" s="4">
        <v>7</v>
      </c>
      <c r="AE28" s="4">
        <v>1</v>
      </c>
      <c r="AF28" s="4">
        <v>6</v>
      </c>
      <c r="AL28" s="4">
        <v>7</v>
      </c>
      <c r="AN28" s="4">
        <v>7</v>
      </c>
      <c r="AO28" s="4">
        <v>21</v>
      </c>
    </row>
    <row r="29" spans="1:41" hidden="1" x14ac:dyDescent="0.2">
      <c r="A29" t="s">
        <v>118</v>
      </c>
      <c r="B29" t="s">
        <v>119</v>
      </c>
      <c r="C29" s="2">
        <v>45826</v>
      </c>
      <c r="E29" s="3">
        <v>1013038</v>
      </c>
      <c r="F29" t="s">
        <v>120</v>
      </c>
      <c r="G29" t="s">
        <v>121</v>
      </c>
      <c r="H29" t="s">
        <v>45</v>
      </c>
      <c r="I29" s="3">
        <v>10002</v>
      </c>
      <c r="J29" s="3">
        <v>1003410062</v>
      </c>
      <c r="K29" s="3">
        <v>1000000</v>
      </c>
      <c r="L29" t="s">
        <v>64</v>
      </c>
      <c r="M29" s="4">
        <v>1</v>
      </c>
      <c r="N29" t="s">
        <v>122</v>
      </c>
      <c r="O29" t="s">
        <v>66</v>
      </c>
      <c r="P29" s="4">
        <v>40.716400999999998</v>
      </c>
      <c r="Q29" s="4">
        <v>-73.984582000000003</v>
      </c>
      <c r="R29" s="4">
        <v>40.716231000000001</v>
      </c>
      <c r="S29" s="4">
        <v>-73.985039999999998</v>
      </c>
      <c r="U29" t="s">
        <v>117</v>
      </c>
      <c r="V29" t="s">
        <v>71</v>
      </c>
      <c r="W29" t="s">
        <v>123</v>
      </c>
      <c r="X29" s="4">
        <v>190</v>
      </c>
      <c r="AC29" s="4">
        <v>1</v>
      </c>
      <c r="AD29" s="4">
        <v>87</v>
      </c>
      <c r="AE29" s="4">
        <v>103</v>
      </c>
      <c r="AF29" s="4">
        <v>1</v>
      </c>
      <c r="AL29" s="4">
        <v>191</v>
      </c>
      <c r="AN29" s="4">
        <v>191</v>
      </c>
      <c r="AO29" s="4">
        <v>191</v>
      </c>
    </row>
    <row r="30" spans="1:41" hidden="1" x14ac:dyDescent="0.2">
      <c r="A30" t="s">
        <v>124</v>
      </c>
      <c r="B30" t="s">
        <v>125</v>
      </c>
      <c r="C30" s="2">
        <v>45813</v>
      </c>
      <c r="E30" s="3">
        <v>1781</v>
      </c>
      <c r="F30" t="s">
        <v>126</v>
      </c>
      <c r="G30" t="s">
        <v>127</v>
      </c>
      <c r="H30" t="s">
        <v>45</v>
      </c>
      <c r="I30" s="3">
        <v>10028</v>
      </c>
      <c r="J30" s="3">
        <v>1015110033</v>
      </c>
      <c r="K30" s="3">
        <v>1047619</v>
      </c>
      <c r="L30" t="s">
        <v>107</v>
      </c>
      <c r="M30" s="4">
        <v>4</v>
      </c>
      <c r="N30" t="s">
        <v>128</v>
      </c>
      <c r="O30" t="s">
        <v>129</v>
      </c>
      <c r="P30" s="4">
        <v>40.777182000000003</v>
      </c>
      <c r="Q30" s="4">
        <v>-73.956174000000004</v>
      </c>
      <c r="R30" s="4">
        <v>40.776846999999997</v>
      </c>
      <c r="S30" s="4">
        <v>-73.955935999999994</v>
      </c>
      <c r="U30" t="s">
        <v>49</v>
      </c>
      <c r="V30" t="s">
        <v>71</v>
      </c>
      <c r="W30" t="s">
        <v>51</v>
      </c>
      <c r="X30" s="4">
        <v>1</v>
      </c>
      <c r="Y30" s="4">
        <v>2</v>
      </c>
      <c r="Z30" s="4">
        <v>12</v>
      </c>
      <c r="AA30" s="4">
        <v>21</v>
      </c>
      <c r="AB30" s="4">
        <v>5</v>
      </c>
      <c r="AC30" s="4">
        <v>9</v>
      </c>
      <c r="AD30" s="4">
        <v>11</v>
      </c>
      <c r="AE30" s="4">
        <v>12</v>
      </c>
      <c r="AF30" s="4">
        <v>14</v>
      </c>
      <c r="AG30" s="4">
        <v>13</v>
      </c>
      <c r="AL30" s="4">
        <v>50</v>
      </c>
      <c r="AN30" s="4">
        <v>50</v>
      </c>
      <c r="AO30" s="4">
        <v>50</v>
      </c>
    </row>
    <row r="31" spans="1:41" hidden="1" x14ac:dyDescent="0.2">
      <c r="A31" t="s">
        <v>130</v>
      </c>
      <c r="B31" t="s">
        <v>131</v>
      </c>
      <c r="C31" s="2">
        <v>45807</v>
      </c>
      <c r="E31" s="3">
        <v>5774</v>
      </c>
      <c r="F31" t="s">
        <v>132</v>
      </c>
      <c r="G31" t="s">
        <v>87</v>
      </c>
      <c r="H31" t="s">
        <v>45</v>
      </c>
      <c r="I31" s="3">
        <v>10032</v>
      </c>
      <c r="J31" s="3">
        <v>1021110001</v>
      </c>
      <c r="K31" s="3">
        <v>1079860</v>
      </c>
      <c r="L31" t="s">
        <v>114</v>
      </c>
      <c r="M31" s="4">
        <v>10</v>
      </c>
      <c r="N31" t="s">
        <v>133</v>
      </c>
      <c r="O31" t="s">
        <v>134</v>
      </c>
      <c r="P31" s="4">
        <v>40.837330000000001</v>
      </c>
      <c r="Q31" s="4">
        <v>-73.938751999999994</v>
      </c>
      <c r="R31" s="4">
        <v>40.837257999999999</v>
      </c>
      <c r="S31" s="4">
        <v>-73.938416000000004</v>
      </c>
      <c r="U31" t="s">
        <v>49</v>
      </c>
      <c r="V31" t="s">
        <v>71</v>
      </c>
      <c r="W31" t="s">
        <v>51</v>
      </c>
      <c r="X31" s="4">
        <v>23</v>
      </c>
      <c r="Y31" s="4">
        <v>3</v>
      </c>
      <c r="Z31" s="4">
        <v>3</v>
      </c>
      <c r="AE31" s="4">
        <v>14</v>
      </c>
      <c r="AF31" s="4">
        <v>9</v>
      </c>
      <c r="AG31" s="4">
        <v>6</v>
      </c>
      <c r="AL31" s="4">
        <v>29</v>
      </c>
      <c r="AN31" s="4">
        <v>29</v>
      </c>
      <c r="AO31" s="4">
        <v>29</v>
      </c>
    </row>
    <row r="32" spans="1:41" hidden="1" x14ac:dyDescent="0.2">
      <c r="A32" t="s">
        <v>130</v>
      </c>
      <c r="B32" t="s">
        <v>131</v>
      </c>
      <c r="C32" s="2">
        <v>45807</v>
      </c>
      <c r="E32" s="3">
        <v>6174</v>
      </c>
      <c r="F32" t="s">
        <v>135</v>
      </c>
      <c r="G32" t="s">
        <v>136</v>
      </c>
      <c r="H32" t="s">
        <v>45</v>
      </c>
      <c r="I32" s="3">
        <v>10032</v>
      </c>
      <c r="J32" s="3">
        <v>1021230030</v>
      </c>
      <c r="K32" s="3">
        <v>1079869</v>
      </c>
      <c r="L32" t="s">
        <v>114</v>
      </c>
      <c r="M32" s="4">
        <v>10</v>
      </c>
      <c r="N32" t="s">
        <v>137</v>
      </c>
      <c r="O32" t="s">
        <v>134</v>
      </c>
      <c r="P32" s="4">
        <v>40.839050999999998</v>
      </c>
      <c r="Q32" s="4">
        <v>-73.939383000000007</v>
      </c>
      <c r="R32" s="4">
        <v>40.838991</v>
      </c>
      <c r="S32" s="4">
        <v>-73.939097000000004</v>
      </c>
      <c r="U32" t="s">
        <v>49</v>
      </c>
      <c r="V32" t="s">
        <v>71</v>
      </c>
      <c r="W32" t="s">
        <v>51</v>
      </c>
      <c r="X32" s="4">
        <v>31</v>
      </c>
      <c r="Y32" s="4">
        <v>2</v>
      </c>
      <c r="Z32" s="4">
        <v>3</v>
      </c>
      <c r="AD32" s="4">
        <v>1</v>
      </c>
      <c r="AE32" s="4">
        <v>23</v>
      </c>
      <c r="AF32" s="4">
        <v>1</v>
      </c>
      <c r="AG32" s="4">
        <v>11</v>
      </c>
      <c r="AL32" s="4">
        <v>36</v>
      </c>
      <c r="AN32" s="4">
        <v>36</v>
      </c>
      <c r="AO32" s="4">
        <v>36</v>
      </c>
    </row>
    <row r="33" spans="1:41" hidden="1" x14ac:dyDescent="0.2">
      <c r="A33" t="s">
        <v>130</v>
      </c>
      <c r="B33" t="s">
        <v>131</v>
      </c>
      <c r="C33" s="2">
        <v>45807</v>
      </c>
      <c r="E33" s="3">
        <v>804009</v>
      </c>
      <c r="F33" t="s">
        <v>138</v>
      </c>
      <c r="G33" t="s">
        <v>87</v>
      </c>
      <c r="H33" t="s">
        <v>45</v>
      </c>
      <c r="I33" s="3">
        <v>10032</v>
      </c>
      <c r="J33" s="3">
        <v>1021230038</v>
      </c>
      <c r="K33" s="3">
        <v>1079873</v>
      </c>
      <c r="L33" t="s">
        <v>114</v>
      </c>
      <c r="M33" s="4">
        <v>10</v>
      </c>
      <c r="N33" t="s">
        <v>137</v>
      </c>
      <c r="O33" t="s">
        <v>134</v>
      </c>
      <c r="P33" s="4">
        <v>40.838408000000001</v>
      </c>
      <c r="Q33" s="4">
        <v>-73.937991999999994</v>
      </c>
      <c r="R33" s="4">
        <v>40.838588999999999</v>
      </c>
      <c r="S33" s="4">
        <v>-73.938299000000001</v>
      </c>
      <c r="U33" t="s">
        <v>49</v>
      </c>
      <c r="V33" t="s">
        <v>71</v>
      </c>
      <c r="W33" t="s">
        <v>51</v>
      </c>
      <c r="X33" s="4">
        <v>31</v>
      </c>
      <c r="Y33" s="4">
        <v>4</v>
      </c>
      <c r="Z33" s="4">
        <v>2</v>
      </c>
      <c r="AA33" s="4">
        <v>1</v>
      </c>
      <c r="AC33" s="4">
        <v>1</v>
      </c>
      <c r="AD33" s="4">
        <v>5</v>
      </c>
      <c r="AE33" s="4">
        <v>10</v>
      </c>
      <c r="AF33" s="4">
        <v>19</v>
      </c>
      <c r="AG33" s="4">
        <v>5</v>
      </c>
      <c r="AL33" s="4">
        <v>39</v>
      </c>
      <c r="AN33" s="4">
        <v>39</v>
      </c>
      <c r="AO33" s="4">
        <v>39</v>
      </c>
    </row>
    <row r="34" spans="1:41" hidden="1" x14ac:dyDescent="0.2">
      <c r="A34" t="s">
        <v>139</v>
      </c>
      <c r="B34" t="s">
        <v>140</v>
      </c>
      <c r="C34" s="2">
        <v>45807</v>
      </c>
      <c r="D34" s="2">
        <v>45807</v>
      </c>
      <c r="F34" t="s">
        <v>141</v>
      </c>
      <c r="G34" t="s">
        <v>141</v>
      </c>
      <c r="H34" t="s">
        <v>45</v>
      </c>
      <c r="L34" t="s">
        <v>107</v>
      </c>
      <c r="M34" s="4">
        <v>5</v>
      </c>
      <c r="T34" s="2">
        <v>45807</v>
      </c>
      <c r="U34" t="s">
        <v>117</v>
      </c>
      <c r="V34" t="s">
        <v>71</v>
      </c>
      <c r="W34" t="s">
        <v>51</v>
      </c>
      <c r="Z34" s="4">
        <v>1</v>
      </c>
      <c r="AE34" s="4">
        <v>1</v>
      </c>
      <c r="AM34" s="4">
        <v>1</v>
      </c>
      <c r="AN34" s="4">
        <v>1</v>
      </c>
      <c r="AO34" s="4">
        <v>1</v>
      </c>
    </row>
    <row r="35" spans="1:41" hidden="1" x14ac:dyDescent="0.2">
      <c r="A35" t="s">
        <v>142</v>
      </c>
      <c r="B35" t="s">
        <v>143</v>
      </c>
      <c r="C35" s="2">
        <v>45803</v>
      </c>
      <c r="E35" s="3">
        <v>1017361</v>
      </c>
      <c r="F35" t="s">
        <v>144</v>
      </c>
      <c r="G35" t="s">
        <v>145</v>
      </c>
      <c r="H35" t="s">
        <v>45</v>
      </c>
      <c r="I35" s="3">
        <v>10027</v>
      </c>
      <c r="J35" s="3">
        <v>1019290023</v>
      </c>
      <c r="K35" s="3">
        <v>1058625</v>
      </c>
      <c r="L35" t="s">
        <v>146</v>
      </c>
      <c r="M35" s="4">
        <v>9</v>
      </c>
      <c r="N35" t="s">
        <v>147</v>
      </c>
      <c r="O35" t="s">
        <v>148</v>
      </c>
      <c r="P35" s="4">
        <v>40.808014</v>
      </c>
      <c r="Q35" s="4">
        <v>-73.950078000000005</v>
      </c>
      <c r="R35" s="4">
        <v>40.808239</v>
      </c>
      <c r="S35" s="4">
        <v>-73.950051999999999</v>
      </c>
      <c r="U35" t="s">
        <v>117</v>
      </c>
      <c r="V35" t="s">
        <v>71</v>
      </c>
      <c r="W35" t="s">
        <v>51</v>
      </c>
      <c r="AB35" s="4">
        <v>9</v>
      </c>
      <c r="AD35" s="4">
        <v>7</v>
      </c>
      <c r="AE35" s="4">
        <v>1</v>
      </c>
      <c r="AF35" s="4">
        <v>1</v>
      </c>
      <c r="AL35" s="4">
        <v>9</v>
      </c>
      <c r="AN35" s="4">
        <v>9</v>
      </c>
      <c r="AO35" s="4">
        <v>27</v>
      </c>
    </row>
    <row r="36" spans="1:41" hidden="1" x14ac:dyDescent="0.2">
      <c r="A36" t="s">
        <v>149</v>
      </c>
      <c r="B36" t="s">
        <v>150</v>
      </c>
      <c r="C36" s="2">
        <v>45797</v>
      </c>
      <c r="E36" s="3">
        <v>1017430</v>
      </c>
      <c r="F36" t="s">
        <v>151</v>
      </c>
      <c r="G36" t="s">
        <v>152</v>
      </c>
      <c r="H36" t="s">
        <v>45</v>
      </c>
      <c r="I36" s="3">
        <v>10035</v>
      </c>
      <c r="J36" s="3">
        <v>1017730027</v>
      </c>
      <c r="K36" s="3">
        <v>1000000</v>
      </c>
      <c r="L36" t="s">
        <v>153</v>
      </c>
      <c r="M36" s="4">
        <v>8</v>
      </c>
      <c r="N36" t="s">
        <v>154</v>
      </c>
      <c r="O36" t="s">
        <v>155</v>
      </c>
      <c r="P36" s="4">
        <v>40.803941999999999</v>
      </c>
      <c r="Q36" s="4">
        <v>-73.936413000000002</v>
      </c>
      <c r="R36" s="4">
        <v>40.803601999999998</v>
      </c>
      <c r="S36" s="4">
        <v>-73.936633999999998</v>
      </c>
      <c r="U36" t="s">
        <v>117</v>
      </c>
      <c r="V36" t="s">
        <v>71</v>
      </c>
      <c r="W36" t="s">
        <v>51</v>
      </c>
      <c r="Z36" s="4">
        <v>85</v>
      </c>
      <c r="AD36" s="4">
        <v>29</v>
      </c>
      <c r="AE36" s="4">
        <v>40</v>
      </c>
      <c r="AF36" s="4">
        <v>16</v>
      </c>
      <c r="AL36" s="4">
        <v>85</v>
      </c>
      <c r="AN36" s="4">
        <v>85</v>
      </c>
      <c r="AO36" s="4">
        <v>614</v>
      </c>
    </row>
    <row r="37" spans="1:41" hidden="1" x14ac:dyDescent="0.2">
      <c r="A37" t="s">
        <v>156</v>
      </c>
      <c r="B37" t="s">
        <v>140</v>
      </c>
      <c r="C37" s="2">
        <v>45786</v>
      </c>
      <c r="D37" s="2">
        <v>45786</v>
      </c>
      <c r="F37" t="s">
        <v>141</v>
      </c>
      <c r="G37" t="s">
        <v>141</v>
      </c>
      <c r="H37" t="s">
        <v>45</v>
      </c>
      <c r="L37" t="s">
        <v>114</v>
      </c>
      <c r="M37" s="4">
        <v>10</v>
      </c>
      <c r="T37" s="2">
        <v>45786</v>
      </c>
      <c r="U37" t="s">
        <v>117</v>
      </c>
      <c r="V37" t="s">
        <v>71</v>
      </c>
      <c r="W37" t="s">
        <v>51</v>
      </c>
      <c r="Y37" s="4">
        <v>1</v>
      </c>
      <c r="AE37" s="4">
        <v>1</v>
      </c>
      <c r="AM37" s="4">
        <v>1</v>
      </c>
      <c r="AN37" s="4">
        <v>1</v>
      </c>
      <c r="AO37" s="4">
        <v>1</v>
      </c>
    </row>
    <row r="38" spans="1:41" hidden="1" x14ac:dyDescent="0.2">
      <c r="A38" t="s">
        <v>157</v>
      </c>
      <c r="B38" t="s">
        <v>158</v>
      </c>
      <c r="C38" s="2">
        <v>45778</v>
      </c>
      <c r="E38" s="3">
        <v>44252</v>
      </c>
      <c r="F38" t="s">
        <v>159</v>
      </c>
      <c r="G38" t="s">
        <v>160</v>
      </c>
      <c r="H38" t="s">
        <v>45</v>
      </c>
      <c r="I38" s="3">
        <v>10014</v>
      </c>
      <c r="J38" s="3">
        <v>1006390001</v>
      </c>
      <c r="K38" s="3">
        <v>1012047</v>
      </c>
      <c r="L38" t="s">
        <v>161</v>
      </c>
      <c r="M38" s="4">
        <v>3</v>
      </c>
      <c r="N38" t="s">
        <v>162</v>
      </c>
      <c r="O38" t="s">
        <v>163</v>
      </c>
      <c r="P38" s="4">
        <v>40.736108999999999</v>
      </c>
      <c r="Q38" s="4">
        <v>-74.010013000000001</v>
      </c>
      <c r="R38" s="4">
        <v>40.736528999999997</v>
      </c>
      <c r="S38" s="4">
        <v>-74.009074999999996</v>
      </c>
      <c r="U38" t="s">
        <v>49</v>
      </c>
      <c r="V38" t="s">
        <v>71</v>
      </c>
      <c r="W38" t="s">
        <v>51</v>
      </c>
      <c r="Z38" s="4">
        <v>384</v>
      </c>
      <c r="AC38" s="4">
        <v>1</v>
      </c>
      <c r="AD38" s="4">
        <v>258</v>
      </c>
      <c r="AE38" s="4">
        <v>85</v>
      </c>
      <c r="AF38" s="4">
        <v>3</v>
      </c>
      <c r="AG38" s="4">
        <v>37</v>
      </c>
      <c r="AK38" s="4">
        <v>2</v>
      </c>
      <c r="AL38" s="4">
        <v>385</v>
      </c>
      <c r="AN38" s="4">
        <v>385</v>
      </c>
      <c r="AO38" s="4">
        <v>385</v>
      </c>
    </row>
    <row r="39" spans="1:41" hidden="1" x14ac:dyDescent="0.2">
      <c r="A39" t="s">
        <v>164</v>
      </c>
      <c r="B39" t="s">
        <v>140</v>
      </c>
      <c r="C39" s="2">
        <v>45765</v>
      </c>
      <c r="D39" s="2">
        <v>45765</v>
      </c>
      <c r="F39" t="s">
        <v>141</v>
      </c>
      <c r="G39" t="s">
        <v>141</v>
      </c>
      <c r="H39" t="s">
        <v>45</v>
      </c>
      <c r="L39" t="s">
        <v>165</v>
      </c>
      <c r="M39" s="4">
        <v>4</v>
      </c>
      <c r="T39" s="2">
        <v>45765</v>
      </c>
      <c r="U39" t="s">
        <v>117</v>
      </c>
      <c r="V39" t="s">
        <v>71</v>
      </c>
      <c r="W39" t="s">
        <v>51</v>
      </c>
      <c r="Z39" s="4">
        <v>1</v>
      </c>
      <c r="AD39" s="4">
        <v>1</v>
      </c>
      <c r="AM39" s="4">
        <v>1</v>
      </c>
      <c r="AN39" s="4">
        <v>1</v>
      </c>
      <c r="AO39" s="4">
        <v>1</v>
      </c>
    </row>
    <row r="40" spans="1:41" hidden="1" x14ac:dyDescent="0.2">
      <c r="A40" t="s">
        <v>166</v>
      </c>
      <c r="B40" t="s">
        <v>167</v>
      </c>
      <c r="C40" s="2">
        <v>45762</v>
      </c>
      <c r="E40" s="3">
        <v>5561</v>
      </c>
      <c r="F40" t="s">
        <v>168</v>
      </c>
      <c r="G40" t="s">
        <v>87</v>
      </c>
      <c r="H40" t="s">
        <v>45</v>
      </c>
      <c r="I40" s="3">
        <v>10027</v>
      </c>
      <c r="J40" s="3">
        <v>1019840028</v>
      </c>
      <c r="K40" s="3">
        <v>1091802</v>
      </c>
      <c r="L40" t="s">
        <v>169</v>
      </c>
      <c r="M40" s="4">
        <v>7</v>
      </c>
      <c r="N40" t="s">
        <v>170</v>
      </c>
      <c r="O40" t="s">
        <v>171</v>
      </c>
      <c r="P40" s="4">
        <v>40.81671</v>
      </c>
      <c r="Q40" s="4">
        <v>-73.953846999999996</v>
      </c>
      <c r="R40" s="4">
        <v>40.816771000000003</v>
      </c>
      <c r="S40" s="4">
        <v>-73.954250999999999</v>
      </c>
      <c r="U40" t="s">
        <v>117</v>
      </c>
      <c r="V40" t="s">
        <v>71</v>
      </c>
      <c r="W40" t="s">
        <v>51</v>
      </c>
      <c r="AB40" s="4">
        <v>147</v>
      </c>
      <c r="AD40" s="4">
        <v>20</v>
      </c>
      <c r="AE40" s="4">
        <v>66</v>
      </c>
      <c r="AF40" s="4">
        <v>61</v>
      </c>
      <c r="AL40" s="4">
        <v>147</v>
      </c>
      <c r="AN40" s="4">
        <v>147</v>
      </c>
      <c r="AO40" s="4">
        <v>490</v>
      </c>
    </row>
    <row r="41" spans="1:41" hidden="1" x14ac:dyDescent="0.2">
      <c r="A41" t="s">
        <v>172</v>
      </c>
      <c r="B41" t="s">
        <v>173</v>
      </c>
      <c r="C41" s="2">
        <v>45756</v>
      </c>
      <c r="E41" s="3">
        <v>837174</v>
      </c>
      <c r="F41" t="s">
        <v>174</v>
      </c>
      <c r="G41" t="s">
        <v>175</v>
      </c>
      <c r="H41" t="s">
        <v>45</v>
      </c>
      <c r="I41" s="3">
        <v>10039</v>
      </c>
      <c r="J41" s="3">
        <v>1020470011</v>
      </c>
      <c r="K41" s="3">
        <v>1000000</v>
      </c>
      <c r="L41" t="s">
        <v>146</v>
      </c>
      <c r="M41" s="4">
        <v>9</v>
      </c>
      <c r="N41" t="s">
        <v>176</v>
      </c>
      <c r="O41" t="s">
        <v>177</v>
      </c>
      <c r="P41" s="4">
        <v>40.828316000000001</v>
      </c>
      <c r="Q41" s="4">
        <v>-73.937928999999997</v>
      </c>
      <c r="R41" s="4">
        <v>40.828349000000003</v>
      </c>
      <c r="S41" s="4">
        <v>-73.938293999999999</v>
      </c>
      <c r="U41" t="s">
        <v>117</v>
      </c>
      <c r="V41" t="s">
        <v>71</v>
      </c>
      <c r="W41" t="s">
        <v>51</v>
      </c>
      <c r="AB41" s="4">
        <v>5</v>
      </c>
      <c r="AD41" s="4">
        <v>2</v>
      </c>
      <c r="AE41" s="4">
        <v>3</v>
      </c>
      <c r="AL41" s="4">
        <v>5</v>
      </c>
      <c r="AN41" s="4">
        <v>5</v>
      </c>
      <c r="AO41" s="4">
        <v>14</v>
      </c>
    </row>
    <row r="42" spans="1:41" hidden="1" x14ac:dyDescent="0.2">
      <c r="A42" t="s">
        <v>178</v>
      </c>
      <c r="B42" t="s">
        <v>179</v>
      </c>
      <c r="C42" s="2">
        <v>45755</v>
      </c>
      <c r="E42" s="3">
        <v>975614</v>
      </c>
      <c r="F42" t="s">
        <v>180</v>
      </c>
      <c r="G42" t="s">
        <v>181</v>
      </c>
      <c r="H42" t="s">
        <v>45</v>
      </c>
      <c r="I42" s="3">
        <v>10001</v>
      </c>
      <c r="J42" s="3">
        <v>1007510020</v>
      </c>
      <c r="K42" s="3">
        <v>1000000</v>
      </c>
      <c r="L42" t="s">
        <v>78</v>
      </c>
      <c r="M42" s="4">
        <v>3</v>
      </c>
      <c r="N42" t="s">
        <v>182</v>
      </c>
      <c r="O42" t="s">
        <v>183</v>
      </c>
      <c r="P42" s="4">
        <v>40.747303000000002</v>
      </c>
      <c r="Q42" s="4">
        <v>-73.997040999999996</v>
      </c>
      <c r="R42" s="4">
        <v>40.747706000000001</v>
      </c>
      <c r="S42" s="4">
        <v>-73.997416000000001</v>
      </c>
      <c r="U42" t="s">
        <v>117</v>
      </c>
      <c r="V42" t="s">
        <v>71</v>
      </c>
      <c r="W42" t="s">
        <v>51</v>
      </c>
      <c r="Z42" s="4">
        <v>19</v>
      </c>
      <c r="AB42" s="4">
        <v>38</v>
      </c>
      <c r="AD42" s="4">
        <v>18</v>
      </c>
      <c r="AE42" s="4">
        <v>31</v>
      </c>
      <c r="AF42" s="4">
        <v>8</v>
      </c>
      <c r="AL42" s="4">
        <v>57</v>
      </c>
      <c r="AN42" s="4">
        <v>57</v>
      </c>
      <c r="AO42" s="4">
        <v>188</v>
      </c>
    </row>
    <row r="43" spans="1:41" hidden="1" x14ac:dyDescent="0.2">
      <c r="A43" t="s">
        <v>184</v>
      </c>
      <c r="B43" t="s">
        <v>185</v>
      </c>
      <c r="C43" s="2">
        <v>45751</v>
      </c>
      <c r="E43" s="3">
        <v>5572</v>
      </c>
      <c r="F43" t="s">
        <v>186</v>
      </c>
      <c r="G43" t="s">
        <v>87</v>
      </c>
      <c r="H43" t="s">
        <v>45</v>
      </c>
      <c r="I43" s="3">
        <v>10027</v>
      </c>
      <c r="J43" s="3">
        <v>1019700064</v>
      </c>
      <c r="K43" s="3">
        <v>1059635</v>
      </c>
      <c r="L43" t="s">
        <v>169</v>
      </c>
      <c r="M43" s="4">
        <v>7</v>
      </c>
      <c r="N43" t="s">
        <v>187</v>
      </c>
      <c r="O43" t="s">
        <v>171</v>
      </c>
      <c r="P43" s="4">
        <v>40.817335999999997</v>
      </c>
      <c r="Q43" s="4">
        <v>-73.953366000000003</v>
      </c>
      <c r="R43" s="4">
        <v>40.817207000000003</v>
      </c>
      <c r="S43" s="4">
        <v>-73.953119999999998</v>
      </c>
      <c r="U43" t="s">
        <v>117</v>
      </c>
      <c r="V43" t="s">
        <v>71</v>
      </c>
      <c r="W43" t="s">
        <v>51</v>
      </c>
      <c r="AB43" s="4">
        <v>3</v>
      </c>
      <c r="AE43" s="4">
        <v>3</v>
      </c>
      <c r="AL43" s="4">
        <v>3</v>
      </c>
      <c r="AN43" s="4">
        <v>3</v>
      </c>
      <c r="AO43" s="4">
        <v>9</v>
      </c>
    </row>
    <row r="44" spans="1:41" hidden="1" x14ac:dyDescent="0.2">
      <c r="A44" t="s">
        <v>188</v>
      </c>
      <c r="B44" t="s">
        <v>189</v>
      </c>
      <c r="C44" s="2">
        <v>45750</v>
      </c>
      <c r="E44" s="3">
        <v>24774</v>
      </c>
      <c r="F44" t="s">
        <v>190</v>
      </c>
      <c r="G44" t="s">
        <v>191</v>
      </c>
      <c r="H44" t="s">
        <v>45</v>
      </c>
      <c r="I44" s="3">
        <v>10035</v>
      </c>
      <c r="J44" s="3">
        <v>1017510020</v>
      </c>
      <c r="K44" s="3">
        <v>1000000</v>
      </c>
      <c r="L44" t="s">
        <v>153</v>
      </c>
      <c r="M44" s="4">
        <v>9</v>
      </c>
      <c r="N44" t="s">
        <v>192</v>
      </c>
      <c r="O44" t="s">
        <v>155</v>
      </c>
      <c r="P44" s="4">
        <v>40.806499000000002</v>
      </c>
      <c r="Q44" s="4">
        <v>-73.940077000000002</v>
      </c>
      <c r="R44" s="4">
        <v>40.806429999999999</v>
      </c>
      <c r="S44" s="4">
        <v>-73.939654000000004</v>
      </c>
      <c r="U44" t="s">
        <v>117</v>
      </c>
      <c r="V44" t="s">
        <v>71</v>
      </c>
      <c r="W44" t="s">
        <v>51</v>
      </c>
      <c r="AB44" s="4">
        <v>30</v>
      </c>
      <c r="AE44" s="4">
        <v>26</v>
      </c>
      <c r="AF44" s="4">
        <v>4</v>
      </c>
      <c r="AL44" s="4">
        <v>30</v>
      </c>
      <c r="AN44" s="4">
        <v>30</v>
      </c>
      <c r="AO44" s="4">
        <v>97</v>
      </c>
    </row>
    <row r="45" spans="1:41" hidden="1" x14ac:dyDescent="0.2">
      <c r="A45" t="s">
        <v>193</v>
      </c>
      <c r="B45" t="s">
        <v>194</v>
      </c>
      <c r="C45" s="2">
        <v>45744</v>
      </c>
      <c r="E45" s="3">
        <v>6602</v>
      </c>
      <c r="F45" t="s">
        <v>72</v>
      </c>
      <c r="G45" t="s">
        <v>195</v>
      </c>
      <c r="H45" t="s">
        <v>45</v>
      </c>
      <c r="I45" s="3">
        <v>10009</v>
      </c>
      <c r="J45" s="3">
        <v>1003870141</v>
      </c>
      <c r="K45" s="3">
        <v>1004658</v>
      </c>
      <c r="L45" t="s">
        <v>64</v>
      </c>
      <c r="M45" s="4">
        <v>2</v>
      </c>
      <c r="N45" t="s">
        <v>196</v>
      </c>
      <c r="O45" t="s">
        <v>197</v>
      </c>
      <c r="P45" s="4">
        <v>40.722954999999999</v>
      </c>
      <c r="Q45" s="4">
        <v>-73.979692</v>
      </c>
      <c r="R45" s="4">
        <v>40.723171999999998</v>
      </c>
      <c r="S45" s="4">
        <v>-73.979865000000004</v>
      </c>
      <c r="U45" t="s">
        <v>49</v>
      </c>
      <c r="V45" t="s">
        <v>71</v>
      </c>
      <c r="W45" t="s">
        <v>51</v>
      </c>
      <c r="Y45" s="4">
        <v>1</v>
      </c>
      <c r="Z45" s="4">
        <v>2</v>
      </c>
      <c r="AA45" s="4">
        <v>13</v>
      </c>
      <c r="AF45" s="4">
        <v>6</v>
      </c>
      <c r="AG45" s="4">
        <v>10</v>
      </c>
      <c r="AL45" s="4">
        <v>16</v>
      </c>
      <c r="AN45" s="4">
        <v>16</v>
      </c>
      <c r="AO45" s="4">
        <v>16</v>
      </c>
    </row>
    <row r="46" spans="1:41" hidden="1" x14ac:dyDescent="0.2">
      <c r="A46" t="s">
        <v>198</v>
      </c>
      <c r="B46" t="s">
        <v>199</v>
      </c>
      <c r="C46" s="2">
        <v>45735</v>
      </c>
      <c r="E46" s="3">
        <v>1016882</v>
      </c>
      <c r="F46" t="s">
        <v>200</v>
      </c>
      <c r="G46" t="s">
        <v>201</v>
      </c>
      <c r="H46" t="s">
        <v>45</v>
      </c>
      <c r="I46" s="3">
        <v>10036</v>
      </c>
      <c r="J46" s="3">
        <v>1010740063</v>
      </c>
      <c r="K46" s="3">
        <v>1026951</v>
      </c>
      <c r="L46" t="s">
        <v>78</v>
      </c>
      <c r="M46" s="4">
        <v>3</v>
      </c>
      <c r="N46" t="s">
        <v>202</v>
      </c>
      <c r="O46" t="s">
        <v>80</v>
      </c>
      <c r="P46" s="4">
        <v>40.763170000000002</v>
      </c>
      <c r="Q46" s="4">
        <v>-73.996595999999997</v>
      </c>
      <c r="R46" s="4">
        <v>40.762856999999997</v>
      </c>
      <c r="S46" s="4">
        <v>-73.996206000000001</v>
      </c>
      <c r="U46" t="s">
        <v>117</v>
      </c>
      <c r="V46" t="s">
        <v>71</v>
      </c>
      <c r="W46" t="s">
        <v>51</v>
      </c>
      <c r="Z46" s="4">
        <v>22</v>
      </c>
      <c r="AD46" s="4">
        <v>4</v>
      </c>
      <c r="AE46" s="4">
        <v>5</v>
      </c>
      <c r="AF46" s="4">
        <v>13</v>
      </c>
      <c r="AL46" s="4">
        <v>22</v>
      </c>
      <c r="AN46" s="4">
        <v>22</v>
      </c>
      <c r="AO46" s="4">
        <v>98</v>
      </c>
    </row>
    <row r="47" spans="1:41" hidden="1" x14ac:dyDescent="0.2">
      <c r="A47" t="s">
        <v>203</v>
      </c>
      <c r="B47" t="s">
        <v>204</v>
      </c>
      <c r="C47" s="2">
        <v>45734</v>
      </c>
      <c r="E47" s="3">
        <v>1009810</v>
      </c>
      <c r="F47" t="s">
        <v>205</v>
      </c>
      <c r="G47" t="s">
        <v>206</v>
      </c>
      <c r="H47" t="s">
        <v>45</v>
      </c>
      <c r="I47" s="3">
        <v>10002</v>
      </c>
      <c r="J47" s="3">
        <v>1004260035</v>
      </c>
      <c r="K47" s="3">
        <v>1000000</v>
      </c>
      <c r="L47" t="s">
        <v>64</v>
      </c>
      <c r="M47" s="4">
        <v>1</v>
      </c>
      <c r="N47" t="s">
        <v>207</v>
      </c>
      <c r="O47" t="s">
        <v>66</v>
      </c>
      <c r="P47" s="4">
        <v>40.721611000000003</v>
      </c>
      <c r="Q47" s="4">
        <v>-73.992063000000002</v>
      </c>
      <c r="R47" s="4">
        <v>40.721724000000002</v>
      </c>
      <c r="S47" s="4">
        <v>-73.992355000000003</v>
      </c>
      <c r="U47" t="s">
        <v>117</v>
      </c>
      <c r="V47" t="s">
        <v>71</v>
      </c>
      <c r="W47" t="s">
        <v>51</v>
      </c>
      <c r="AB47" s="4">
        <v>11</v>
      </c>
      <c r="AE47" s="4">
        <v>4</v>
      </c>
      <c r="AF47" s="4">
        <v>7</v>
      </c>
      <c r="AL47" s="4">
        <v>11</v>
      </c>
      <c r="AN47" s="4">
        <v>11</v>
      </c>
      <c r="AO47" s="4">
        <v>40</v>
      </c>
    </row>
    <row r="48" spans="1:41" hidden="1" x14ac:dyDescent="0.2">
      <c r="A48" t="s">
        <v>208</v>
      </c>
      <c r="B48" t="s">
        <v>209</v>
      </c>
      <c r="C48" s="2">
        <v>45729</v>
      </c>
      <c r="E48" s="3">
        <v>5286</v>
      </c>
      <c r="F48" t="s">
        <v>210</v>
      </c>
      <c r="G48" t="s">
        <v>201</v>
      </c>
      <c r="H48" t="s">
        <v>45</v>
      </c>
      <c r="I48" s="3">
        <v>10036</v>
      </c>
      <c r="J48" s="3">
        <v>1010740063</v>
      </c>
      <c r="K48" s="3">
        <v>1026951</v>
      </c>
      <c r="L48" t="s">
        <v>78</v>
      </c>
      <c r="M48" s="4">
        <v>3</v>
      </c>
      <c r="N48" t="s">
        <v>202</v>
      </c>
      <c r="O48" t="s">
        <v>80</v>
      </c>
      <c r="P48" s="4">
        <v>40.763005</v>
      </c>
      <c r="Q48" s="4">
        <v>-73.996714999999995</v>
      </c>
      <c r="R48" s="4">
        <v>40.762856999999997</v>
      </c>
      <c r="S48" s="4">
        <v>-73.996206000000001</v>
      </c>
      <c r="U48" t="s">
        <v>117</v>
      </c>
      <c r="V48" t="s">
        <v>71</v>
      </c>
      <c r="W48" t="s">
        <v>51</v>
      </c>
      <c r="Z48" s="4">
        <v>12</v>
      </c>
      <c r="AD48" s="4">
        <v>3</v>
      </c>
      <c r="AE48" s="4">
        <v>3</v>
      </c>
      <c r="AF48" s="4">
        <v>6</v>
      </c>
      <c r="AL48" s="4">
        <v>12</v>
      </c>
      <c r="AN48" s="4">
        <v>12</v>
      </c>
      <c r="AO48" s="4">
        <v>58</v>
      </c>
    </row>
    <row r="49" spans="1:41" x14ac:dyDescent="0.2">
      <c r="A49" t="s">
        <v>211</v>
      </c>
      <c r="B49" t="s">
        <v>212</v>
      </c>
      <c r="C49" s="2">
        <v>45722</v>
      </c>
      <c r="E49" s="3">
        <v>7525</v>
      </c>
      <c r="F49" t="s">
        <v>213</v>
      </c>
      <c r="G49" t="s">
        <v>214</v>
      </c>
      <c r="H49" t="s">
        <v>45</v>
      </c>
      <c r="I49" s="3">
        <v>10004</v>
      </c>
      <c r="J49" s="3">
        <v>1000250001</v>
      </c>
      <c r="K49" s="3">
        <v>1000821</v>
      </c>
      <c r="L49" t="s">
        <v>215</v>
      </c>
      <c r="M49" s="4">
        <v>1</v>
      </c>
      <c r="N49" t="s">
        <v>216</v>
      </c>
      <c r="O49" t="s">
        <v>217</v>
      </c>
      <c r="P49" s="4">
        <v>40.705356999999999</v>
      </c>
      <c r="Q49" s="4">
        <v>-74.011480000000006</v>
      </c>
      <c r="R49" s="4">
        <v>40.705277000000002</v>
      </c>
      <c r="S49" s="4">
        <v>-74.011047000000005</v>
      </c>
      <c r="U49" t="s">
        <v>117</v>
      </c>
      <c r="V49" t="s">
        <v>71</v>
      </c>
      <c r="W49" t="s">
        <v>51</v>
      </c>
      <c r="Y49" s="4">
        <v>29</v>
      </c>
      <c r="Z49" s="4">
        <v>76</v>
      </c>
      <c r="AA49" s="4">
        <v>38</v>
      </c>
      <c r="AD49" s="4">
        <v>70</v>
      </c>
      <c r="AE49" s="4">
        <v>63</v>
      </c>
      <c r="AF49" s="4">
        <v>9</v>
      </c>
      <c r="AG49" s="4">
        <v>1</v>
      </c>
      <c r="AL49" s="4">
        <v>143</v>
      </c>
      <c r="AN49" s="4">
        <v>143</v>
      </c>
      <c r="AO49" s="4">
        <v>571</v>
      </c>
    </row>
    <row r="50" spans="1:41" hidden="1" x14ac:dyDescent="0.2">
      <c r="A50" t="s">
        <v>218</v>
      </c>
      <c r="B50" t="s">
        <v>219</v>
      </c>
      <c r="C50" s="2">
        <v>45707</v>
      </c>
      <c r="D50" s="2">
        <v>45707</v>
      </c>
      <c r="E50" s="3">
        <v>41291</v>
      </c>
      <c r="F50" t="s">
        <v>220</v>
      </c>
      <c r="G50" t="s">
        <v>221</v>
      </c>
      <c r="H50" t="s">
        <v>45</v>
      </c>
      <c r="I50" s="3">
        <v>10030</v>
      </c>
      <c r="J50" s="3">
        <v>1020070059</v>
      </c>
      <c r="K50" s="3">
        <v>1060050</v>
      </c>
      <c r="L50" t="s">
        <v>146</v>
      </c>
      <c r="M50" s="4">
        <v>9</v>
      </c>
      <c r="N50" t="s">
        <v>222</v>
      </c>
      <c r="O50" t="s">
        <v>177</v>
      </c>
      <c r="P50" s="4">
        <v>40.817591</v>
      </c>
      <c r="Q50" s="4">
        <v>-73.941248000000002</v>
      </c>
      <c r="R50" s="4">
        <v>40.817407000000003</v>
      </c>
      <c r="S50" s="4">
        <v>-73.941393000000005</v>
      </c>
      <c r="T50" s="2">
        <v>45707</v>
      </c>
      <c r="U50" t="s">
        <v>49</v>
      </c>
      <c r="V50" t="s">
        <v>50</v>
      </c>
      <c r="W50" t="s">
        <v>51</v>
      </c>
      <c r="Y50" s="4">
        <v>1</v>
      </c>
      <c r="Z50" s="4">
        <v>11</v>
      </c>
      <c r="AA50" s="4">
        <v>8</v>
      </c>
      <c r="AE50" s="4">
        <v>20</v>
      </c>
      <c r="AL50" s="4">
        <v>20</v>
      </c>
      <c r="AN50" s="4">
        <v>20</v>
      </c>
      <c r="AO50" s="4">
        <v>20</v>
      </c>
    </row>
    <row r="51" spans="1:41" hidden="1" x14ac:dyDescent="0.2">
      <c r="A51" t="s">
        <v>223</v>
      </c>
      <c r="B51" t="s">
        <v>224</v>
      </c>
      <c r="C51" s="2">
        <v>45706</v>
      </c>
      <c r="E51" s="3">
        <v>4343</v>
      </c>
      <c r="F51" t="s">
        <v>225</v>
      </c>
      <c r="G51" t="s">
        <v>181</v>
      </c>
      <c r="H51" t="s">
        <v>45</v>
      </c>
      <c r="I51" s="3">
        <v>10001</v>
      </c>
      <c r="J51" s="3">
        <v>1007740001</v>
      </c>
      <c r="K51" s="3">
        <v>1000000</v>
      </c>
      <c r="L51" t="s">
        <v>78</v>
      </c>
      <c r="M51" s="4">
        <v>3</v>
      </c>
      <c r="N51" t="s">
        <v>226</v>
      </c>
      <c r="O51" t="s">
        <v>183</v>
      </c>
      <c r="P51" s="4">
        <v>40.746043</v>
      </c>
      <c r="Q51" s="4">
        <v>-73.997928000000002</v>
      </c>
      <c r="R51" s="4">
        <v>40.745977000000003</v>
      </c>
      <c r="S51" s="4">
        <v>-73.997541999999996</v>
      </c>
      <c r="U51" t="s">
        <v>117</v>
      </c>
      <c r="V51" t="s">
        <v>71</v>
      </c>
      <c r="W51" t="s">
        <v>51</v>
      </c>
      <c r="AB51" s="4">
        <v>28</v>
      </c>
      <c r="AD51" s="4">
        <v>11</v>
      </c>
      <c r="AE51" s="4">
        <v>12</v>
      </c>
      <c r="AF51" s="4">
        <v>5</v>
      </c>
      <c r="AL51" s="4">
        <v>28</v>
      </c>
      <c r="AN51" s="4">
        <v>28</v>
      </c>
      <c r="AO51" s="4">
        <v>104</v>
      </c>
    </row>
    <row r="52" spans="1:41" hidden="1" x14ac:dyDescent="0.2">
      <c r="A52" t="s">
        <v>227</v>
      </c>
      <c r="B52" t="s">
        <v>228</v>
      </c>
      <c r="C52" s="2">
        <v>45702</v>
      </c>
      <c r="E52" s="3">
        <v>27323</v>
      </c>
      <c r="F52" t="s">
        <v>229</v>
      </c>
      <c r="G52" t="s">
        <v>230</v>
      </c>
      <c r="H52" t="s">
        <v>45</v>
      </c>
      <c r="I52" s="3">
        <v>10031</v>
      </c>
      <c r="J52" s="3">
        <v>1020880114</v>
      </c>
      <c r="K52" s="3">
        <v>1062334</v>
      </c>
      <c r="L52" t="s">
        <v>169</v>
      </c>
      <c r="M52" s="4">
        <v>7</v>
      </c>
      <c r="N52" t="s">
        <v>231</v>
      </c>
      <c r="O52" t="s">
        <v>232</v>
      </c>
      <c r="P52" s="4">
        <v>40.825119999999998</v>
      </c>
      <c r="Q52" s="4">
        <v>-73.953891999999996</v>
      </c>
      <c r="R52" s="4">
        <v>40.824987999999998</v>
      </c>
      <c r="S52" s="4">
        <v>-73.953584000000006</v>
      </c>
      <c r="U52" t="s">
        <v>49</v>
      </c>
      <c r="V52" t="s">
        <v>71</v>
      </c>
      <c r="W52" t="s">
        <v>51</v>
      </c>
      <c r="Z52" s="4">
        <v>92</v>
      </c>
      <c r="AC52" s="4">
        <v>1</v>
      </c>
      <c r="AE52" s="4">
        <v>9</v>
      </c>
      <c r="AF52" s="4">
        <v>27</v>
      </c>
      <c r="AG52" s="4">
        <v>34</v>
      </c>
      <c r="AH52" s="4">
        <v>20</v>
      </c>
      <c r="AI52" s="4">
        <v>3</v>
      </c>
      <c r="AL52" s="4">
        <v>93</v>
      </c>
      <c r="AN52" s="4">
        <v>93</v>
      </c>
      <c r="AO52" s="4">
        <v>93</v>
      </c>
    </row>
    <row r="53" spans="1:41" hidden="1" x14ac:dyDescent="0.2">
      <c r="A53" t="s">
        <v>233</v>
      </c>
      <c r="B53" t="s">
        <v>140</v>
      </c>
      <c r="C53" s="2">
        <v>45702</v>
      </c>
      <c r="D53" s="2">
        <v>45702</v>
      </c>
      <c r="F53" t="s">
        <v>141</v>
      </c>
      <c r="G53" t="s">
        <v>141</v>
      </c>
      <c r="H53" t="s">
        <v>45</v>
      </c>
      <c r="L53" t="s">
        <v>169</v>
      </c>
      <c r="M53" s="4">
        <v>7</v>
      </c>
      <c r="T53" s="2">
        <v>45702</v>
      </c>
      <c r="U53" t="s">
        <v>117</v>
      </c>
      <c r="V53" t="s">
        <v>71</v>
      </c>
      <c r="W53" t="s">
        <v>51</v>
      </c>
      <c r="Z53" s="4">
        <v>1</v>
      </c>
      <c r="AF53" s="4">
        <v>1</v>
      </c>
      <c r="AM53" s="4">
        <v>1</v>
      </c>
      <c r="AN53" s="4">
        <v>1</v>
      </c>
      <c r="AO53" s="4">
        <v>1</v>
      </c>
    </row>
    <row r="54" spans="1:41" hidden="1" x14ac:dyDescent="0.2">
      <c r="A54" t="s">
        <v>234</v>
      </c>
      <c r="B54" t="s">
        <v>235</v>
      </c>
      <c r="C54" s="2">
        <v>45699</v>
      </c>
      <c r="E54" s="3">
        <v>996025</v>
      </c>
      <c r="F54" t="s">
        <v>236</v>
      </c>
      <c r="G54" t="s">
        <v>237</v>
      </c>
      <c r="H54" t="s">
        <v>45</v>
      </c>
      <c r="I54" s="3">
        <v>10016</v>
      </c>
      <c r="J54" s="3">
        <v>1008910044</v>
      </c>
      <c r="K54" s="3">
        <v>1000000</v>
      </c>
      <c r="L54" t="s">
        <v>165</v>
      </c>
      <c r="M54" s="4">
        <v>4</v>
      </c>
      <c r="N54" t="s">
        <v>238</v>
      </c>
      <c r="O54" t="s">
        <v>239</v>
      </c>
      <c r="P54" s="4">
        <v>40.746760000000002</v>
      </c>
      <c r="Q54" s="4">
        <v>-73.977383000000003</v>
      </c>
      <c r="R54" s="4">
        <v>40.746941</v>
      </c>
      <c r="S54" s="4">
        <v>-73.977627999999996</v>
      </c>
      <c r="U54" t="s">
        <v>117</v>
      </c>
      <c r="V54" t="s">
        <v>71</v>
      </c>
      <c r="W54" t="s">
        <v>51</v>
      </c>
      <c r="Z54" s="4">
        <v>7</v>
      </c>
      <c r="AD54" s="4">
        <v>3</v>
      </c>
      <c r="AE54" s="4">
        <v>2</v>
      </c>
      <c r="AF54" s="4">
        <v>2</v>
      </c>
      <c r="AL54" s="4">
        <v>7</v>
      </c>
      <c r="AN54" s="4">
        <v>7</v>
      </c>
      <c r="AO54" s="4">
        <v>160</v>
      </c>
    </row>
    <row r="55" spans="1:41" hidden="1" x14ac:dyDescent="0.2">
      <c r="A55" t="s">
        <v>240</v>
      </c>
      <c r="B55" t="s">
        <v>241</v>
      </c>
      <c r="C55" s="2">
        <v>45687</v>
      </c>
      <c r="E55" s="3">
        <v>887513</v>
      </c>
      <c r="F55" t="s">
        <v>242</v>
      </c>
      <c r="G55" t="s">
        <v>243</v>
      </c>
      <c r="H55" t="s">
        <v>45</v>
      </c>
      <c r="I55" s="3">
        <v>10027</v>
      </c>
      <c r="J55" s="3">
        <v>1019147503</v>
      </c>
      <c r="K55" s="3">
        <v>1087836</v>
      </c>
      <c r="L55" t="s">
        <v>146</v>
      </c>
      <c r="M55" s="4">
        <v>9</v>
      </c>
      <c r="N55" t="s">
        <v>244</v>
      </c>
      <c r="O55" t="s">
        <v>177</v>
      </c>
      <c r="P55" s="4">
        <v>40.811639999999997</v>
      </c>
      <c r="Q55" s="4">
        <v>-73.946369000000004</v>
      </c>
      <c r="R55" s="4">
        <v>40.811636999999997</v>
      </c>
      <c r="S55" s="4">
        <v>-73.945898999999997</v>
      </c>
      <c r="U55" t="s">
        <v>49</v>
      </c>
      <c r="V55" t="s">
        <v>71</v>
      </c>
      <c r="W55" t="s">
        <v>51</v>
      </c>
      <c r="Y55" s="4">
        <v>44</v>
      </c>
      <c r="Z55" s="4">
        <v>2</v>
      </c>
      <c r="AA55" s="4">
        <v>1</v>
      </c>
      <c r="AC55" s="4">
        <v>1</v>
      </c>
      <c r="AE55" s="4">
        <v>19</v>
      </c>
      <c r="AF55" s="4">
        <v>23</v>
      </c>
      <c r="AG55" s="4">
        <v>6</v>
      </c>
      <c r="AL55" s="4">
        <v>48</v>
      </c>
      <c r="AN55" s="4">
        <v>48</v>
      </c>
      <c r="AO55" s="4">
        <v>48</v>
      </c>
    </row>
    <row r="56" spans="1:41" hidden="1" x14ac:dyDescent="0.2">
      <c r="A56" t="s">
        <v>245</v>
      </c>
      <c r="B56" t="s">
        <v>140</v>
      </c>
      <c r="C56" s="2">
        <v>45679</v>
      </c>
      <c r="D56" s="2">
        <v>45679</v>
      </c>
      <c r="F56" t="s">
        <v>141</v>
      </c>
      <c r="G56" t="s">
        <v>141</v>
      </c>
      <c r="H56" t="s">
        <v>45</v>
      </c>
      <c r="L56" t="s">
        <v>146</v>
      </c>
      <c r="M56" s="4">
        <v>9</v>
      </c>
      <c r="T56" s="2">
        <v>45679</v>
      </c>
      <c r="U56" t="s">
        <v>117</v>
      </c>
      <c r="V56" t="s">
        <v>71</v>
      </c>
      <c r="W56" t="s">
        <v>51</v>
      </c>
      <c r="Z56" s="4">
        <v>1</v>
      </c>
      <c r="AH56" s="4">
        <v>1</v>
      </c>
      <c r="AM56" s="4">
        <v>1</v>
      </c>
      <c r="AN56" s="4">
        <v>1</v>
      </c>
      <c r="AO56" s="4">
        <v>1</v>
      </c>
    </row>
    <row r="57" spans="1:41" hidden="1" x14ac:dyDescent="0.2">
      <c r="A57" t="s">
        <v>246</v>
      </c>
      <c r="B57" t="s">
        <v>247</v>
      </c>
      <c r="C57" s="2">
        <v>45673</v>
      </c>
      <c r="E57" s="3">
        <v>978379</v>
      </c>
      <c r="F57" t="s">
        <v>248</v>
      </c>
      <c r="G57" t="s">
        <v>249</v>
      </c>
      <c r="H57" t="s">
        <v>45</v>
      </c>
      <c r="I57" s="3">
        <v>10027</v>
      </c>
      <c r="J57" s="3">
        <v>1019660077</v>
      </c>
      <c r="K57" s="3">
        <v>1000000</v>
      </c>
      <c r="L57" t="s">
        <v>169</v>
      </c>
      <c r="M57" s="4">
        <v>7</v>
      </c>
      <c r="N57" t="s">
        <v>250</v>
      </c>
      <c r="O57" t="s">
        <v>251</v>
      </c>
      <c r="P57" s="4">
        <v>40.812109999999997</v>
      </c>
      <c r="Q57" s="4">
        <v>-73.953704999999999</v>
      </c>
      <c r="R57" s="4">
        <v>40.812238999999998</v>
      </c>
      <c r="S57" s="4">
        <v>-73.954409999999996</v>
      </c>
      <c r="U57" t="s">
        <v>117</v>
      </c>
      <c r="V57" t="s">
        <v>71</v>
      </c>
      <c r="W57" t="s">
        <v>51</v>
      </c>
      <c r="AB57" s="4">
        <v>28</v>
      </c>
      <c r="AD57" s="4">
        <v>7</v>
      </c>
      <c r="AE57" s="4">
        <v>7</v>
      </c>
      <c r="AF57" s="4">
        <v>14</v>
      </c>
      <c r="AL57" s="4">
        <v>28</v>
      </c>
      <c r="AN57" s="4">
        <v>28</v>
      </c>
      <c r="AO57" s="4">
        <v>93</v>
      </c>
    </row>
    <row r="58" spans="1:41" hidden="1" x14ac:dyDescent="0.2">
      <c r="A58" t="s">
        <v>252</v>
      </c>
      <c r="B58" t="s">
        <v>253</v>
      </c>
      <c r="C58" s="2">
        <v>45658</v>
      </c>
      <c r="E58" s="3">
        <v>3427</v>
      </c>
      <c r="F58" t="s">
        <v>254</v>
      </c>
      <c r="G58" t="s">
        <v>255</v>
      </c>
      <c r="H58" t="s">
        <v>45</v>
      </c>
      <c r="I58" s="3">
        <v>10027</v>
      </c>
      <c r="J58" s="3">
        <v>1019050063</v>
      </c>
      <c r="K58" s="3">
        <v>1057660</v>
      </c>
      <c r="L58" t="s">
        <v>146</v>
      </c>
      <c r="M58" s="4">
        <v>9</v>
      </c>
      <c r="N58" t="s">
        <v>256</v>
      </c>
      <c r="O58" t="s">
        <v>148</v>
      </c>
      <c r="P58" s="4">
        <v>40.806168999999997</v>
      </c>
      <c r="Q58" s="4">
        <v>-73.950361000000001</v>
      </c>
      <c r="R58" s="4">
        <v>40.806100000000001</v>
      </c>
      <c r="S58" s="4">
        <v>-73.950053999999994</v>
      </c>
      <c r="U58" t="s">
        <v>49</v>
      </c>
      <c r="V58" t="s">
        <v>71</v>
      </c>
      <c r="W58" t="s">
        <v>51</v>
      </c>
      <c r="X58" s="4">
        <v>56</v>
      </c>
      <c r="AD58" s="4">
        <v>56</v>
      </c>
      <c r="AL58" s="4">
        <v>56</v>
      </c>
      <c r="AN58" s="4">
        <v>56</v>
      </c>
      <c r="AO58" s="4">
        <v>56</v>
      </c>
    </row>
    <row r="59" spans="1:41" hidden="1" x14ac:dyDescent="0.2">
      <c r="A59" t="s">
        <v>257</v>
      </c>
      <c r="B59" t="s">
        <v>258</v>
      </c>
      <c r="C59" s="2">
        <v>45652</v>
      </c>
      <c r="D59" s="2">
        <v>45805</v>
      </c>
      <c r="E59" s="3">
        <v>1015652</v>
      </c>
      <c r="F59" t="s">
        <v>259</v>
      </c>
      <c r="G59" t="s">
        <v>260</v>
      </c>
      <c r="H59" t="s">
        <v>45</v>
      </c>
      <c r="I59" s="3">
        <v>10027</v>
      </c>
      <c r="J59" s="3">
        <v>1019660040</v>
      </c>
      <c r="K59" s="3">
        <v>1000000</v>
      </c>
      <c r="L59" t="s">
        <v>169</v>
      </c>
      <c r="M59" s="4">
        <v>7</v>
      </c>
      <c r="N59" t="s">
        <v>250</v>
      </c>
      <c r="O59" t="s">
        <v>251</v>
      </c>
      <c r="P59" s="4">
        <v>40.812868999999999</v>
      </c>
      <c r="Q59" s="4">
        <v>-73.955806999999993</v>
      </c>
      <c r="R59" s="4">
        <v>40.813158999999999</v>
      </c>
      <c r="S59" s="4">
        <v>-73.955658999999997</v>
      </c>
      <c r="T59" s="2">
        <v>45805</v>
      </c>
      <c r="U59" t="s">
        <v>117</v>
      </c>
      <c r="V59" t="s">
        <v>71</v>
      </c>
      <c r="W59" t="s">
        <v>51</v>
      </c>
      <c r="AB59" s="4">
        <v>5</v>
      </c>
      <c r="AD59" s="4">
        <v>2</v>
      </c>
      <c r="AE59" s="4">
        <v>3</v>
      </c>
      <c r="AL59" s="4">
        <v>5</v>
      </c>
      <c r="AN59" s="4">
        <v>5</v>
      </c>
      <c r="AO59" s="4">
        <v>14</v>
      </c>
    </row>
    <row r="60" spans="1:41" hidden="1" x14ac:dyDescent="0.2">
      <c r="A60" t="s">
        <v>261</v>
      </c>
      <c r="B60" t="s">
        <v>262</v>
      </c>
      <c r="C60" s="2">
        <v>45650</v>
      </c>
      <c r="E60" s="3">
        <v>20832</v>
      </c>
      <c r="F60" t="s">
        <v>98</v>
      </c>
      <c r="G60" t="s">
        <v>263</v>
      </c>
      <c r="H60" t="s">
        <v>45</v>
      </c>
      <c r="I60" s="3">
        <v>10035</v>
      </c>
      <c r="J60" s="3">
        <v>1017540026</v>
      </c>
      <c r="K60" s="3">
        <v>1054235</v>
      </c>
      <c r="L60" t="s">
        <v>153</v>
      </c>
      <c r="M60" s="4">
        <v>9</v>
      </c>
      <c r="N60" t="s">
        <v>192</v>
      </c>
      <c r="O60" t="s">
        <v>155</v>
      </c>
      <c r="P60" s="4">
        <v>40.808095999999999</v>
      </c>
      <c r="Q60" s="4">
        <v>-73.938331000000005</v>
      </c>
      <c r="R60" s="4">
        <v>40.808185999999999</v>
      </c>
      <c r="S60" s="4">
        <v>-73.937984</v>
      </c>
      <c r="U60" t="s">
        <v>49</v>
      </c>
      <c r="V60" t="s">
        <v>71</v>
      </c>
      <c r="W60" t="s">
        <v>51</v>
      </c>
      <c r="Y60" s="4">
        <v>20</v>
      </c>
      <c r="AA60" s="4">
        <v>10</v>
      </c>
      <c r="AE60" s="4">
        <v>1</v>
      </c>
      <c r="AG60" s="4">
        <v>13</v>
      </c>
      <c r="AH60" s="4">
        <v>16</v>
      </c>
      <c r="AM60" s="4">
        <v>30</v>
      </c>
      <c r="AN60" s="4">
        <v>30</v>
      </c>
      <c r="AO60" s="4">
        <v>30</v>
      </c>
    </row>
    <row r="61" spans="1:41" hidden="1" x14ac:dyDescent="0.2">
      <c r="A61" t="s">
        <v>261</v>
      </c>
      <c r="B61" t="s">
        <v>262</v>
      </c>
      <c r="C61" s="2">
        <v>45650</v>
      </c>
      <c r="E61" s="3">
        <v>26270</v>
      </c>
      <c r="F61" t="s">
        <v>264</v>
      </c>
      <c r="G61" t="s">
        <v>265</v>
      </c>
      <c r="H61" t="s">
        <v>45</v>
      </c>
      <c r="I61" s="3">
        <v>10029</v>
      </c>
      <c r="J61" s="3">
        <v>1016250072</v>
      </c>
      <c r="K61" s="3">
        <v>1051749</v>
      </c>
      <c r="L61" t="s">
        <v>153</v>
      </c>
      <c r="M61" s="4">
        <v>8</v>
      </c>
      <c r="N61" t="s">
        <v>266</v>
      </c>
      <c r="O61" t="s">
        <v>267</v>
      </c>
      <c r="P61" s="4">
        <v>40.787585</v>
      </c>
      <c r="Q61" s="4">
        <v>-73.951791</v>
      </c>
      <c r="R61" s="4">
        <v>40.787426000000004</v>
      </c>
      <c r="S61" s="4">
        <v>-73.951472999999993</v>
      </c>
      <c r="U61" t="s">
        <v>49</v>
      </c>
      <c r="V61" t="s">
        <v>71</v>
      </c>
      <c r="W61" t="s">
        <v>51</v>
      </c>
      <c r="Y61" s="4">
        <v>7</v>
      </c>
      <c r="AA61" s="4">
        <v>3</v>
      </c>
      <c r="AF61" s="4">
        <v>10</v>
      </c>
      <c r="AM61" s="4">
        <v>10</v>
      </c>
      <c r="AN61" s="4">
        <v>10</v>
      </c>
      <c r="AO61" s="4">
        <v>10</v>
      </c>
    </row>
    <row r="62" spans="1:41" hidden="1" x14ac:dyDescent="0.2">
      <c r="A62" t="s">
        <v>268</v>
      </c>
      <c r="B62" t="s">
        <v>269</v>
      </c>
      <c r="C62" s="2">
        <v>45646</v>
      </c>
      <c r="E62" s="3">
        <v>829524</v>
      </c>
      <c r="F62" t="s">
        <v>270</v>
      </c>
      <c r="G62" t="s">
        <v>271</v>
      </c>
      <c r="H62" t="s">
        <v>45</v>
      </c>
      <c r="I62" s="3">
        <v>10035</v>
      </c>
      <c r="J62" s="3">
        <v>1017530027</v>
      </c>
      <c r="K62" s="3">
        <v>1087343</v>
      </c>
      <c r="L62" t="s">
        <v>153</v>
      </c>
      <c r="M62" s="4">
        <v>9</v>
      </c>
      <c r="N62" t="s">
        <v>192</v>
      </c>
      <c r="O62" t="s">
        <v>155</v>
      </c>
      <c r="P62" s="4">
        <v>40.807420999999998</v>
      </c>
      <c r="Q62" s="4">
        <v>-73.938666999999995</v>
      </c>
      <c r="R62" s="4">
        <v>40.807462000000001</v>
      </c>
      <c r="S62" s="4">
        <v>-73.938201000000007</v>
      </c>
      <c r="U62" t="s">
        <v>49</v>
      </c>
      <c r="V62" t="s">
        <v>71</v>
      </c>
      <c r="W62" t="s">
        <v>123</v>
      </c>
      <c r="X62" s="4">
        <v>39</v>
      </c>
      <c r="Y62" s="4">
        <v>1</v>
      </c>
      <c r="Z62" s="4">
        <v>3</v>
      </c>
      <c r="AD62" s="4">
        <v>43</v>
      </c>
      <c r="AL62" s="4">
        <v>43</v>
      </c>
      <c r="AN62" s="4">
        <v>43</v>
      </c>
      <c r="AO62" s="4">
        <v>43</v>
      </c>
    </row>
    <row r="63" spans="1:41" hidden="1" x14ac:dyDescent="0.2">
      <c r="A63" t="s">
        <v>268</v>
      </c>
      <c r="B63" t="s">
        <v>269</v>
      </c>
      <c r="C63" s="2">
        <v>45646</v>
      </c>
      <c r="E63" s="3">
        <v>831968</v>
      </c>
      <c r="F63" t="s">
        <v>72</v>
      </c>
      <c r="G63" t="s">
        <v>271</v>
      </c>
      <c r="H63" t="s">
        <v>45</v>
      </c>
      <c r="I63" s="3">
        <v>10035</v>
      </c>
      <c r="J63" s="3">
        <v>1017530027</v>
      </c>
      <c r="K63" s="3">
        <v>1090911</v>
      </c>
      <c r="L63" t="s">
        <v>153</v>
      </c>
      <c r="M63" s="4">
        <v>9</v>
      </c>
      <c r="N63" t="s">
        <v>192</v>
      </c>
      <c r="O63" t="s">
        <v>155</v>
      </c>
      <c r="P63" s="4">
        <v>40.807310999999999</v>
      </c>
      <c r="Q63" s="4">
        <v>-73.938411000000002</v>
      </c>
      <c r="R63" s="4">
        <v>40.807462000000001</v>
      </c>
      <c r="S63" s="4">
        <v>-73.938201000000007</v>
      </c>
      <c r="U63" t="s">
        <v>49</v>
      </c>
      <c r="V63" t="s">
        <v>71</v>
      </c>
      <c r="W63" t="s">
        <v>123</v>
      </c>
      <c r="X63" s="4">
        <v>45</v>
      </c>
      <c r="Y63" s="4">
        <v>10</v>
      </c>
      <c r="Z63" s="4">
        <v>5</v>
      </c>
      <c r="AC63" s="4">
        <v>1</v>
      </c>
      <c r="AD63" s="4">
        <v>60</v>
      </c>
      <c r="AE63" s="4">
        <v>1</v>
      </c>
      <c r="AL63" s="4">
        <v>61</v>
      </c>
      <c r="AN63" s="4">
        <v>61</v>
      </c>
      <c r="AO63" s="4">
        <v>61</v>
      </c>
    </row>
    <row r="64" spans="1:41" hidden="1" x14ac:dyDescent="0.2">
      <c r="A64" t="s">
        <v>272</v>
      </c>
      <c r="B64" t="s">
        <v>273</v>
      </c>
      <c r="C64" s="2">
        <v>45646</v>
      </c>
      <c r="E64" s="3">
        <v>818428</v>
      </c>
      <c r="F64" t="s">
        <v>94</v>
      </c>
      <c r="G64" t="s">
        <v>274</v>
      </c>
      <c r="H64" t="s">
        <v>45</v>
      </c>
      <c r="I64" s="3">
        <v>10026</v>
      </c>
      <c r="J64" s="3">
        <v>1016007501</v>
      </c>
      <c r="K64" s="3">
        <v>1085936</v>
      </c>
      <c r="L64" t="s">
        <v>78</v>
      </c>
      <c r="M64" s="4">
        <v>9</v>
      </c>
      <c r="N64" t="s">
        <v>275</v>
      </c>
      <c r="O64" t="s">
        <v>148</v>
      </c>
      <c r="P64" s="4">
        <v>40.802162000000003</v>
      </c>
      <c r="Q64" s="4">
        <v>-73.949568999999997</v>
      </c>
      <c r="R64" s="4">
        <v>40.802028999999997</v>
      </c>
      <c r="S64" s="4">
        <v>-73.948510999999996</v>
      </c>
      <c r="U64" t="s">
        <v>49</v>
      </c>
      <c r="V64" t="s">
        <v>71</v>
      </c>
      <c r="W64" t="s">
        <v>51</v>
      </c>
      <c r="Y64" s="4">
        <v>11</v>
      </c>
      <c r="Z64" s="4">
        <v>182</v>
      </c>
      <c r="AA64" s="4">
        <v>44</v>
      </c>
      <c r="AB64" s="4">
        <v>3</v>
      </c>
      <c r="AC64" s="4">
        <v>1</v>
      </c>
      <c r="AE64" s="4">
        <v>9</v>
      </c>
      <c r="AF64" s="4">
        <v>144</v>
      </c>
      <c r="AG64" s="4">
        <v>88</v>
      </c>
      <c r="AM64" s="4">
        <v>241</v>
      </c>
      <c r="AN64" s="4">
        <v>241</v>
      </c>
      <c r="AO64" s="4">
        <v>241</v>
      </c>
    </row>
    <row r="65" spans="1:41" x14ac:dyDescent="0.2">
      <c r="A65" t="s">
        <v>276</v>
      </c>
      <c r="B65" t="s">
        <v>277</v>
      </c>
      <c r="C65" s="2">
        <v>45646</v>
      </c>
      <c r="E65" s="3">
        <v>7514</v>
      </c>
      <c r="F65" t="s">
        <v>278</v>
      </c>
      <c r="G65" t="s">
        <v>279</v>
      </c>
      <c r="H65" t="s">
        <v>45</v>
      </c>
      <c r="I65" s="3">
        <v>10004</v>
      </c>
      <c r="J65" s="3">
        <v>1000050010</v>
      </c>
      <c r="K65" s="3">
        <v>1000007</v>
      </c>
      <c r="L65" t="s">
        <v>215</v>
      </c>
      <c r="M65" s="4">
        <v>1</v>
      </c>
      <c r="N65" t="s">
        <v>216</v>
      </c>
      <c r="O65" t="s">
        <v>217</v>
      </c>
      <c r="P65" s="4">
        <v>40.703026000000001</v>
      </c>
      <c r="Q65" s="4">
        <v>-74.011201999999997</v>
      </c>
      <c r="R65" s="4">
        <v>40.702776999999998</v>
      </c>
      <c r="S65" s="4">
        <v>-74.010722000000001</v>
      </c>
      <c r="U65" t="s">
        <v>117</v>
      </c>
      <c r="V65" t="s">
        <v>71</v>
      </c>
      <c r="W65" t="s">
        <v>51</v>
      </c>
      <c r="Y65" s="4">
        <v>66</v>
      </c>
      <c r="Z65" s="4">
        <v>4</v>
      </c>
      <c r="AA65" s="4">
        <v>260</v>
      </c>
      <c r="AD65" s="4">
        <v>238</v>
      </c>
      <c r="AE65" s="4">
        <v>73</v>
      </c>
      <c r="AF65" s="4">
        <v>12</v>
      </c>
      <c r="AG65" s="4">
        <v>7</v>
      </c>
      <c r="AL65" s="4">
        <v>330</v>
      </c>
      <c r="AN65" s="4">
        <v>330</v>
      </c>
      <c r="AO65" s="4">
        <v>1320</v>
      </c>
    </row>
    <row r="66" spans="1:41" hidden="1" x14ac:dyDescent="0.2">
      <c r="A66" t="s">
        <v>280</v>
      </c>
      <c r="B66" t="s">
        <v>281</v>
      </c>
      <c r="C66" s="2">
        <v>45645</v>
      </c>
      <c r="E66" s="3">
        <v>37262</v>
      </c>
      <c r="F66" t="s">
        <v>282</v>
      </c>
      <c r="G66" t="s">
        <v>283</v>
      </c>
      <c r="H66" t="s">
        <v>45</v>
      </c>
      <c r="I66" s="3">
        <v>10025</v>
      </c>
      <c r="J66" s="3">
        <v>1018680059</v>
      </c>
      <c r="K66" s="3">
        <v>1056065</v>
      </c>
      <c r="L66" t="s">
        <v>46</v>
      </c>
      <c r="M66" s="4">
        <v>7</v>
      </c>
      <c r="N66" t="s">
        <v>284</v>
      </c>
      <c r="O66" t="s">
        <v>285</v>
      </c>
      <c r="P66" s="4">
        <v>40.795574000000002</v>
      </c>
      <c r="Q66" s="4">
        <v>-73.971897999999996</v>
      </c>
      <c r="R66" s="4">
        <v>40.795507999999998</v>
      </c>
      <c r="S66" s="4">
        <v>-73.972301999999999</v>
      </c>
      <c r="U66" t="s">
        <v>49</v>
      </c>
      <c r="V66" t="s">
        <v>71</v>
      </c>
      <c r="W66" t="s">
        <v>51</v>
      </c>
      <c r="X66" s="4">
        <v>80</v>
      </c>
      <c r="Z66" s="4">
        <v>3</v>
      </c>
      <c r="AC66" s="4">
        <v>1</v>
      </c>
      <c r="AD66" s="4">
        <v>84</v>
      </c>
      <c r="AL66" s="4">
        <v>84</v>
      </c>
      <c r="AN66" s="4">
        <v>84</v>
      </c>
      <c r="AO66" s="4">
        <v>84</v>
      </c>
    </row>
    <row r="67" spans="1:41" hidden="1" x14ac:dyDescent="0.2">
      <c r="A67" t="s">
        <v>286</v>
      </c>
      <c r="B67" t="s">
        <v>287</v>
      </c>
      <c r="C67" s="2">
        <v>45645</v>
      </c>
      <c r="E67" s="3">
        <v>866098</v>
      </c>
      <c r="F67" t="s">
        <v>288</v>
      </c>
      <c r="G67" t="s">
        <v>289</v>
      </c>
      <c r="H67" t="s">
        <v>45</v>
      </c>
      <c r="I67" s="3">
        <v>10035</v>
      </c>
      <c r="J67" s="3">
        <v>1016670012</v>
      </c>
      <c r="K67" s="3">
        <v>1085963</v>
      </c>
      <c r="L67" t="s">
        <v>153</v>
      </c>
      <c r="M67" s="4">
        <v>8</v>
      </c>
      <c r="N67" t="s">
        <v>290</v>
      </c>
      <c r="O67" t="s">
        <v>155</v>
      </c>
      <c r="P67" s="4">
        <v>40.798344</v>
      </c>
      <c r="Q67" s="4">
        <v>-73.938827000000003</v>
      </c>
      <c r="R67" s="4">
        <v>40.798313</v>
      </c>
      <c r="S67" s="4">
        <v>-73.938202000000004</v>
      </c>
      <c r="U67" t="s">
        <v>49</v>
      </c>
      <c r="V67" t="s">
        <v>71</v>
      </c>
      <c r="W67" t="s">
        <v>123</v>
      </c>
      <c r="X67" s="4">
        <v>56</v>
      </c>
      <c r="Y67" s="4">
        <v>11</v>
      </c>
      <c r="Z67" s="4">
        <v>4</v>
      </c>
      <c r="AA67" s="4">
        <v>2</v>
      </c>
      <c r="AC67" s="4">
        <v>1</v>
      </c>
      <c r="AD67" s="4">
        <v>74</v>
      </c>
      <c r="AL67" s="4">
        <v>74</v>
      </c>
      <c r="AN67" s="4">
        <v>74</v>
      </c>
      <c r="AO67" s="4">
        <v>74</v>
      </c>
    </row>
    <row r="68" spans="1:41" hidden="1" x14ac:dyDescent="0.2">
      <c r="A68" t="s">
        <v>291</v>
      </c>
      <c r="B68" t="s">
        <v>292</v>
      </c>
      <c r="C68" s="2">
        <v>45645</v>
      </c>
      <c r="E68" s="3">
        <v>1886</v>
      </c>
      <c r="F68" t="s">
        <v>293</v>
      </c>
      <c r="G68" t="s">
        <v>237</v>
      </c>
      <c r="H68" t="s">
        <v>45</v>
      </c>
      <c r="I68" s="3">
        <v>10029</v>
      </c>
      <c r="J68" s="3">
        <v>1016250033</v>
      </c>
      <c r="K68" s="3">
        <v>1051738</v>
      </c>
      <c r="L68" t="s">
        <v>153</v>
      </c>
      <c r="M68" s="4">
        <v>8</v>
      </c>
      <c r="N68" t="s">
        <v>266</v>
      </c>
      <c r="O68" t="s">
        <v>267</v>
      </c>
      <c r="P68" s="4">
        <v>40.786368000000003</v>
      </c>
      <c r="Q68" s="4">
        <v>-73.948475999999999</v>
      </c>
      <c r="R68" s="4">
        <v>40.786313</v>
      </c>
      <c r="S68" s="4">
        <v>-73.948924000000005</v>
      </c>
      <c r="U68" t="s">
        <v>49</v>
      </c>
      <c r="V68" t="s">
        <v>71</v>
      </c>
      <c r="W68" t="s">
        <v>51</v>
      </c>
      <c r="X68" s="4">
        <v>261</v>
      </c>
      <c r="Z68" s="4">
        <v>172</v>
      </c>
      <c r="AC68" s="4">
        <v>1</v>
      </c>
      <c r="AD68" s="4">
        <v>388</v>
      </c>
      <c r="AE68" s="4">
        <v>45</v>
      </c>
      <c r="AF68" s="4">
        <v>1</v>
      </c>
      <c r="AL68" s="4">
        <v>434</v>
      </c>
      <c r="AN68" s="4">
        <v>434</v>
      </c>
      <c r="AO68" s="4">
        <v>434</v>
      </c>
    </row>
    <row r="69" spans="1:41" hidden="1" x14ac:dyDescent="0.2">
      <c r="A69" t="s">
        <v>294</v>
      </c>
      <c r="B69" t="s">
        <v>295</v>
      </c>
      <c r="C69" s="2">
        <v>45645</v>
      </c>
      <c r="D69" s="2">
        <v>45645</v>
      </c>
      <c r="E69" s="3">
        <v>25538</v>
      </c>
      <c r="F69" t="s">
        <v>296</v>
      </c>
      <c r="G69" t="s">
        <v>297</v>
      </c>
      <c r="H69" t="s">
        <v>45</v>
      </c>
      <c r="I69" s="3">
        <v>10026</v>
      </c>
      <c r="J69" s="3">
        <v>1019430001</v>
      </c>
      <c r="K69" s="3">
        <v>1081519</v>
      </c>
      <c r="L69" t="s">
        <v>146</v>
      </c>
      <c r="M69" s="4">
        <v>9</v>
      </c>
      <c r="N69" t="s">
        <v>298</v>
      </c>
      <c r="O69" t="s">
        <v>148</v>
      </c>
      <c r="P69" s="4">
        <v>40.805708000000003</v>
      </c>
      <c r="Q69" s="4">
        <v>-73.958110000000005</v>
      </c>
      <c r="R69" s="4">
        <v>40.805655999999999</v>
      </c>
      <c r="S69" s="4">
        <v>-73.957567999999995</v>
      </c>
      <c r="T69" s="2">
        <v>45645</v>
      </c>
      <c r="U69" t="s">
        <v>49</v>
      </c>
      <c r="V69" t="s">
        <v>50</v>
      </c>
      <c r="W69" t="s">
        <v>51</v>
      </c>
      <c r="X69" s="4">
        <v>39</v>
      </c>
      <c r="Y69" s="4">
        <v>5</v>
      </c>
      <c r="Z69" s="4">
        <v>2</v>
      </c>
      <c r="AB69" s="4">
        <v>6</v>
      </c>
      <c r="AC69" s="4">
        <v>1</v>
      </c>
      <c r="AD69" s="4">
        <v>2</v>
      </c>
      <c r="AE69" s="4">
        <v>28</v>
      </c>
      <c r="AF69" s="4">
        <v>15</v>
      </c>
      <c r="AG69" s="4">
        <v>7</v>
      </c>
      <c r="AH69" s="4">
        <v>1</v>
      </c>
      <c r="AL69" s="4">
        <v>53</v>
      </c>
      <c r="AN69" s="4">
        <v>53</v>
      </c>
      <c r="AO69" s="4">
        <v>53</v>
      </c>
    </row>
    <row r="70" spans="1:41" hidden="1" x14ac:dyDescent="0.2">
      <c r="A70" t="s">
        <v>294</v>
      </c>
      <c r="B70" t="s">
        <v>295</v>
      </c>
      <c r="C70" s="2">
        <v>45645</v>
      </c>
      <c r="D70" s="2">
        <v>45645</v>
      </c>
      <c r="E70" s="3">
        <v>805872</v>
      </c>
      <c r="F70" t="s">
        <v>299</v>
      </c>
      <c r="G70" t="s">
        <v>300</v>
      </c>
      <c r="H70" t="s">
        <v>45</v>
      </c>
      <c r="I70" s="3">
        <v>10026</v>
      </c>
      <c r="J70" s="3">
        <v>1019430001</v>
      </c>
      <c r="K70" s="3">
        <v>1081516</v>
      </c>
      <c r="L70" t="s">
        <v>146</v>
      </c>
      <c r="M70" s="4">
        <v>9</v>
      </c>
      <c r="N70" t="s">
        <v>298</v>
      </c>
      <c r="O70" t="s">
        <v>148</v>
      </c>
      <c r="P70" s="4">
        <v>40.805276999999997</v>
      </c>
      <c r="Q70" s="4">
        <v>-73.957380000000001</v>
      </c>
      <c r="R70" s="4">
        <v>40.805655999999999</v>
      </c>
      <c r="S70" s="4">
        <v>-73.957567999999995</v>
      </c>
      <c r="T70" s="2">
        <v>45645</v>
      </c>
      <c r="U70" t="s">
        <v>49</v>
      </c>
      <c r="V70" t="s">
        <v>50</v>
      </c>
      <c r="W70" t="s">
        <v>51</v>
      </c>
      <c r="X70" s="4">
        <v>39</v>
      </c>
      <c r="Y70" s="4">
        <v>11</v>
      </c>
      <c r="Z70" s="4">
        <v>4</v>
      </c>
      <c r="AB70" s="4">
        <v>2</v>
      </c>
      <c r="AE70" s="4">
        <v>15</v>
      </c>
      <c r="AF70" s="4">
        <v>41</v>
      </c>
      <c r="AL70" s="4">
        <v>56</v>
      </c>
      <c r="AN70" s="4">
        <v>56</v>
      </c>
      <c r="AO70" s="4">
        <v>56</v>
      </c>
    </row>
    <row r="71" spans="1:41" hidden="1" x14ac:dyDescent="0.2">
      <c r="A71" t="s">
        <v>301</v>
      </c>
      <c r="B71" t="s">
        <v>302</v>
      </c>
      <c r="C71" s="2">
        <v>45644</v>
      </c>
      <c r="E71" s="3">
        <v>1004751</v>
      </c>
      <c r="F71" t="s">
        <v>303</v>
      </c>
      <c r="G71" t="s">
        <v>304</v>
      </c>
      <c r="H71" t="s">
        <v>45</v>
      </c>
      <c r="I71" s="3">
        <v>10027</v>
      </c>
      <c r="L71" t="s">
        <v>146</v>
      </c>
      <c r="M71" s="4">
        <v>9</v>
      </c>
      <c r="N71" t="s">
        <v>305</v>
      </c>
      <c r="O71" t="s">
        <v>177</v>
      </c>
      <c r="P71" s="4">
        <v>40.808880000000002</v>
      </c>
      <c r="Q71" s="4">
        <v>-73.942130000000006</v>
      </c>
      <c r="U71" t="s">
        <v>117</v>
      </c>
      <c r="V71" t="s">
        <v>71</v>
      </c>
      <c r="W71" t="s">
        <v>51</v>
      </c>
      <c r="X71" s="4">
        <v>86</v>
      </c>
      <c r="Z71" s="4">
        <v>5</v>
      </c>
      <c r="AC71" s="4">
        <v>1</v>
      </c>
      <c r="AD71" s="4">
        <v>75</v>
      </c>
      <c r="AE71" s="4">
        <v>16</v>
      </c>
      <c r="AF71" s="4">
        <v>1</v>
      </c>
      <c r="AL71" s="4">
        <v>92</v>
      </c>
      <c r="AN71" s="4">
        <v>92</v>
      </c>
      <c r="AO71" s="4">
        <v>92</v>
      </c>
    </row>
    <row r="72" spans="1:41" hidden="1" x14ac:dyDescent="0.2">
      <c r="A72" t="s">
        <v>306</v>
      </c>
      <c r="B72" t="s">
        <v>307</v>
      </c>
      <c r="C72" s="2">
        <v>45644</v>
      </c>
      <c r="D72" s="2">
        <v>45644</v>
      </c>
      <c r="E72" s="3">
        <v>3494</v>
      </c>
      <c r="F72" t="s">
        <v>308</v>
      </c>
      <c r="G72" t="s">
        <v>255</v>
      </c>
      <c r="H72" t="s">
        <v>45</v>
      </c>
      <c r="I72" s="3">
        <v>10027</v>
      </c>
      <c r="J72" s="3">
        <v>1019380030</v>
      </c>
      <c r="K72" s="3">
        <v>1058779</v>
      </c>
      <c r="L72" t="s">
        <v>146</v>
      </c>
      <c r="M72" s="4">
        <v>9</v>
      </c>
      <c r="N72" t="s">
        <v>309</v>
      </c>
      <c r="O72" t="s">
        <v>177</v>
      </c>
      <c r="P72" s="4">
        <v>40.813547</v>
      </c>
      <c r="Q72" s="4">
        <v>-73.944997999999998</v>
      </c>
      <c r="R72" s="4">
        <v>40.813709000000003</v>
      </c>
      <c r="S72" s="4">
        <v>-73.945374000000001</v>
      </c>
      <c r="T72" s="2">
        <v>45644</v>
      </c>
      <c r="U72" t="s">
        <v>49</v>
      </c>
      <c r="V72" t="s">
        <v>50</v>
      </c>
      <c r="W72" t="s">
        <v>51</v>
      </c>
      <c r="X72" s="4">
        <v>3</v>
      </c>
      <c r="Y72" s="4">
        <v>3</v>
      </c>
      <c r="Z72" s="4">
        <v>1</v>
      </c>
      <c r="AA72" s="4">
        <v>1</v>
      </c>
      <c r="AE72" s="4">
        <v>4</v>
      </c>
      <c r="AF72" s="4">
        <v>4</v>
      </c>
      <c r="AL72" s="4">
        <v>8</v>
      </c>
      <c r="AN72" s="4">
        <v>8</v>
      </c>
      <c r="AO72" s="4">
        <v>8</v>
      </c>
    </row>
    <row r="73" spans="1:41" hidden="1" x14ac:dyDescent="0.2">
      <c r="A73" t="s">
        <v>306</v>
      </c>
      <c r="B73" t="s">
        <v>307</v>
      </c>
      <c r="C73" s="2">
        <v>45644</v>
      </c>
      <c r="D73" s="2">
        <v>45644</v>
      </c>
      <c r="E73" s="3">
        <v>3594</v>
      </c>
      <c r="F73" t="s">
        <v>310</v>
      </c>
      <c r="G73" t="s">
        <v>255</v>
      </c>
      <c r="H73" t="s">
        <v>45</v>
      </c>
      <c r="I73" s="3">
        <v>10030</v>
      </c>
      <c r="J73" s="3">
        <v>1020100064</v>
      </c>
      <c r="K73" s="3">
        <v>1060100</v>
      </c>
      <c r="L73" t="s">
        <v>146</v>
      </c>
      <c r="M73" s="4">
        <v>9</v>
      </c>
      <c r="N73" t="s">
        <v>222</v>
      </c>
      <c r="O73" t="s">
        <v>177</v>
      </c>
      <c r="P73" s="4">
        <v>40.819375000000001</v>
      </c>
      <c r="Q73" s="4">
        <v>-73.940715999999995</v>
      </c>
      <c r="R73" s="4">
        <v>40.819240000000001</v>
      </c>
      <c r="S73" s="4">
        <v>-73.940318000000005</v>
      </c>
      <c r="T73" s="2">
        <v>45644</v>
      </c>
      <c r="U73" t="s">
        <v>49</v>
      </c>
      <c r="V73" t="s">
        <v>50</v>
      </c>
      <c r="W73" t="s">
        <v>51</v>
      </c>
      <c r="X73" s="4">
        <v>2</v>
      </c>
      <c r="Y73" s="4">
        <v>7</v>
      </c>
      <c r="Z73" s="4">
        <v>2</v>
      </c>
      <c r="AD73" s="4">
        <v>1</v>
      </c>
      <c r="AF73" s="4">
        <v>5</v>
      </c>
      <c r="AG73" s="4">
        <v>5</v>
      </c>
      <c r="AL73" s="4">
        <v>11</v>
      </c>
      <c r="AN73" s="4">
        <v>11</v>
      </c>
      <c r="AO73" s="4">
        <v>11</v>
      </c>
    </row>
    <row r="74" spans="1:41" hidden="1" x14ac:dyDescent="0.2">
      <c r="A74" t="s">
        <v>306</v>
      </c>
      <c r="B74" t="s">
        <v>307</v>
      </c>
      <c r="C74" s="2">
        <v>45644</v>
      </c>
      <c r="D74" s="2">
        <v>45644</v>
      </c>
      <c r="E74" s="3">
        <v>3917</v>
      </c>
      <c r="F74" t="s">
        <v>311</v>
      </c>
      <c r="G74" t="s">
        <v>175</v>
      </c>
      <c r="H74" t="s">
        <v>45</v>
      </c>
      <c r="I74" s="3">
        <v>10026</v>
      </c>
      <c r="J74" s="3">
        <v>1018280061</v>
      </c>
      <c r="K74" s="3">
        <v>1055127</v>
      </c>
      <c r="L74" t="s">
        <v>146</v>
      </c>
      <c r="M74" s="4">
        <v>9</v>
      </c>
      <c r="N74" t="s">
        <v>312</v>
      </c>
      <c r="O74" t="s">
        <v>148</v>
      </c>
      <c r="P74" s="4">
        <v>40.802298999999998</v>
      </c>
      <c r="Q74" s="4">
        <v>-73.956901999999999</v>
      </c>
      <c r="R74" s="4">
        <v>40.802258000000002</v>
      </c>
      <c r="S74" s="4">
        <v>-73.956536999999997</v>
      </c>
      <c r="T74" s="2">
        <v>45644</v>
      </c>
      <c r="U74" t="s">
        <v>49</v>
      </c>
      <c r="V74" t="s">
        <v>50</v>
      </c>
      <c r="W74" t="s">
        <v>51</v>
      </c>
      <c r="X74" s="4">
        <v>1</v>
      </c>
      <c r="Y74" s="4">
        <v>2</v>
      </c>
      <c r="Z74" s="4">
        <v>3</v>
      </c>
      <c r="AA74" s="4">
        <v>3</v>
      </c>
      <c r="AF74" s="4">
        <v>1</v>
      </c>
      <c r="AG74" s="4">
        <v>8</v>
      </c>
      <c r="AL74" s="4">
        <v>9</v>
      </c>
      <c r="AN74" s="4">
        <v>9</v>
      </c>
      <c r="AO74" s="4">
        <v>9</v>
      </c>
    </row>
    <row r="75" spans="1:41" hidden="1" x14ac:dyDescent="0.2">
      <c r="A75" t="s">
        <v>306</v>
      </c>
      <c r="B75" t="s">
        <v>307</v>
      </c>
      <c r="C75" s="2">
        <v>45644</v>
      </c>
      <c r="D75" s="2">
        <v>45644</v>
      </c>
      <c r="E75" s="3">
        <v>37867</v>
      </c>
      <c r="F75" t="s">
        <v>313</v>
      </c>
      <c r="G75" t="s">
        <v>314</v>
      </c>
      <c r="H75" t="s">
        <v>45</v>
      </c>
      <c r="I75" s="3">
        <v>10026</v>
      </c>
      <c r="J75" s="3">
        <v>1018260044</v>
      </c>
      <c r="K75" s="3">
        <v>1055070</v>
      </c>
      <c r="L75" t="s">
        <v>146</v>
      </c>
      <c r="M75" s="4">
        <v>9</v>
      </c>
      <c r="N75" t="s">
        <v>312</v>
      </c>
      <c r="O75" t="s">
        <v>148</v>
      </c>
      <c r="P75" s="4">
        <v>40.800333000000002</v>
      </c>
      <c r="Q75" s="4">
        <v>-73.955588000000006</v>
      </c>
      <c r="R75" s="4">
        <v>40.800300999999997</v>
      </c>
      <c r="S75" s="4">
        <v>-73.956104999999994</v>
      </c>
      <c r="T75" s="2">
        <v>45644</v>
      </c>
      <c r="U75" t="s">
        <v>49</v>
      </c>
      <c r="V75" t="s">
        <v>50</v>
      </c>
      <c r="W75" t="s">
        <v>51</v>
      </c>
      <c r="X75" s="4">
        <v>1</v>
      </c>
      <c r="Y75" s="4">
        <v>9</v>
      </c>
      <c r="Z75" s="4">
        <v>2</v>
      </c>
      <c r="AA75" s="4">
        <v>8</v>
      </c>
      <c r="AB75" s="4">
        <v>1</v>
      </c>
      <c r="AD75" s="4">
        <v>2</v>
      </c>
      <c r="AE75" s="4">
        <v>13</v>
      </c>
      <c r="AF75" s="4">
        <v>3</v>
      </c>
      <c r="AG75" s="4">
        <v>3</v>
      </c>
      <c r="AL75" s="4">
        <v>21</v>
      </c>
      <c r="AN75" s="4">
        <v>21</v>
      </c>
      <c r="AO75" s="4">
        <v>21</v>
      </c>
    </row>
    <row r="76" spans="1:41" hidden="1" x14ac:dyDescent="0.2">
      <c r="A76" t="s">
        <v>306</v>
      </c>
      <c r="B76" t="s">
        <v>307</v>
      </c>
      <c r="C76" s="2">
        <v>45644</v>
      </c>
      <c r="D76" s="2">
        <v>45644</v>
      </c>
      <c r="E76" s="3">
        <v>37869</v>
      </c>
      <c r="F76" t="s">
        <v>312</v>
      </c>
      <c r="G76" t="s">
        <v>314</v>
      </c>
      <c r="H76" t="s">
        <v>45</v>
      </c>
      <c r="I76" s="3">
        <v>10026</v>
      </c>
      <c r="J76" s="3">
        <v>1018260046</v>
      </c>
      <c r="K76" s="3">
        <v>1055071</v>
      </c>
      <c r="L76" t="s">
        <v>146</v>
      </c>
      <c r="M76" s="4">
        <v>9</v>
      </c>
      <c r="N76" t="s">
        <v>312</v>
      </c>
      <c r="O76" t="s">
        <v>148</v>
      </c>
      <c r="P76" s="4">
        <v>40.800365999999997</v>
      </c>
      <c r="Q76" s="4">
        <v>-73.955668000000003</v>
      </c>
      <c r="R76" s="4">
        <v>40.800367000000001</v>
      </c>
      <c r="S76" s="4">
        <v>-73.95626</v>
      </c>
      <c r="T76" s="2">
        <v>45644</v>
      </c>
      <c r="U76" t="s">
        <v>49</v>
      </c>
      <c r="V76" t="s">
        <v>50</v>
      </c>
      <c r="W76" t="s">
        <v>51</v>
      </c>
      <c r="X76" s="4">
        <v>2</v>
      </c>
      <c r="Y76" s="4">
        <v>8</v>
      </c>
      <c r="Z76" s="4">
        <v>3</v>
      </c>
      <c r="AA76" s="4">
        <v>7</v>
      </c>
      <c r="AC76" s="4">
        <v>1</v>
      </c>
      <c r="AD76" s="4">
        <v>1</v>
      </c>
      <c r="AE76" s="4">
        <v>14</v>
      </c>
      <c r="AF76" s="4">
        <v>3</v>
      </c>
      <c r="AG76" s="4">
        <v>3</v>
      </c>
      <c r="AL76" s="4">
        <v>21</v>
      </c>
      <c r="AN76" s="4">
        <v>21</v>
      </c>
      <c r="AO76" s="4">
        <v>21</v>
      </c>
    </row>
    <row r="77" spans="1:41" hidden="1" x14ac:dyDescent="0.2">
      <c r="A77" t="s">
        <v>306</v>
      </c>
      <c r="B77" t="s">
        <v>307</v>
      </c>
      <c r="C77" s="2">
        <v>45644</v>
      </c>
      <c r="D77" s="2">
        <v>45644</v>
      </c>
      <c r="E77" s="3">
        <v>38041</v>
      </c>
      <c r="F77" t="s">
        <v>315</v>
      </c>
      <c r="G77" t="s">
        <v>316</v>
      </c>
      <c r="H77" t="s">
        <v>45</v>
      </c>
      <c r="I77" s="3">
        <v>10026</v>
      </c>
      <c r="J77" s="3">
        <v>1018290009</v>
      </c>
      <c r="K77" s="3">
        <v>1055141</v>
      </c>
      <c r="L77" t="s">
        <v>146</v>
      </c>
      <c r="M77" s="4">
        <v>9</v>
      </c>
      <c r="N77" t="s">
        <v>312</v>
      </c>
      <c r="O77" t="s">
        <v>148</v>
      </c>
      <c r="P77" s="4">
        <v>40.802087</v>
      </c>
      <c r="Q77" s="4">
        <v>-73.955810999999997</v>
      </c>
      <c r="R77" s="4">
        <v>40.802334000000002</v>
      </c>
      <c r="S77" s="4">
        <v>-73.955836000000005</v>
      </c>
      <c r="T77" s="2">
        <v>45644</v>
      </c>
      <c r="U77" t="s">
        <v>49</v>
      </c>
      <c r="V77" t="s">
        <v>50</v>
      </c>
      <c r="W77" t="s">
        <v>51</v>
      </c>
      <c r="Y77" s="4">
        <v>4</v>
      </c>
      <c r="Z77" s="4">
        <v>1</v>
      </c>
      <c r="AA77" s="4">
        <v>7</v>
      </c>
      <c r="AE77" s="4">
        <v>5</v>
      </c>
      <c r="AF77" s="4">
        <v>3</v>
      </c>
      <c r="AG77" s="4">
        <v>4</v>
      </c>
      <c r="AL77" s="4">
        <v>12</v>
      </c>
      <c r="AN77" s="4">
        <v>12</v>
      </c>
      <c r="AO77" s="4">
        <v>12</v>
      </c>
    </row>
    <row r="78" spans="1:41" hidden="1" x14ac:dyDescent="0.2">
      <c r="A78" t="s">
        <v>306</v>
      </c>
      <c r="B78" t="s">
        <v>307</v>
      </c>
      <c r="C78" s="2">
        <v>45644</v>
      </c>
      <c r="D78" s="2">
        <v>45644</v>
      </c>
      <c r="E78" s="3">
        <v>38050</v>
      </c>
      <c r="F78" t="s">
        <v>225</v>
      </c>
      <c r="G78" t="s">
        <v>316</v>
      </c>
      <c r="H78" t="s">
        <v>45</v>
      </c>
      <c r="I78" s="3">
        <v>10026</v>
      </c>
      <c r="J78" s="3">
        <v>1018280060</v>
      </c>
      <c r="K78" s="3">
        <v>1055126</v>
      </c>
      <c r="L78" t="s">
        <v>146</v>
      </c>
      <c r="M78" s="4">
        <v>9</v>
      </c>
      <c r="N78" t="s">
        <v>312</v>
      </c>
      <c r="O78" t="s">
        <v>148</v>
      </c>
      <c r="P78" s="4">
        <v>40.802216000000001</v>
      </c>
      <c r="Q78" s="4">
        <v>-73.956160999999994</v>
      </c>
      <c r="R78" s="4">
        <v>40.802081999999999</v>
      </c>
      <c r="S78" s="4">
        <v>-73.956406999999999</v>
      </c>
      <c r="T78" s="2">
        <v>45644</v>
      </c>
      <c r="U78" t="s">
        <v>49</v>
      </c>
      <c r="V78" t="s">
        <v>50</v>
      </c>
      <c r="W78" t="s">
        <v>51</v>
      </c>
      <c r="X78" s="4">
        <v>1</v>
      </c>
      <c r="Y78" s="4">
        <v>4</v>
      </c>
      <c r="Z78" s="4">
        <v>3</v>
      </c>
      <c r="AA78" s="4">
        <v>6</v>
      </c>
      <c r="AC78" s="4">
        <v>1</v>
      </c>
      <c r="AE78" s="4">
        <v>10</v>
      </c>
      <c r="AF78" s="4">
        <v>4</v>
      </c>
      <c r="AG78" s="4">
        <v>1</v>
      </c>
      <c r="AL78" s="4">
        <v>15</v>
      </c>
      <c r="AN78" s="4">
        <v>15</v>
      </c>
      <c r="AO78" s="4">
        <v>15</v>
      </c>
    </row>
    <row r="79" spans="1:41" hidden="1" x14ac:dyDescent="0.2">
      <c r="A79" t="s">
        <v>306</v>
      </c>
      <c r="B79" t="s">
        <v>307</v>
      </c>
      <c r="C79" s="2">
        <v>45644</v>
      </c>
      <c r="D79" s="2">
        <v>45644</v>
      </c>
      <c r="E79" s="3">
        <v>38234</v>
      </c>
      <c r="F79" t="s">
        <v>231</v>
      </c>
      <c r="G79" t="s">
        <v>317</v>
      </c>
      <c r="H79" t="s">
        <v>45</v>
      </c>
      <c r="I79" s="3">
        <v>10026</v>
      </c>
      <c r="J79" s="3">
        <v>1018310116</v>
      </c>
      <c r="K79" s="3">
        <v>1055251</v>
      </c>
      <c r="L79" t="s">
        <v>146</v>
      </c>
      <c r="M79" s="4">
        <v>9</v>
      </c>
      <c r="N79" t="s">
        <v>318</v>
      </c>
      <c r="O79" t="s">
        <v>148</v>
      </c>
      <c r="P79" s="4">
        <v>40.803066999999999</v>
      </c>
      <c r="Q79" s="4">
        <v>-73.954256999999998</v>
      </c>
      <c r="R79" s="4">
        <v>40.803322000000001</v>
      </c>
      <c r="S79" s="4">
        <v>-73.954300000000003</v>
      </c>
      <c r="T79" s="2">
        <v>45644</v>
      </c>
      <c r="U79" t="s">
        <v>49</v>
      </c>
      <c r="V79" t="s">
        <v>50</v>
      </c>
      <c r="W79" t="s">
        <v>51</v>
      </c>
      <c r="Y79" s="4">
        <v>2</v>
      </c>
      <c r="Z79" s="4">
        <v>1</v>
      </c>
      <c r="AA79" s="4">
        <v>2</v>
      </c>
      <c r="AF79" s="4">
        <v>5</v>
      </c>
      <c r="AL79" s="4">
        <v>5</v>
      </c>
      <c r="AN79" s="4">
        <v>5</v>
      </c>
      <c r="AO79" s="4">
        <v>5</v>
      </c>
    </row>
    <row r="80" spans="1:41" hidden="1" x14ac:dyDescent="0.2">
      <c r="A80" t="s">
        <v>306</v>
      </c>
      <c r="B80" t="s">
        <v>307</v>
      </c>
      <c r="C80" s="2">
        <v>45644</v>
      </c>
      <c r="D80" s="2">
        <v>45644</v>
      </c>
      <c r="E80" s="3">
        <v>38238</v>
      </c>
      <c r="F80" t="s">
        <v>319</v>
      </c>
      <c r="G80" t="s">
        <v>317</v>
      </c>
      <c r="H80" t="s">
        <v>45</v>
      </c>
      <c r="I80" s="3">
        <v>10026</v>
      </c>
      <c r="J80" s="3">
        <v>1018310012</v>
      </c>
      <c r="K80" s="3">
        <v>1055227</v>
      </c>
      <c r="L80" t="s">
        <v>146</v>
      </c>
      <c r="M80" s="4">
        <v>9</v>
      </c>
      <c r="N80" t="s">
        <v>318</v>
      </c>
      <c r="O80" t="s">
        <v>148</v>
      </c>
      <c r="P80" s="4">
        <v>40.803283999999998</v>
      </c>
      <c r="Q80" s="4">
        <v>-73.954758999999996</v>
      </c>
      <c r="R80" s="4">
        <v>40.803483999999997</v>
      </c>
      <c r="S80" s="4">
        <v>-73.954661000000002</v>
      </c>
      <c r="T80" s="2">
        <v>45644</v>
      </c>
      <c r="U80" t="s">
        <v>49</v>
      </c>
      <c r="V80" t="s">
        <v>50</v>
      </c>
      <c r="W80" t="s">
        <v>51</v>
      </c>
      <c r="X80" s="4">
        <v>2</v>
      </c>
      <c r="Y80" s="4">
        <v>1</v>
      </c>
      <c r="Z80" s="4">
        <v>3</v>
      </c>
      <c r="AA80" s="4">
        <v>4</v>
      </c>
      <c r="AE80" s="4">
        <v>5</v>
      </c>
      <c r="AF80" s="4">
        <v>5</v>
      </c>
      <c r="AL80" s="4">
        <v>10</v>
      </c>
      <c r="AN80" s="4">
        <v>10</v>
      </c>
      <c r="AO80" s="4">
        <v>10</v>
      </c>
    </row>
    <row r="81" spans="1:41" hidden="1" x14ac:dyDescent="0.2">
      <c r="A81" t="s">
        <v>306</v>
      </c>
      <c r="B81" t="s">
        <v>307</v>
      </c>
      <c r="C81" s="2">
        <v>45644</v>
      </c>
      <c r="D81" s="2">
        <v>45644</v>
      </c>
      <c r="E81" s="3">
        <v>40656</v>
      </c>
      <c r="F81" t="s">
        <v>320</v>
      </c>
      <c r="G81" t="s">
        <v>321</v>
      </c>
      <c r="H81" t="s">
        <v>45</v>
      </c>
      <c r="I81" s="3">
        <v>10030</v>
      </c>
      <c r="J81" s="3">
        <v>1019400019</v>
      </c>
      <c r="K81" s="3">
        <v>1058832</v>
      </c>
      <c r="L81" t="s">
        <v>146</v>
      </c>
      <c r="M81" s="4">
        <v>9</v>
      </c>
      <c r="N81" t="s">
        <v>322</v>
      </c>
      <c r="O81" t="s">
        <v>177</v>
      </c>
      <c r="P81" s="4">
        <v>40.815097999999999</v>
      </c>
      <c r="Q81" s="4">
        <v>-73.945271000000005</v>
      </c>
      <c r="R81" s="4">
        <v>40.815331999999998</v>
      </c>
      <c r="S81" s="4">
        <v>-73.945274999999995</v>
      </c>
      <c r="T81" s="2">
        <v>45644</v>
      </c>
      <c r="U81" t="s">
        <v>49</v>
      </c>
      <c r="V81" t="s">
        <v>50</v>
      </c>
      <c r="W81" t="s">
        <v>51</v>
      </c>
      <c r="Y81" s="4">
        <v>1</v>
      </c>
      <c r="Z81" s="4">
        <v>1</v>
      </c>
      <c r="AA81" s="4">
        <v>2</v>
      </c>
      <c r="AB81" s="4">
        <v>1</v>
      </c>
      <c r="AE81" s="4">
        <v>2</v>
      </c>
      <c r="AF81" s="4">
        <v>3</v>
      </c>
      <c r="AL81" s="4">
        <v>5</v>
      </c>
      <c r="AN81" s="4">
        <v>5</v>
      </c>
      <c r="AO81" s="4">
        <v>5</v>
      </c>
    </row>
    <row r="82" spans="1:41" hidden="1" x14ac:dyDescent="0.2">
      <c r="A82" t="s">
        <v>306</v>
      </c>
      <c r="B82" t="s">
        <v>307</v>
      </c>
      <c r="C82" s="2">
        <v>45644</v>
      </c>
      <c r="D82" s="2">
        <v>45644</v>
      </c>
      <c r="E82" s="3">
        <v>40745</v>
      </c>
      <c r="F82" t="s">
        <v>323</v>
      </c>
      <c r="G82" t="s">
        <v>324</v>
      </c>
      <c r="H82" t="s">
        <v>45</v>
      </c>
      <c r="I82" s="3">
        <v>10030</v>
      </c>
      <c r="J82" s="3">
        <v>1019410008</v>
      </c>
      <c r="K82" s="3">
        <v>1058875</v>
      </c>
      <c r="L82" t="s">
        <v>146</v>
      </c>
      <c r="M82" s="4">
        <v>9</v>
      </c>
      <c r="N82" t="s">
        <v>322</v>
      </c>
      <c r="O82" t="s">
        <v>177</v>
      </c>
      <c r="P82" s="4">
        <v>40.816194000000003</v>
      </c>
      <c r="Q82" s="4">
        <v>-73.945786999999996</v>
      </c>
      <c r="R82" s="4">
        <v>40.816426999999997</v>
      </c>
      <c r="S82" s="4">
        <v>-73.945621000000003</v>
      </c>
      <c r="T82" s="2">
        <v>45644</v>
      </c>
      <c r="U82" t="s">
        <v>49</v>
      </c>
      <c r="V82" t="s">
        <v>50</v>
      </c>
      <c r="W82" t="s">
        <v>51</v>
      </c>
      <c r="Y82" s="4">
        <v>4</v>
      </c>
      <c r="Z82" s="4">
        <v>3</v>
      </c>
      <c r="AA82" s="4">
        <v>2</v>
      </c>
      <c r="AB82" s="4">
        <v>1</v>
      </c>
      <c r="AD82" s="4">
        <v>1</v>
      </c>
      <c r="AE82" s="4">
        <v>5</v>
      </c>
      <c r="AF82" s="4">
        <v>4</v>
      </c>
      <c r="AL82" s="4">
        <v>10</v>
      </c>
      <c r="AN82" s="4">
        <v>10</v>
      </c>
      <c r="AO82" s="4">
        <v>10</v>
      </c>
    </row>
    <row r="83" spans="1:41" hidden="1" x14ac:dyDescent="0.2">
      <c r="A83" t="s">
        <v>306</v>
      </c>
      <c r="B83" t="s">
        <v>307</v>
      </c>
      <c r="C83" s="2">
        <v>45644</v>
      </c>
      <c r="D83" s="2">
        <v>45644</v>
      </c>
      <c r="E83" s="3">
        <v>41097</v>
      </c>
      <c r="F83" t="s">
        <v>325</v>
      </c>
      <c r="G83" t="s">
        <v>326</v>
      </c>
      <c r="H83" t="s">
        <v>45</v>
      </c>
      <c r="I83" s="3">
        <v>10037</v>
      </c>
      <c r="J83" s="3">
        <v>1017350006</v>
      </c>
      <c r="K83" s="3">
        <v>1053902</v>
      </c>
      <c r="L83" t="s">
        <v>146</v>
      </c>
      <c r="M83" s="4">
        <v>9</v>
      </c>
      <c r="N83" t="s">
        <v>313</v>
      </c>
      <c r="O83" t="s">
        <v>177</v>
      </c>
      <c r="P83" s="4">
        <v>40.814878</v>
      </c>
      <c r="Q83" s="4">
        <v>-73.938638999999995</v>
      </c>
      <c r="R83" s="4">
        <v>40.815325999999999</v>
      </c>
      <c r="S83" s="4">
        <v>-73.939139999999995</v>
      </c>
      <c r="T83" s="2">
        <v>45644</v>
      </c>
      <c r="U83" t="s">
        <v>49</v>
      </c>
      <c r="V83" t="s">
        <v>50</v>
      </c>
      <c r="W83" t="s">
        <v>51</v>
      </c>
      <c r="X83" s="4">
        <v>3</v>
      </c>
      <c r="Y83" s="4">
        <v>6</v>
      </c>
      <c r="Z83" s="4">
        <v>2</v>
      </c>
      <c r="AA83" s="4">
        <v>1</v>
      </c>
      <c r="AB83" s="4">
        <v>1</v>
      </c>
      <c r="AC83" s="4">
        <v>1</v>
      </c>
      <c r="AD83" s="4">
        <v>1</v>
      </c>
      <c r="AE83" s="4">
        <v>5</v>
      </c>
      <c r="AG83" s="4">
        <v>8</v>
      </c>
      <c r="AL83" s="4">
        <v>14</v>
      </c>
      <c r="AN83" s="4">
        <v>14</v>
      </c>
      <c r="AO83" s="4">
        <v>14</v>
      </c>
    </row>
    <row r="84" spans="1:41" hidden="1" x14ac:dyDescent="0.2">
      <c r="A84" t="s">
        <v>327</v>
      </c>
      <c r="B84" t="s">
        <v>140</v>
      </c>
      <c r="C84" s="2">
        <v>45639</v>
      </c>
      <c r="D84" s="2">
        <v>45639</v>
      </c>
      <c r="F84" t="s">
        <v>141</v>
      </c>
      <c r="G84" t="s">
        <v>141</v>
      </c>
      <c r="H84" t="s">
        <v>45</v>
      </c>
      <c r="L84" t="s">
        <v>165</v>
      </c>
      <c r="M84" s="4">
        <v>4</v>
      </c>
      <c r="T84" s="2">
        <v>45639</v>
      </c>
      <c r="U84" t="s">
        <v>117</v>
      </c>
      <c r="V84" t="s">
        <v>71</v>
      </c>
      <c r="W84" t="s">
        <v>51</v>
      </c>
      <c r="Z84" s="4">
        <v>1</v>
      </c>
      <c r="AE84" s="4">
        <v>1</v>
      </c>
      <c r="AM84" s="4">
        <v>1</v>
      </c>
      <c r="AN84" s="4">
        <v>1</v>
      </c>
      <c r="AO84" s="4">
        <v>1</v>
      </c>
    </row>
    <row r="85" spans="1:41" hidden="1" x14ac:dyDescent="0.2">
      <c r="A85" t="s">
        <v>328</v>
      </c>
      <c r="B85" t="s">
        <v>329</v>
      </c>
      <c r="C85" s="2">
        <v>45638</v>
      </c>
      <c r="E85" s="3">
        <v>1009810</v>
      </c>
      <c r="F85" t="s">
        <v>205</v>
      </c>
      <c r="G85" t="s">
        <v>206</v>
      </c>
      <c r="H85" t="s">
        <v>45</v>
      </c>
      <c r="I85" s="3">
        <v>10002</v>
      </c>
      <c r="J85" s="3">
        <v>1004260035</v>
      </c>
      <c r="K85" s="3">
        <v>1000000</v>
      </c>
      <c r="L85" t="s">
        <v>64</v>
      </c>
      <c r="M85" s="4">
        <v>1</v>
      </c>
      <c r="N85" t="s">
        <v>207</v>
      </c>
      <c r="O85" t="s">
        <v>66</v>
      </c>
      <c r="P85" s="4">
        <v>40.721611000000003</v>
      </c>
      <c r="Q85" s="4">
        <v>-73.992063000000002</v>
      </c>
      <c r="R85" s="4">
        <v>40.721724000000002</v>
      </c>
      <c r="S85" s="4">
        <v>-73.992355000000003</v>
      </c>
      <c r="U85" t="s">
        <v>117</v>
      </c>
      <c r="V85" t="s">
        <v>71</v>
      </c>
      <c r="W85" t="s">
        <v>51</v>
      </c>
      <c r="Y85" s="4">
        <v>4</v>
      </c>
      <c r="Z85" s="4">
        <v>7</v>
      </c>
      <c r="AE85" s="4">
        <v>4</v>
      </c>
      <c r="AF85" s="4">
        <v>7</v>
      </c>
      <c r="AL85" s="4">
        <v>11</v>
      </c>
      <c r="AN85" s="4">
        <v>11</v>
      </c>
      <c r="AO85" s="4">
        <v>58</v>
      </c>
    </row>
    <row r="86" spans="1:41" hidden="1" x14ac:dyDescent="0.2">
      <c r="A86" t="s">
        <v>330</v>
      </c>
      <c r="B86" t="s">
        <v>140</v>
      </c>
      <c r="C86" s="2">
        <v>45638</v>
      </c>
      <c r="D86" s="2">
        <v>45638</v>
      </c>
      <c r="F86" t="s">
        <v>141</v>
      </c>
      <c r="G86" t="s">
        <v>141</v>
      </c>
      <c r="H86" t="s">
        <v>45</v>
      </c>
      <c r="L86" t="s">
        <v>78</v>
      </c>
      <c r="M86" s="4">
        <v>3</v>
      </c>
      <c r="T86" s="2">
        <v>45638</v>
      </c>
      <c r="U86" t="s">
        <v>117</v>
      </c>
      <c r="V86" t="s">
        <v>71</v>
      </c>
      <c r="W86" t="s">
        <v>51</v>
      </c>
      <c r="Z86" s="4">
        <v>1</v>
      </c>
      <c r="AD86" s="4">
        <v>1</v>
      </c>
      <c r="AM86" s="4">
        <v>1</v>
      </c>
      <c r="AN86" s="4">
        <v>1</v>
      </c>
      <c r="AO86" s="4">
        <v>1</v>
      </c>
    </row>
    <row r="87" spans="1:41" hidden="1" x14ac:dyDescent="0.2">
      <c r="A87" t="s">
        <v>331</v>
      </c>
      <c r="B87" t="s">
        <v>332</v>
      </c>
      <c r="C87" s="2">
        <v>45637</v>
      </c>
      <c r="D87" s="2">
        <v>45637</v>
      </c>
      <c r="E87" s="3">
        <v>24078</v>
      </c>
      <c r="F87" t="s">
        <v>333</v>
      </c>
      <c r="G87" t="s">
        <v>334</v>
      </c>
      <c r="H87" t="s">
        <v>45</v>
      </c>
      <c r="I87" s="3">
        <v>10035</v>
      </c>
      <c r="J87" s="3">
        <v>1017670016</v>
      </c>
      <c r="K87" s="3">
        <v>1054347</v>
      </c>
      <c r="L87" t="s">
        <v>153</v>
      </c>
      <c r="M87" s="4">
        <v>9</v>
      </c>
      <c r="N87" t="s">
        <v>335</v>
      </c>
      <c r="O87" t="s">
        <v>155</v>
      </c>
      <c r="P87" s="4">
        <v>40.800055</v>
      </c>
      <c r="Q87" s="4">
        <v>-73.940584999999999</v>
      </c>
      <c r="R87" s="4">
        <v>40.800348999999997</v>
      </c>
      <c r="S87" s="4">
        <v>-73.940732999999994</v>
      </c>
      <c r="T87" s="2">
        <v>45637</v>
      </c>
      <c r="U87" t="s">
        <v>49</v>
      </c>
      <c r="V87" t="s">
        <v>50</v>
      </c>
      <c r="W87" t="s">
        <v>51</v>
      </c>
      <c r="X87" s="4">
        <v>86</v>
      </c>
      <c r="Y87" s="4">
        <v>20</v>
      </c>
      <c r="Z87" s="4">
        <v>12</v>
      </c>
      <c r="AA87" s="4">
        <v>14</v>
      </c>
      <c r="AB87" s="4">
        <v>1</v>
      </c>
      <c r="AC87" s="4">
        <v>1</v>
      </c>
      <c r="AD87" s="4">
        <v>1</v>
      </c>
      <c r="AE87" s="4">
        <v>4</v>
      </c>
      <c r="AF87" s="4">
        <v>97</v>
      </c>
      <c r="AG87" s="4">
        <v>32</v>
      </c>
      <c r="AL87" s="4">
        <v>134</v>
      </c>
      <c r="AN87" s="4">
        <v>134</v>
      </c>
      <c r="AO87" s="4">
        <v>134</v>
      </c>
    </row>
    <row r="88" spans="1:41" hidden="1" x14ac:dyDescent="0.2">
      <c r="A88" t="s">
        <v>336</v>
      </c>
      <c r="B88" t="s">
        <v>337</v>
      </c>
      <c r="C88" s="2">
        <v>45635</v>
      </c>
      <c r="E88" s="3">
        <v>1008972</v>
      </c>
      <c r="F88" t="s">
        <v>338</v>
      </c>
      <c r="G88" t="s">
        <v>339</v>
      </c>
      <c r="H88" t="s">
        <v>45</v>
      </c>
      <c r="I88" s="3">
        <v>10075</v>
      </c>
      <c r="J88" s="3">
        <v>1014520027</v>
      </c>
      <c r="K88" s="3">
        <v>1000000</v>
      </c>
      <c r="L88" t="s">
        <v>107</v>
      </c>
      <c r="M88" s="4">
        <v>5</v>
      </c>
      <c r="N88" t="s">
        <v>340</v>
      </c>
      <c r="O88" t="s">
        <v>341</v>
      </c>
      <c r="P88" s="4">
        <v>40.771377999999999</v>
      </c>
      <c r="Q88" s="4">
        <v>-73.953405000000004</v>
      </c>
      <c r="R88" s="4">
        <v>40.771594999999998</v>
      </c>
      <c r="S88" s="4">
        <v>-73.953636000000003</v>
      </c>
      <c r="U88" t="s">
        <v>117</v>
      </c>
      <c r="V88" t="s">
        <v>71</v>
      </c>
      <c r="W88" t="s">
        <v>51</v>
      </c>
      <c r="AB88" s="4">
        <v>45</v>
      </c>
      <c r="AD88" s="4">
        <v>8</v>
      </c>
      <c r="AE88" s="4">
        <v>14</v>
      </c>
      <c r="AF88" s="4">
        <v>23</v>
      </c>
      <c r="AL88" s="4">
        <v>45</v>
      </c>
      <c r="AN88" s="4">
        <v>45</v>
      </c>
      <c r="AO88" s="4">
        <v>146</v>
      </c>
    </row>
    <row r="89" spans="1:41" hidden="1" x14ac:dyDescent="0.2">
      <c r="A89" t="s">
        <v>342</v>
      </c>
      <c r="B89" t="s">
        <v>343</v>
      </c>
      <c r="C89" s="2">
        <v>45623</v>
      </c>
      <c r="D89" s="2">
        <v>45623</v>
      </c>
      <c r="E89" s="3">
        <v>27974</v>
      </c>
      <c r="F89" t="s">
        <v>344</v>
      </c>
      <c r="G89" t="s">
        <v>345</v>
      </c>
      <c r="H89" t="s">
        <v>45</v>
      </c>
      <c r="I89" s="3">
        <v>10033</v>
      </c>
      <c r="J89" s="3">
        <v>1021530001</v>
      </c>
      <c r="K89" s="3">
        <v>1079909</v>
      </c>
      <c r="L89" t="s">
        <v>114</v>
      </c>
      <c r="M89" s="4">
        <v>10</v>
      </c>
      <c r="N89" t="s">
        <v>346</v>
      </c>
      <c r="O89" t="s">
        <v>134</v>
      </c>
      <c r="P89" s="4">
        <v>40.847503000000003</v>
      </c>
      <c r="Q89" s="4">
        <v>-73.935051999999999</v>
      </c>
      <c r="R89" s="4">
        <v>40.847389999999997</v>
      </c>
      <c r="S89" s="4">
        <v>-73.934209999999993</v>
      </c>
      <c r="T89" s="2">
        <v>45623</v>
      </c>
      <c r="U89" t="s">
        <v>49</v>
      </c>
      <c r="V89" t="s">
        <v>50</v>
      </c>
      <c r="W89" t="s">
        <v>51</v>
      </c>
      <c r="Y89" s="4">
        <v>22</v>
      </c>
      <c r="Z89" s="4">
        <v>158</v>
      </c>
      <c r="AA89" s="4">
        <v>59</v>
      </c>
      <c r="AB89" s="4">
        <v>1</v>
      </c>
      <c r="AD89" s="4">
        <v>60</v>
      </c>
      <c r="AE89" s="4">
        <v>60</v>
      </c>
      <c r="AG89" s="4">
        <v>120</v>
      </c>
      <c r="AL89" s="4">
        <v>240</v>
      </c>
      <c r="AN89" s="4">
        <v>240</v>
      </c>
      <c r="AO89" s="4">
        <v>240</v>
      </c>
    </row>
    <row r="90" spans="1:41" hidden="1" x14ac:dyDescent="0.2">
      <c r="A90" t="s">
        <v>342</v>
      </c>
      <c r="B90" t="s">
        <v>343</v>
      </c>
      <c r="C90" s="2">
        <v>45623</v>
      </c>
      <c r="D90" s="2">
        <v>45623</v>
      </c>
      <c r="E90" s="3">
        <v>28980</v>
      </c>
      <c r="F90" t="s">
        <v>347</v>
      </c>
      <c r="G90" t="s">
        <v>348</v>
      </c>
      <c r="H90" t="s">
        <v>45</v>
      </c>
      <c r="I90" s="3">
        <v>10033</v>
      </c>
      <c r="J90" s="3">
        <v>1021620001</v>
      </c>
      <c r="K90" s="3">
        <v>1079921</v>
      </c>
      <c r="L90" t="s">
        <v>114</v>
      </c>
      <c r="M90" s="4">
        <v>10</v>
      </c>
      <c r="N90" t="s">
        <v>349</v>
      </c>
      <c r="O90" t="s">
        <v>134</v>
      </c>
      <c r="P90" s="4">
        <v>40.848098999999998</v>
      </c>
      <c r="Q90" s="4">
        <v>-73.936215000000004</v>
      </c>
      <c r="R90" s="4">
        <v>40.847949999999997</v>
      </c>
      <c r="S90" s="4">
        <v>-73.935561000000007</v>
      </c>
      <c r="T90" s="2">
        <v>45623</v>
      </c>
      <c r="U90" t="s">
        <v>49</v>
      </c>
      <c r="V90" t="s">
        <v>50</v>
      </c>
      <c r="W90" t="s">
        <v>51</v>
      </c>
      <c r="Y90" s="4">
        <v>17</v>
      </c>
      <c r="Z90" s="4">
        <v>167</v>
      </c>
      <c r="AA90" s="4">
        <v>54</v>
      </c>
      <c r="AB90" s="4">
        <v>2</v>
      </c>
      <c r="AE90" s="4">
        <v>60</v>
      </c>
      <c r="AF90" s="4">
        <v>180</v>
      </c>
      <c r="AL90" s="4">
        <v>240</v>
      </c>
      <c r="AN90" s="4">
        <v>240</v>
      </c>
      <c r="AO90" s="4">
        <v>240</v>
      </c>
    </row>
    <row r="91" spans="1:41" hidden="1" x14ac:dyDescent="0.2">
      <c r="A91" t="s">
        <v>342</v>
      </c>
      <c r="B91" t="s">
        <v>343</v>
      </c>
      <c r="C91" s="2">
        <v>45623</v>
      </c>
      <c r="D91" s="2">
        <v>45623</v>
      </c>
      <c r="E91" s="3">
        <v>804020</v>
      </c>
      <c r="F91" t="s">
        <v>350</v>
      </c>
      <c r="G91" t="s">
        <v>136</v>
      </c>
      <c r="H91" t="s">
        <v>45</v>
      </c>
      <c r="I91" s="3">
        <v>10033</v>
      </c>
      <c r="J91" s="3">
        <v>1021530001</v>
      </c>
      <c r="K91" s="3">
        <v>1079908</v>
      </c>
      <c r="L91" t="s">
        <v>114</v>
      </c>
      <c r="M91" s="4">
        <v>10</v>
      </c>
      <c r="N91" t="s">
        <v>346</v>
      </c>
      <c r="O91" t="s">
        <v>134</v>
      </c>
      <c r="P91" s="4">
        <v>40.847042999999999</v>
      </c>
      <c r="Q91" s="4">
        <v>-73.933584999999994</v>
      </c>
      <c r="R91" s="4">
        <v>40.847389999999997</v>
      </c>
      <c r="S91" s="4">
        <v>-73.934209999999993</v>
      </c>
      <c r="T91" s="2">
        <v>45623</v>
      </c>
      <c r="U91" t="s">
        <v>49</v>
      </c>
      <c r="V91" t="s">
        <v>50</v>
      </c>
      <c r="W91" t="s">
        <v>51</v>
      </c>
      <c r="Y91" s="4">
        <v>7</v>
      </c>
      <c r="Z91" s="4">
        <v>187</v>
      </c>
      <c r="AA91" s="4">
        <v>44</v>
      </c>
      <c r="AB91" s="4">
        <v>1</v>
      </c>
      <c r="AC91" s="4">
        <v>1</v>
      </c>
      <c r="AE91" s="4">
        <v>60</v>
      </c>
      <c r="AF91" s="4">
        <v>180</v>
      </c>
      <c r="AL91" s="4">
        <v>240</v>
      </c>
      <c r="AN91" s="4">
        <v>240</v>
      </c>
      <c r="AO91" s="4">
        <v>240</v>
      </c>
    </row>
    <row r="92" spans="1:41" hidden="1" x14ac:dyDescent="0.2">
      <c r="A92" t="s">
        <v>342</v>
      </c>
      <c r="B92" t="s">
        <v>343</v>
      </c>
      <c r="C92" s="2">
        <v>45623</v>
      </c>
      <c r="D92" s="2">
        <v>45623</v>
      </c>
      <c r="E92" s="3">
        <v>805325</v>
      </c>
      <c r="F92" t="s">
        <v>351</v>
      </c>
      <c r="G92" t="s">
        <v>345</v>
      </c>
      <c r="H92" t="s">
        <v>45</v>
      </c>
      <c r="I92" s="3">
        <v>10033</v>
      </c>
      <c r="J92" s="3">
        <v>1021620001</v>
      </c>
      <c r="K92" s="3">
        <v>1079920</v>
      </c>
      <c r="L92" t="s">
        <v>114</v>
      </c>
      <c r="M92" s="4">
        <v>10</v>
      </c>
      <c r="N92" t="s">
        <v>349</v>
      </c>
      <c r="O92" t="s">
        <v>134</v>
      </c>
      <c r="P92" s="4">
        <v>40.847510999999997</v>
      </c>
      <c r="Q92" s="4">
        <v>-73.935069999999996</v>
      </c>
      <c r="R92" s="4">
        <v>40.847949999999997</v>
      </c>
      <c r="S92" s="4">
        <v>-73.935561000000007</v>
      </c>
      <c r="T92" s="2">
        <v>45623</v>
      </c>
      <c r="U92" t="s">
        <v>49</v>
      </c>
      <c r="V92" t="s">
        <v>50</v>
      </c>
      <c r="W92" t="s">
        <v>51</v>
      </c>
      <c r="Y92" s="4">
        <v>27</v>
      </c>
      <c r="Z92" s="4">
        <v>158</v>
      </c>
      <c r="AA92" s="4">
        <v>54</v>
      </c>
      <c r="AC92" s="4">
        <v>1</v>
      </c>
      <c r="AD92" s="4">
        <v>60</v>
      </c>
      <c r="AE92" s="4">
        <v>60</v>
      </c>
      <c r="AG92" s="4">
        <v>120</v>
      </c>
      <c r="AL92" s="4">
        <v>240</v>
      </c>
      <c r="AN92" s="4">
        <v>240</v>
      </c>
      <c r="AO92" s="4">
        <v>240</v>
      </c>
    </row>
    <row r="93" spans="1:41" hidden="1" x14ac:dyDescent="0.2">
      <c r="A93" t="s">
        <v>352</v>
      </c>
      <c r="B93" t="s">
        <v>353</v>
      </c>
      <c r="C93" s="2">
        <v>45618</v>
      </c>
      <c r="E93" s="3">
        <v>25381</v>
      </c>
      <c r="F93" t="s">
        <v>354</v>
      </c>
      <c r="G93" t="s">
        <v>355</v>
      </c>
      <c r="H93" t="s">
        <v>45</v>
      </c>
      <c r="I93" s="3">
        <v>10463</v>
      </c>
      <c r="J93" s="3">
        <v>1022150569</v>
      </c>
      <c r="K93" s="3">
        <v>1000000</v>
      </c>
      <c r="L93" t="s">
        <v>114</v>
      </c>
      <c r="M93" s="4">
        <v>10</v>
      </c>
      <c r="N93" t="s">
        <v>356</v>
      </c>
      <c r="O93" t="s">
        <v>357</v>
      </c>
      <c r="P93" s="4">
        <v>40.876660999999999</v>
      </c>
      <c r="Q93" s="4">
        <v>-73.909443999999993</v>
      </c>
      <c r="R93" s="4">
        <v>40.876598000000001</v>
      </c>
      <c r="S93" s="4">
        <v>-73.909187000000003</v>
      </c>
      <c r="U93" t="s">
        <v>117</v>
      </c>
      <c r="V93" t="s">
        <v>71</v>
      </c>
      <c r="W93" t="s">
        <v>51</v>
      </c>
      <c r="AB93" s="4">
        <v>3</v>
      </c>
      <c r="AE93" s="4">
        <v>3</v>
      </c>
      <c r="AL93" s="4">
        <v>3</v>
      </c>
      <c r="AN93" s="4">
        <v>3</v>
      </c>
      <c r="AO93" s="4">
        <v>8</v>
      </c>
    </row>
    <row r="94" spans="1:41" hidden="1" x14ac:dyDescent="0.2">
      <c r="A94" t="s">
        <v>352</v>
      </c>
      <c r="B94" t="s">
        <v>353</v>
      </c>
      <c r="C94" s="2">
        <v>45618</v>
      </c>
      <c r="E94" s="3">
        <v>1015678</v>
      </c>
      <c r="F94" t="s">
        <v>358</v>
      </c>
      <c r="G94" t="s">
        <v>355</v>
      </c>
      <c r="H94" t="s">
        <v>45</v>
      </c>
      <c r="I94" s="3">
        <v>10463</v>
      </c>
      <c r="J94" s="3">
        <v>1022150569</v>
      </c>
      <c r="K94" s="3">
        <v>1000000</v>
      </c>
      <c r="L94" t="s">
        <v>114</v>
      </c>
      <c r="M94" s="4">
        <v>10</v>
      </c>
      <c r="N94" t="s">
        <v>356</v>
      </c>
      <c r="O94" t="s">
        <v>357</v>
      </c>
      <c r="P94" s="4">
        <v>40.876705000000001</v>
      </c>
      <c r="Q94" s="4">
        <v>-73.909429000000003</v>
      </c>
      <c r="R94" s="4">
        <v>40.876598000000001</v>
      </c>
      <c r="S94" s="4">
        <v>-73.909187000000003</v>
      </c>
      <c r="U94" t="s">
        <v>117</v>
      </c>
      <c r="V94" t="s">
        <v>71</v>
      </c>
      <c r="W94" t="s">
        <v>51</v>
      </c>
      <c r="AB94" s="4">
        <v>3</v>
      </c>
      <c r="AE94" s="4">
        <v>3</v>
      </c>
      <c r="AL94" s="4">
        <v>3</v>
      </c>
      <c r="AN94" s="4">
        <v>3</v>
      </c>
      <c r="AO94" s="4">
        <v>8</v>
      </c>
    </row>
    <row r="95" spans="1:41" hidden="1" x14ac:dyDescent="0.2">
      <c r="A95" t="s">
        <v>359</v>
      </c>
      <c r="B95" t="s">
        <v>360</v>
      </c>
      <c r="C95" s="2">
        <v>45604</v>
      </c>
      <c r="E95" s="3">
        <v>1002396</v>
      </c>
      <c r="F95" t="s">
        <v>361</v>
      </c>
      <c r="G95" t="s">
        <v>265</v>
      </c>
      <c r="H95" t="s">
        <v>45</v>
      </c>
      <c r="I95" s="3">
        <v>10035</v>
      </c>
      <c r="J95" s="3">
        <v>1017710001</v>
      </c>
      <c r="K95" s="3">
        <v>1000000</v>
      </c>
      <c r="L95" t="s">
        <v>153</v>
      </c>
      <c r="M95" s="4">
        <v>9</v>
      </c>
      <c r="N95" t="s">
        <v>154</v>
      </c>
      <c r="O95" t="s">
        <v>155</v>
      </c>
      <c r="P95" s="4">
        <v>40.803258</v>
      </c>
      <c r="Q95" s="4">
        <v>-73.940329000000006</v>
      </c>
      <c r="R95" s="4">
        <v>40.803100999999998</v>
      </c>
      <c r="S95" s="4">
        <v>-73.939997000000005</v>
      </c>
      <c r="U95" t="s">
        <v>117</v>
      </c>
      <c r="V95" t="s">
        <v>71</v>
      </c>
      <c r="W95" t="s">
        <v>51</v>
      </c>
      <c r="X95" s="4">
        <v>8</v>
      </c>
      <c r="Y95" s="4">
        <v>21</v>
      </c>
      <c r="Z95" s="4">
        <v>17</v>
      </c>
      <c r="AC95" s="4">
        <v>1</v>
      </c>
      <c r="AD95" s="4">
        <v>10</v>
      </c>
      <c r="AE95" s="4">
        <v>22</v>
      </c>
      <c r="AF95" s="4">
        <v>15</v>
      </c>
      <c r="AL95" s="4">
        <v>47</v>
      </c>
      <c r="AN95" s="4">
        <v>47</v>
      </c>
      <c r="AO95" s="4">
        <v>47</v>
      </c>
    </row>
    <row r="96" spans="1:41" hidden="1" x14ac:dyDescent="0.2">
      <c r="A96" t="s">
        <v>359</v>
      </c>
      <c r="B96" t="s">
        <v>360</v>
      </c>
      <c r="C96" s="2">
        <v>45604</v>
      </c>
      <c r="E96" s="3">
        <v>1008959</v>
      </c>
      <c r="F96" t="s">
        <v>362</v>
      </c>
      <c r="G96" t="s">
        <v>363</v>
      </c>
      <c r="H96" t="s">
        <v>45</v>
      </c>
      <c r="I96" s="3">
        <v>10035</v>
      </c>
      <c r="J96" s="3">
        <v>1018150006</v>
      </c>
      <c r="K96" s="3">
        <v>1000000</v>
      </c>
      <c r="L96" t="s">
        <v>153</v>
      </c>
      <c r="M96" s="4">
        <v>8</v>
      </c>
      <c r="N96" t="s">
        <v>364</v>
      </c>
      <c r="O96" t="s">
        <v>155</v>
      </c>
      <c r="P96" s="4">
        <v>40.796272999999999</v>
      </c>
      <c r="Q96" s="4">
        <v>-73.931978000000001</v>
      </c>
      <c r="R96" s="4">
        <v>40.796317000000002</v>
      </c>
      <c r="S96" s="4">
        <v>-73.931511999999998</v>
      </c>
      <c r="U96" t="s">
        <v>117</v>
      </c>
      <c r="V96" t="s">
        <v>71</v>
      </c>
      <c r="W96" t="s">
        <v>51</v>
      </c>
      <c r="X96" s="4">
        <v>2</v>
      </c>
      <c r="Y96" s="4">
        <v>8</v>
      </c>
      <c r="Z96" s="4">
        <v>8</v>
      </c>
      <c r="AD96" s="4">
        <v>5</v>
      </c>
      <c r="AE96" s="4">
        <v>6</v>
      </c>
      <c r="AF96" s="4">
        <v>4</v>
      </c>
      <c r="AG96" s="4">
        <v>3</v>
      </c>
      <c r="AL96" s="4">
        <v>18</v>
      </c>
      <c r="AN96" s="4">
        <v>18</v>
      </c>
      <c r="AO96" s="4">
        <v>18</v>
      </c>
    </row>
    <row r="97" spans="1:41" hidden="1" x14ac:dyDescent="0.2">
      <c r="A97" t="s">
        <v>359</v>
      </c>
      <c r="B97" t="s">
        <v>360</v>
      </c>
      <c r="C97" s="2">
        <v>45604</v>
      </c>
      <c r="E97" s="3">
        <v>1011929</v>
      </c>
      <c r="F97" t="s">
        <v>365</v>
      </c>
      <c r="G97" t="s">
        <v>289</v>
      </c>
      <c r="H97" t="s">
        <v>45</v>
      </c>
      <c r="I97" s="3">
        <v>10035</v>
      </c>
      <c r="J97" s="3">
        <v>1016880034</v>
      </c>
      <c r="K97" s="3">
        <v>1000000</v>
      </c>
      <c r="L97" t="s">
        <v>153</v>
      </c>
      <c r="M97" s="4">
        <v>8</v>
      </c>
      <c r="N97" t="s">
        <v>290</v>
      </c>
      <c r="O97" t="s">
        <v>155</v>
      </c>
      <c r="P97" s="4">
        <v>40.797165</v>
      </c>
      <c r="Q97" s="4">
        <v>-73.936080000000004</v>
      </c>
      <c r="R97" s="4">
        <v>40.796771999999997</v>
      </c>
      <c r="S97" s="4">
        <v>-73.935719000000006</v>
      </c>
      <c r="U97" t="s">
        <v>117</v>
      </c>
      <c r="V97" t="s">
        <v>71</v>
      </c>
      <c r="W97" t="s">
        <v>51</v>
      </c>
      <c r="X97" s="4">
        <v>1</v>
      </c>
      <c r="Y97" s="4">
        <v>4</v>
      </c>
      <c r="Z97" s="4">
        <v>2</v>
      </c>
      <c r="AD97" s="4">
        <v>1</v>
      </c>
      <c r="AE97" s="4">
        <v>4</v>
      </c>
      <c r="AG97" s="4">
        <v>2</v>
      </c>
      <c r="AL97" s="4">
        <v>7</v>
      </c>
      <c r="AN97" s="4">
        <v>7</v>
      </c>
      <c r="AO97" s="4">
        <v>7</v>
      </c>
    </row>
    <row r="98" spans="1:41" hidden="1" x14ac:dyDescent="0.2">
      <c r="A98" t="s">
        <v>359</v>
      </c>
      <c r="B98" t="s">
        <v>360</v>
      </c>
      <c r="C98" s="2">
        <v>45604</v>
      </c>
      <c r="E98" s="3">
        <v>1011930</v>
      </c>
      <c r="F98" t="s">
        <v>366</v>
      </c>
      <c r="G98" t="s">
        <v>367</v>
      </c>
      <c r="H98" t="s">
        <v>45</v>
      </c>
      <c r="I98" s="3">
        <v>10029</v>
      </c>
      <c r="J98" s="3">
        <v>1016740104</v>
      </c>
      <c r="K98" s="3">
        <v>1091726</v>
      </c>
      <c r="L98" t="s">
        <v>153</v>
      </c>
      <c r="M98" s="4">
        <v>8</v>
      </c>
      <c r="N98" t="s">
        <v>368</v>
      </c>
      <c r="O98" t="s">
        <v>267</v>
      </c>
      <c r="P98" s="4">
        <v>40.788015999999999</v>
      </c>
      <c r="Q98" s="4">
        <v>-73.944198999999998</v>
      </c>
      <c r="R98" s="4">
        <v>40.788043000000002</v>
      </c>
      <c r="S98" s="4">
        <v>-73.943759</v>
      </c>
      <c r="U98" t="s">
        <v>117</v>
      </c>
      <c r="V98" t="s">
        <v>71</v>
      </c>
      <c r="W98" t="s">
        <v>51</v>
      </c>
      <c r="X98" s="4">
        <v>1</v>
      </c>
      <c r="Y98" s="4">
        <v>4</v>
      </c>
      <c r="Z98" s="4">
        <v>1</v>
      </c>
      <c r="AD98" s="4">
        <v>4</v>
      </c>
      <c r="AF98" s="4">
        <v>2</v>
      </c>
      <c r="AL98" s="4">
        <v>6</v>
      </c>
      <c r="AN98" s="4">
        <v>6</v>
      </c>
      <c r="AO98" s="4">
        <v>6</v>
      </c>
    </row>
    <row r="99" spans="1:41" hidden="1" x14ac:dyDescent="0.2">
      <c r="A99" t="s">
        <v>369</v>
      </c>
      <c r="B99" t="s">
        <v>140</v>
      </c>
      <c r="C99" s="2">
        <v>45604</v>
      </c>
      <c r="F99" t="s">
        <v>141</v>
      </c>
      <c r="G99" t="s">
        <v>141</v>
      </c>
      <c r="H99" t="s">
        <v>45</v>
      </c>
      <c r="L99" t="s">
        <v>146</v>
      </c>
      <c r="M99" s="4">
        <v>9</v>
      </c>
      <c r="U99" t="s">
        <v>49</v>
      </c>
      <c r="V99" t="s">
        <v>71</v>
      </c>
      <c r="W99" t="s">
        <v>51</v>
      </c>
      <c r="Z99" s="4">
        <v>4</v>
      </c>
      <c r="AK99" s="4">
        <v>4</v>
      </c>
      <c r="AM99" s="4">
        <v>4</v>
      </c>
      <c r="AN99" s="4">
        <v>4</v>
      </c>
      <c r="AO99" s="4">
        <v>4</v>
      </c>
    </row>
    <row r="100" spans="1:41" hidden="1" x14ac:dyDescent="0.2">
      <c r="A100" t="s">
        <v>370</v>
      </c>
      <c r="B100" t="s">
        <v>140</v>
      </c>
      <c r="C100" s="2">
        <v>45604</v>
      </c>
      <c r="F100" t="s">
        <v>141</v>
      </c>
      <c r="G100" t="s">
        <v>141</v>
      </c>
      <c r="H100" t="s">
        <v>45</v>
      </c>
      <c r="L100" t="s">
        <v>146</v>
      </c>
      <c r="M100" s="4">
        <v>9</v>
      </c>
      <c r="U100" t="s">
        <v>49</v>
      </c>
      <c r="V100" t="s">
        <v>71</v>
      </c>
      <c r="W100" t="s">
        <v>51</v>
      </c>
      <c r="Z100" s="4">
        <v>4</v>
      </c>
      <c r="AK100" s="4">
        <v>4</v>
      </c>
      <c r="AM100" s="4">
        <v>4</v>
      </c>
      <c r="AN100" s="4">
        <v>4</v>
      </c>
      <c r="AO100" s="4">
        <v>4</v>
      </c>
    </row>
    <row r="101" spans="1:41" hidden="1" x14ac:dyDescent="0.2">
      <c r="A101" t="s">
        <v>371</v>
      </c>
      <c r="B101" t="s">
        <v>372</v>
      </c>
      <c r="C101" s="2">
        <v>45596</v>
      </c>
      <c r="E101" s="3">
        <v>20517</v>
      </c>
      <c r="F101" t="s">
        <v>62</v>
      </c>
      <c r="G101" t="s">
        <v>373</v>
      </c>
      <c r="H101" t="s">
        <v>45</v>
      </c>
      <c r="I101" s="3">
        <v>10035</v>
      </c>
      <c r="J101" s="3">
        <v>1017880043</v>
      </c>
      <c r="K101" s="3">
        <v>1054653</v>
      </c>
      <c r="L101" t="s">
        <v>153</v>
      </c>
      <c r="M101" s="4">
        <v>8</v>
      </c>
      <c r="N101" t="s">
        <v>374</v>
      </c>
      <c r="O101" t="s">
        <v>155</v>
      </c>
      <c r="P101" s="4">
        <v>40.802813</v>
      </c>
      <c r="Q101" s="4">
        <v>-73.935822000000002</v>
      </c>
      <c r="R101" s="4">
        <v>40.802509000000001</v>
      </c>
      <c r="S101" s="4">
        <v>-73.935676999999998</v>
      </c>
      <c r="U101" t="s">
        <v>49</v>
      </c>
      <c r="V101" t="s">
        <v>50</v>
      </c>
      <c r="W101" t="s">
        <v>51</v>
      </c>
      <c r="Y101" s="4">
        <v>7</v>
      </c>
      <c r="Z101" s="4">
        <v>7</v>
      </c>
      <c r="AC101" s="4">
        <v>1</v>
      </c>
      <c r="AE101" s="4">
        <v>10</v>
      </c>
      <c r="AF101" s="4">
        <v>5</v>
      </c>
      <c r="AL101" s="4">
        <v>15</v>
      </c>
      <c r="AN101" s="4">
        <v>15</v>
      </c>
      <c r="AO101" s="4">
        <v>15</v>
      </c>
    </row>
    <row r="102" spans="1:41" hidden="1" x14ac:dyDescent="0.2">
      <c r="A102" t="s">
        <v>375</v>
      </c>
      <c r="B102" t="s">
        <v>140</v>
      </c>
      <c r="C102" s="2">
        <v>45568</v>
      </c>
      <c r="D102" s="2">
        <v>45568</v>
      </c>
      <c r="F102" t="s">
        <v>141</v>
      </c>
      <c r="G102" t="s">
        <v>141</v>
      </c>
      <c r="H102" t="s">
        <v>45</v>
      </c>
      <c r="L102" t="s">
        <v>169</v>
      </c>
      <c r="M102" s="4">
        <v>7</v>
      </c>
      <c r="T102" s="2">
        <v>45568</v>
      </c>
      <c r="U102" t="s">
        <v>117</v>
      </c>
      <c r="V102" t="s">
        <v>71</v>
      </c>
      <c r="W102" t="s">
        <v>51</v>
      </c>
      <c r="Z102" s="4">
        <v>1</v>
      </c>
      <c r="AF102" s="4">
        <v>1</v>
      </c>
      <c r="AM102" s="4">
        <v>1</v>
      </c>
      <c r="AN102" s="4">
        <v>1</v>
      </c>
      <c r="AO102" s="4">
        <v>1</v>
      </c>
    </row>
    <row r="103" spans="1:41" hidden="1" x14ac:dyDescent="0.2">
      <c r="A103" t="s">
        <v>376</v>
      </c>
      <c r="B103" t="s">
        <v>377</v>
      </c>
      <c r="C103" s="2">
        <v>45567</v>
      </c>
      <c r="E103" s="3">
        <v>947950</v>
      </c>
      <c r="F103" t="s">
        <v>378</v>
      </c>
      <c r="G103" t="s">
        <v>175</v>
      </c>
      <c r="H103" t="s">
        <v>45</v>
      </c>
      <c r="I103" s="3">
        <v>10027</v>
      </c>
      <c r="J103" s="3">
        <v>1019540031</v>
      </c>
      <c r="K103" s="3">
        <v>1059382</v>
      </c>
      <c r="L103" t="s">
        <v>146</v>
      </c>
      <c r="M103" s="4">
        <v>9</v>
      </c>
      <c r="N103" t="s">
        <v>379</v>
      </c>
      <c r="O103" t="s">
        <v>177</v>
      </c>
      <c r="P103" s="4">
        <v>40.811636999999997</v>
      </c>
      <c r="Q103" s="4">
        <v>-73.950111000000007</v>
      </c>
      <c r="R103" s="4">
        <v>40.811807000000002</v>
      </c>
      <c r="S103" s="4">
        <v>-73.950345999999996</v>
      </c>
      <c r="U103" t="s">
        <v>117</v>
      </c>
      <c r="V103" t="s">
        <v>71</v>
      </c>
      <c r="W103" t="s">
        <v>51</v>
      </c>
      <c r="AB103" s="4">
        <v>9</v>
      </c>
      <c r="AD103" s="4">
        <v>9</v>
      </c>
      <c r="AL103" s="4">
        <v>9</v>
      </c>
      <c r="AN103" s="4">
        <v>9</v>
      </c>
      <c r="AO103" s="4">
        <v>30</v>
      </c>
    </row>
    <row r="104" spans="1:41" hidden="1" x14ac:dyDescent="0.2">
      <c r="A104" t="s">
        <v>380</v>
      </c>
      <c r="B104" t="s">
        <v>381</v>
      </c>
      <c r="C104" s="2">
        <v>45539</v>
      </c>
      <c r="E104" s="3">
        <v>3969</v>
      </c>
      <c r="F104" t="s">
        <v>382</v>
      </c>
      <c r="G104" t="s">
        <v>175</v>
      </c>
      <c r="H104" t="s">
        <v>45</v>
      </c>
      <c r="I104" s="3">
        <v>10026</v>
      </c>
      <c r="J104" s="3">
        <v>1019440029</v>
      </c>
      <c r="K104" s="3">
        <v>1000000</v>
      </c>
      <c r="L104" t="s">
        <v>146</v>
      </c>
      <c r="M104" s="4">
        <v>9</v>
      </c>
      <c r="N104" t="s">
        <v>298</v>
      </c>
      <c r="O104" t="s">
        <v>148</v>
      </c>
      <c r="P104" s="4">
        <v>40.805197</v>
      </c>
      <c r="Q104" s="4">
        <v>-73.954815999999994</v>
      </c>
      <c r="R104" s="4">
        <v>40.805326000000001</v>
      </c>
      <c r="S104" s="4">
        <v>-73.955118999999996</v>
      </c>
      <c r="U104" t="s">
        <v>117</v>
      </c>
      <c r="V104" t="s">
        <v>71</v>
      </c>
      <c r="W104" t="s">
        <v>51</v>
      </c>
      <c r="AB104" s="4">
        <v>5</v>
      </c>
      <c r="AE104" s="4">
        <v>2</v>
      </c>
      <c r="AF104" s="4">
        <v>3</v>
      </c>
      <c r="AL104" s="4">
        <v>5</v>
      </c>
      <c r="AN104" s="4">
        <v>5</v>
      </c>
      <c r="AO104" s="4">
        <v>14</v>
      </c>
    </row>
    <row r="105" spans="1:41" hidden="1" x14ac:dyDescent="0.2">
      <c r="A105" t="s">
        <v>383</v>
      </c>
      <c r="B105" t="s">
        <v>384</v>
      </c>
      <c r="C105" s="2">
        <v>45533</v>
      </c>
      <c r="D105" s="2">
        <v>45533</v>
      </c>
      <c r="E105" s="3">
        <v>1122</v>
      </c>
      <c r="F105" t="s">
        <v>385</v>
      </c>
      <c r="G105" t="s">
        <v>106</v>
      </c>
      <c r="H105" t="s">
        <v>45</v>
      </c>
      <c r="I105" s="3">
        <v>10029</v>
      </c>
      <c r="J105" s="3">
        <v>1016720001</v>
      </c>
      <c r="K105" s="3">
        <v>1052651</v>
      </c>
      <c r="L105" t="s">
        <v>153</v>
      </c>
      <c r="M105" s="4">
        <v>8</v>
      </c>
      <c r="N105" t="s">
        <v>368</v>
      </c>
      <c r="O105" t="s">
        <v>267</v>
      </c>
      <c r="P105" s="4">
        <v>40.787104999999997</v>
      </c>
      <c r="Q105" s="4">
        <v>-73.945002000000002</v>
      </c>
      <c r="R105" s="4">
        <v>40.786994999999997</v>
      </c>
      <c r="S105" s="4">
        <v>-73.944670000000002</v>
      </c>
      <c r="T105" s="2">
        <v>45533</v>
      </c>
      <c r="U105" t="s">
        <v>49</v>
      </c>
      <c r="V105" t="s">
        <v>50</v>
      </c>
      <c r="W105" t="s">
        <v>51</v>
      </c>
      <c r="X105" s="4">
        <v>66</v>
      </c>
      <c r="Y105" s="4">
        <v>14</v>
      </c>
      <c r="Z105" s="4">
        <v>7</v>
      </c>
      <c r="AB105" s="4">
        <v>3</v>
      </c>
      <c r="AC105" s="4">
        <v>1</v>
      </c>
      <c r="AE105" s="4">
        <v>16</v>
      </c>
      <c r="AF105" s="4">
        <v>63</v>
      </c>
      <c r="AG105" s="4">
        <v>12</v>
      </c>
      <c r="AL105" s="4">
        <v>91</v>
      </c>
      <c r="AN105" s="4">
        <v>91</v>
      </c>
      <c r="AO105" s="4">
        <v>91</v>
      </c>
    </row>
    <row r="106" spans="1:41" hidden="1" x14ac:dyDescent="0.2">
      <c r="A106" t="s">
        <v>386</v>
      </c>
      <c r="B106" t="s">
        <v>387</v>
      </c>
      <c r="C106" s="2">
        <v>45520</v>
      </c>
      <c r="E106" s="3">
        <v>1001045</v>
      </c>
      <c r="F106" t="s">
        <v>388</v>
      </c>
      <c r="G106" t="s">
        <v>389</v>
      </c>
      <c r="H106" t="s">
        <v>45</v>
      </c>
      <c r="I106" s="3">
        <v>10034</v>
      </c>
      <c r="J106" s="3">
        <v>1022430255</v>
      </c>
      <c r="K106" s="3">
        <v>1090922</v>
      </c>
      <c r="L106" t="s">
        <v>114</v>
      </c>
      <c r="M106" s="4">
        <v>10</v>
      </c>
      <c r="N106" t="s">
        <v>390</v>
      </c>
      <c r="O106" t="s">
        <v>391</v>
      </c>
      <c r="P106" s="4">
        <v>40.870136000000002</v>
      </c>
      <c r="Q106" s="4">
        <v>-73.915515999999997</v>
      </c>
      <c r="R106" s="4">
        <v>40.870252000000001</v>
      </c>
      <c r="S106" s="4">
        <v>-73.915848999999994</v>
      </c>
      <c r="U106" t="s">
        <v>117</v>
      </c>
      <c r="V106" t="s">
        <v>71</v>
      </c>
      <c r="W106" t="s">
        <v>51</v>
      </c>
      <c r="Y106" s="4">
        <v>6</v>
      </c>
      <c r="Z106" s="4">
        <v>6</v>
      </c>
      <c r="AA106" s="4">
        <v>3</v>
      </c>
      <c r="AE106" s="4">
        <v>12</v>
      </c>
      <c r="AF106" s="4">
        <v>3</v>
      </c>
      <c r="AL106" s="4">
        <v>15</v>
      </c>
      <c r="AN106" s="4">
        <v>15</v>
      </c>
      <c r="AO106" s="4">
        <v>60</v>
      </c>
    </row>
    <row r="107" spans="1:41" hidden="1" x14ac:dyDescent="0.2">
      <c r="A107" t="s">
        <v>392</v>
      </c>
      <c r="B107" t="s">
        <v>140</v>
      </c>
      <c r="C107" s="2">
        <v>45518</v>
      </c>
      <c r="D107" s="2">
        <v>45518</v>
      </c>
      <c r="F107" t="s">
        <v>141</v>
      </c>
      <c r="G107" t="s">
        <v>141</v>
      </c>
      <c r="H107" t="s">
        <v>45</v>
      </c>
      <c r="L107" t="s">
        <v>146</v>
      </c>
      <c r="M107" s="4">
        <v>9</v>
      </c>
      <c r="T107" s="2">
        <v>45518</v>
      </c>
      <c r="U107" t="s">
        <v>117</v>
      </c>
      <c r="V107" t="s">
        <v>71</v>
      </c>
      <c r="W107" t="s">
        <v>51</v>
      </c>
      <c r="Z107" s="4">
        <v>1</v>
      </c>
      <c r="AE107" s="4">
        <v>1</v>
      </c>
      <c r="AM107" s="4">
        <v>1</v>
      </c>
      <c r="AN107" s="4">
        <v>1</v>
      </c>
      <c r="AO107" s="4">
        <v>1</v>
      </c>
    </row>
    <row r="108" spans="1:41" hidden="1" x14ac:dyDescent="0.2">
      <c r="A108" t="s">
        <v>393</v>
      </c>
      <c r="B108" t="s">
        <v>394</v>
      </c>
      <c r="C108" s="2">
        <v>45516</v>
      </c>
      <c r="E108" s="3">
        <v>43142</v>
      </c>
      <c r="F108" t="s">
        <v>395</v>
      </c>
      <c r="G108" t="s">
        <v>396</v>
      </c>
      <c r="H108" t="s">
        <v>45</v>
      </c>
      <c r="I108" s="3">
        <v>10032</v>
      </c>
      <c r="J108" s="3">
        <v>1021270026</v>
      </c>
      <c r="K108" s="3">
        <v>1089165</v>
      </c>
      <c r="L108" t="s">
        <v>114</v>
      </c>
      <c r="M108" s="4">
        <v>10</v>
      </c>
      <c r="N108" t="s">
        <v>397</v>
      </c>
      <c r="O108" t="s">
        <v>134</v>
      </c>
      <c r="P108" s="4">
        <v>40.841909999999999</v>
      </c>
      <c r="Q108" s="4">
        <v>-73.938021000000006</v>
      </c>
      <c r="R108" s="4">
        <v>40.842210000000001</v>
      </c>
      <c r="S108" s="4">
        <v>-73.938100000000006</v>
      </c>
      <c r="U108" t="s">
        <v>117</v>
      </c>
      <c r="V108" t="s">
        <v>71</v>
      </c>
      <c r="W108" t="s">
        <v>51</v>
      </c>
      <c r="AB108" s="4">
        <v>8</v>
      </c>
      <c r="AE108" s="4">
        <v>4</v>
      </c>
      <c r="AF108" s="4">
        <v>4</v>
      </c>
      <c r="AL108" s="4">
        <v>8</v>
      </c>
      <c r="AN108" s="4">
        <v>8</v>
      </c>
      <c r="AO108" s="4">
        <v>26</v>
      </c>
    </row>
    <row r="109" spans="1:41" hidden="1" x14ac:dyDescent="0.2">
      <c r="A109" t="s">
        <v>398</v>
      </c>
      <c r="B109" t="s">
        <v>399</v>
      </c>
      <c r="C109" s="2">
        <v>45471</v>
      </c>
      <c r="E109" s="3">
        <v>32921</v>
      </c>
      <c r="F109" t="s">
        <v>81</v>
      </c>
      <c r="G109" t="s">
        <v>400</v>
      </c>
      <c r="H109" t="s">
        <v>45</v>
      </c>
      <c r="I109" s="3">
        <v>10036</v>
      </c>
      <c r="J109" s="3">
        <v>1010330006</v>
      </c>
      <c r="K109" s="3">
        <v>1024937</v>
      </c>
      <c r="L109" t="s">
        <v>78</v>
      </c>
      <c r="M109" s="4">
        <v>3</v>
      </c>
      <c r="N109" t="s">
        <v>79</v>
      </c>
      <c r="O109" t="s">
        <v>80</v>
      </c>
      <c r="P109" s="4">
        <v>40.757848000000003</v>
      </c>
      <c r="Q109" s="4">
        <v>-73.991229000000004</v>
      </c>
      <c r="R109" s="4">
        <v>40.758391000000003</v>
      </c>
      <c r="S109" s="4">
        <v>-73.991805999999997</v>
      </c>
      <c r="U109" t="s">
        <v>49</v>
      </c>
      <c r="V109" t="s">
        <v>71</v>
      </c>
      <c r="W109" t="s">
        <v>51</v>
      </c>
      <c r="X109" s="4">
        <v>50</v>
      </c>
      <c r="Y109" s="4">
        <v>34</v>
      </c>
      <c r="Z109" s="4">
        <v>165</v>
      </c>
      <c r="AA109" s="4">
        <v>7</v>
      </c>
      <c r="AB109" s="4">
        <v>49</v>
      </c>
      <c r="AC109" s="4">
        <v>2</v>
      </c>
      <c r="AD109" s="4">
        <v>307</v>
      </c>
      <c r="AL109" s="4">
        <v>307</v>
      </c>
      <c r="AN109" s="4">
        <v>307</v>
      </c>
      <c r="AO109" s="4">
        <v>307</v>
      </c>
    </row>
    <row r="110" spans="1:41" hidden="1" x14ac:dyDescent="0.2">
      <c r="A110" t="s">
        <v>401</v>
      </c>
      <c r="B110" t="s">
        <v>402</v>
      </c>
      <c r="C110" s="2">
        <v>45471</v>
      </c>
      <c r="E110" s="3">
        <v>1004965</v>
      </c>
      <c r="F110" t="s">
        <v>403</v>
      </c>
      <c r="G110" t="s">
        <v>404</v>
      </c>
      <c r="H110" t="s">
        <v>45</v>
      </c>
      <c r="I110" s="3">
        <v>10014</v>
      </c>
      <c r="J110" s="3">
        <v>1005967502</v>
      </c>
      <c r="K110" s="3">
        <v>1000000</v>
      </c>
      <c r="L110" t="s">
        <v>161</v>
      </c>
      <c r="M110" s="4">
        <v>3</v>
      </c>
      <c r="N110" t="s">
        <v>405</v>
      </c>
      <c r="O110" t="s">
        <v>163</v>
      </c>
      <c r="P110" s="4">
        <v>40.729211999999997</v>
      </c>
      <c r="Q110" s="4">
        <v>-74.009315999999998</v>
      </c>
      <c r="R110" s="4">
        <v>40.728534000000003</v>
      </c>
      <c r="S110" s="4">
        <v>-74.009990999999999</v>
      </c>
      <c r="U110" t="s">
        <v>117</v>
      </c>
      <c r="V110" t="s">
        <v>71</v>
      </c>
      <c r="W110" t="s">
        <v>123</v>
      </c>
      <c r="X110" s="4">
        <v>175</v>
      </c>
      <c r="AC110" s="4">
        <v>1</v>
      </c>
      <c r="AD110" s="4">
        <v>82</v>
      </c>
      <c r="AE110" s="4">
        <v>57</v>
      </c>
      <c r="AF110" s="4">
        <v>37</v>
      </c>
      <c r="AL110" s="4">
        <v>176</v>
      </c>
      <c r="AN110" s="4">
        <v>176</v>
      </c>
      <c r="AO110" s="4">
        <v>176</v>
      </c>
    </row>
    <row r="111" spans="1:41" hidden="1" x14ac:dyDescent="0.2">
      <c r="A111" t="s">
        <v>406</v>
      </c>
      <c r="B111" t="s">
        <v>407</v>
      </c>
      <c r="C111" s="2">
        <v>45470</v>
      </c>
      <c r="E111" s="3">
        <v>5564</v>
      </c>
      <c r="F111" t="s">
        <v>408</v>
      </c>
      <c r="G111" t="s">
        <v>87</v>
      </c>
      <c r="H111" t="s">
        <v>45</v>
      </c>
      <c r="I111" s="3">
        <v>10027</v>
      </c>
      <c r="J111" s="3">
        <v>1019700072</v>
      </c>
      <c r="K111" s="3">
        <v>1059642</v>
      </c>
      <c r="L111" t="s">
        <v>169</v>
      </c>
      <c r="M111" s="4">
        <v>7</v>
      </c>
      <c r="N111" t="s">
        <v>187</v>
      </c>
      <c r="O111" t="s">
        <v>171</v>
      </c>
      <c r="P111" s="4">
        <v>40.816889000000003</v>
      </c>
      <c r="Q111" s="4">
        <v>-73.953691000000006</v>
      </c>
      <c r="R111" s="4">
        <v>40.81671</v>
      </c>
      <c r="S111" s="4">
        <v>-73.953430999999995</v>
      </c>
      <c r="U111" t="s">
        <v>49</v>
      </c>
      <c r="V111" t="s">
        <v>71</v>
      </c>
      <c r="W111" t="s">
        <v>51</v>
      </c>
      <c r="Y111" s="4">
        <v>2</v>
      </c>
      <c r="Z111" s="4">
        <v>6</v>
      </c>
      <c r="AC111" s="4">
        <v>1</v>
      </c>
      <c r="AF111" s="4">
        <v>5</v>
      </c>
      <c r="AG111" s="4">
        <v>4</v>
      </c>
      <c r="AL111" s="4">
        <v>9</v>
      </c>
      <c r="AN111" s="4">
        <v>9</v>
      </c>
      <c r="AO111" s="4">
        <v>9</v>
      </c>
    </row>
    <row r="112" spans="1:41" hidden="1" x14ac:dyDescent="0.2">
      <c r="A112" t="s">
        <v>406</v>
      </c>
      <c r="B112" t="s">
        <v>407</v>
      </c>
      <c r="C112" s="2">
        <v>45470</v>
      </c>
      <c r="E112" s="3">
        <v>5565</v>
      </c>
      <c r="F112" t="s">
        <v>409</v>
      </c>
      <c r="G112" t="s">
        <v>87</v>
      </c>
      <c r="H112" t="s">
        <v>45</v>
      </c>
      <c r="I112" s="3">
        <v>10027</v>
      </c>
      <c r="J112" s="3">
        <v>1019700071</v>
      </c>
      <c r="K112" s="3">
        <v>1059641</v>
      </c>
      <c r="L112" t="s">
        <v>169</v>
      </c>
      <c r="M112" s="4">
        <v>7</v>
      </c>
      <c r="N112" t="s">
        <v>187</v>
      </c>
      <c r="O112" t="s">
        <v>171</v>
      </c>
      <c r="P112" s="4">
        <v>40.816938</v>
      </c>
      <c r="Q112" s="4">
        <v>-73.953654999999998</v>
      </c>
      <c r="R112" s="4">
        <v>40.816771000000003</v>
      </c>
      <c r="S112" s="4">
        <v>-73.953384</v>
      </c>
      <c r="U112" t="s">
        <v>49</v>
      </c>
      <c r="V112" t="s">
        <v>71</v>
      </c>
      <c r="W112" t="s">
        <v>51</v>
      </c>
      <c r="Y112" s="4">
        <v>7</v>
      </c>
      <c r="Z112" s="4">
        <v>2</v>
      </c>
      <c r="AF112" s="4">
        <v>5</v>
      </c>
      <c r="AG112" s="4">
        <v>4</v>
      </c>
      <c r="AL112" s="4">
        <v>9</v>
      </c>
      <c r="AN112" s="4">
        <v>9</v>
      </c>
      <c r="AO112" s="4">
        <v>9</v>
      </c>
    </row>
    <row r="113" spans="1:41" hidden="1" x14ac:dyDescent="0.2">
      <c r="A113" t="s">
        <v>406</v>
      </c>
      <c r="B113" t="s">
        <v>407</v>
      </c>
      <c r="C113" s="2">
        <v>45470</v>
      </c>
      <c r="E113" s="3">
        <v>5566</v>
      </c>
      <c r="F113" t="s">
        <v>410</v>
      </c>
      <c r="G113" t="s">
        <v>87</v>
      </c>
      <c r="H113" t="s">
        <v>45</v>
      </c>
      <c r="I113" s="3">
        <v>10027</v>
      </c>
      <c r="J113" s="3">
        <v>1019700070</v>
      </c>
      <c r="K113" s="3">
        <v>1059640</v>
      </c>
      <c r="L113" t="s">
        <v>169</v>
      </c>
      <c r="M113" s="4">
        <v>7</v>
      </c>
      <c r="N113" t="s">
        <v>187</v>
      </c>
      <c r="O113" t="s">
        <v>171</v>
      </c>
      <c r="P113" s="4">
        <v>40.816988000000002</v>
      </c>
      <c r="Q113" s="4">
        <v>-73.953619000000003</v>
      </c>
      <c r="R113" s="4">
        <v>40.816831000000001</v>
      </c>
      <c r="S113" s="4">
        <v>-73.953340999999995</v>
      </c>
      <c r="U113" t="s">
        <v>49</v>
      </c>
      <c r="V113" t="s">
        <v>71</v>
      </c>
      <c r="W113" t="s">
        <v>51</v>
      </c>
      <c r="X113" s="4">
        <v>1</v>
      </c>
      <c r="Y113" s="4">
        <v>6</v>
      </c>
      <c r="Z113" s="4">
        <v>2</v>
      </c>
      <c r="AF113" s="4">
        <v>5</v>
      </c>
      <c r="AG113" s="4">
        <v>4</v>
      </c>
      <c r="AL113" s="4">
        <v>9</v>
      </c>
      <c r="AN113" s="4">
        <v>9</v>
      </c>
      <c r="AO113" s="4">
        <v>9</v>
      </c>
    </row>
    <row r="114" spans="1:41" hidden="1" x14ac:dyDescent="0.2">
      <c r="A114" t="s">
        <v>406</v>
      </c>
      <c r="B114" t="s">
        <v>407</v>
      </c>
      <c r="C114" s="2">
        <v>45470</v>
      </c>
      <c r="E114" s="3">
        <v>5589</v>
      </c>
      <c r="F114" t="s">
        <v>411</v>
      </c>
      <c r="G114" t="s">
        <v>87</v>
      </c>
      <c r="H114" t="s">
        <v>45</v>
      </c>
      <c r="I114" s="3">
        <v>10031</v>
      </c>
      <c r="J114" s="3">
        <v>1019880105</v>
      </c>
      <c r="K114" s="3">
        <v>1059796</v>
      </c>
      <c r="L114" t="s">
        <v>169</v>
      </c>
      <c r="M114" s="4">
        <v>7</v>
      </c>
      <c r="N114" t="s">
        <v>412</v>
      </c>
      <c r="O114" t="s">
        <v>171</v>
      </c>
      <c r="P114" s="4">
        <v>40.819144000000001</v>
      </c>
      <c r="Q114" s="4">
        <v>-73.952071000000004</v>
      </c>
      <c r="R114" s="4">
        <v>40.819298000000003</v>
      </c>
      <c r="S114" s="4">
        <v>-73.952359999999999</v>
      </c>
      <c r="U114" t="s">
        <v>49</v>
      </c>
      <c r="V114" t="s">
        <v>71</v>
      </c>
      <c r="W114" t="s">
        <v>51</v>
      </c>
      <c r="X114" s="4">
        <v>1</v>
      </c>
      <c r="Y114" s="4">
        <v>11</v>
      </c>
      <c r="Z114" s="4">
        <v>4</v>
      </c>
      <c r="AE114" s="4">
        <v>5</v>
      </c>
      <c r="AF114" s="4">
        <v>11</v>
      </c>
      <c r="AL114" s="4">
        <v>16</v>
      </c>
      <c r="AN114" s="4">
        <v>16</v>
      </c>
      <c r="AO114" s="4">
        <v>16</v>
      </c>
    </row>
    <row r="115" spans="1:41" hidden="1" x14ac:dyDescent="0.2">
      <c r="A115" t="s">
        <v>406</v>
      </c>
      <c r="B115" t="s">
        <v>407</v>
      </c>
      <c r="C115" s="2">
        <v>45470</v>
      </c>
      <c r="E115" s="3">
        <v>5590</v>
      </c>
      <c r="F115" t="s">
        <v>413</v>
      </c>
      <c r="G115" t="s">
        <v>87</v>
      </c>
      <c r="H115" t="s">
        <v>45</v>
      </c>
      <c r="I115" s="3">
        <v>10031</v>
      </c>
      <c r="J115" s="3">
        <v>1019880106</v>
      </c>
      <c r="K115" s="3">
        <v>1059797</v>
      </c>
      <c r="L115" t="s">
        <v>169</v>
      </c>
      <c r="M115" s="4">
        <v>7</v>
      </c>
      <c r="N115" t="s">
        <v>412</v>
      </c>
      <c r="O115" t="s">
        <v>171</v>
      </c>
      <c r="P115" s="4">
        <v>40.819240000000001</v>
      </c>
      <c r="Q115" s="4">
        <v>-73.952001999999993</v>
      </c>
      <c r="R115" s="4">
        <v>40.819394000000003</v>
      </c>
      <c r="S115" s="4">
        <v>-73.952287999999996</v>
      </c>
      <c r="U115" t="s">
        <v>49</v>
      </c>
      <c r="V115" t="s">
        <v>71</v>
      </c>
      <c r="W115" t="s">
        <v>51</v>
      </c>
      <c r="X115" s="4">
        <v>4</v>
      </c>
      <c r="Y115" s="4">
        <v>10</v>
      </c>
      <c r="Z115" s="4">
        <v>2</v>
      </c>
      <c r="AE115" s="4">
        <v>5</v>
      </c>
      <c r="AF115" s="4">
        <v>11</v>
      </c>
      <c r="AL115" s="4">
        <v>16</v>
      </c>
      <c r="AN115" s="4">
        <v>16</v>
      </c>
      <c r="AO115" s="4">
        <v>16</v>
      </c>
    </row>
    <row r="116" spans="1:41" hidden="1" x14ac:dyDescent="0.2">
      <c r="A116" t="s">
        <v>406</v>
      </c>
      <c r="B116" t="s">
        <v>407</v>
      </c>
      <c r="C116" s="2">
        <v>45470</v>
      </c>
      <c r="E116" s="3">
        <v>5611</v>
      </c>
      <c r="F116" t="s">
        <v>414</v>
      </c>
      <c r="G116" t="s">
        <v>87</v>
      </c>
      <c r="H116" t="s">
        <v>45</v>
      </c>
      <c r="I116" s="3">
        <v>10031</v>
      </c>
      <c r="J116" s="3">
        <v>1020730033</v>
      </c>
      <c r="K116" s="3">
        <v>1061797</v>
      </c>
      <c r="L116" t="s">
        <v>169</v>
      </c>
      <c r="M116" s="4">
        <v>7</v>
      </c>
      <c r="N116" t="s">
        <v>231</v>
      </c>
      <c r="O116" t="s">
        <v>232</v>
      </c>
      <c r="P116" s="4">
        <v>40.823037999999997</v>
      </c>
      <c r="Q116" s="4">
        <v>-73.949220999999994</v>
      </c>
      <c r="R116" s="4">
        <v>40.823160999999999</v>
      </c>
      <c r="S116" s="4">
        <v>-73.949528000000001</v>
      </c>
      <c r="U116" t="s">
        <v>49</v>
      </c>
      <c r="V116" t="s">
        <v>71</v>
      </c>
      <c r="W116" t="s">
        <v>51</v>
      </c>
      <c r="Y116" s="4">
        <v>6</v>
      </c>
      <c r="Z116" s="4">
        <v>2</v>
      </c>
      <c r="AF116" s="4">
        <v>4</v>
      </c>
      <c r="AG116" s="4">
        <v>4</v>
      </c>
      <c r="AL116" s="4">
        <v>8</v>
      </c>
      <c r="AN116" s="4">
        <v>8</v>
      </c>
      <c r="AO116" s="4">
        <v>8</v>
      </c>
    </row>
    <row r="117" spans="1:41" hidden="1" x14ac:dyDescent="0.2">
      <c r="A117" t="s">
        <v>406</v>
      </c>
      <c r="B117" t="s">
        <v>407</v>
      </c>
      <c r="C117" s="2">
        <v>45470</v>
      </c>
      <c r="E117" s="3">
        <v>5613</v>
      </c>
      <c r="F117" t="s">
        <v>415</v>
      </c>
      <c r="G117" t="s">
        <v>87</v>
      </c>
      <c r="H117" t="s">
        <v>45</v>
      </c>
      <c r="I117" s="3">
        <v>10031</v>
      </c>
      <c r="J117" s="3">
        <v>1020730035</v>
      </c>
      <c r="K117" s="3">
        <v>1061799</v>
      </c>
      <c r="L117" t="s">
        <v>169</v>
      </c>
      <c r="M117" s="4">
        <v>7</v>
      </c>
      <c r="N117" t="s">
        <v>231</v>
      </c>
      <c r="O117" t="s">
        <v>232</v>
      </c>
      <c r="P117" s="4">
        <v>40.823163999999998</v>
      </c>
      <c r="Q117" s="4">
        <v>-73.949130999999994</v>
      </c>
      <c r="R117" s="4">
        <v>40.823284999999998</v>
      </c>
      <c r="S117" s="4">
        <v>-73.949438000000001</v>
      </c>
      <c r="U117" t="s">
        <v>49</v>
      </c>
      <c r="V117" t="s">
        <v>71</v>
      </c>
      <c r="W117" t="s">
        <v>51</v>
      </c>
      <c r="X117" s="4">
        <v>1</v>
      </c>
      <c r="Y117" s="4">
        <v>4</v>
      </c>
      <c r="Z117" s="4">
        <v>3</v>
      </c>
      <c r="AF117" s="4">
        <v>4</v>
      </c>
      <c r="AG117" s="4">
        <v>4</v>
      </c>
      <c r="AL117" s="4">
        <v>8</v>
      </c>
      <c r="AN117" s="4">
        <v>8</v>
      </c>
      <c r="AO117" s="4">
        <v>8</v>
      </c>
    </row>
    <row r="118" spans="1:41" hidden="1" x14ac:dyDescent="0.2">
      <c r="A118" t="s">
        <v>406</v>
      </c>
      <c r="B118" t="s">
        <v>407</v>
      </c>
      <c r="C118" s="2">
        <v>45470</v>
      </c>
      <c r="E118" s="3">
        <v>5614</v>
      </c>
      <c r="F118" t="s">
        <v>416</v>
      </c>
      <c r="G118" t="s">
        <v>417</v>
      </c>
      <c r="H118" t="s">
        <v>45</v>
      </c>
      <c r="I118" s="3">
        <v>10031</v>
      </c>
      <c r="J118" s="3">
        <v>1020730036</v>
      </c>
      <c r="K118" s="3">
        <v>1061800</v>
      </c>
      <c r="L118" t="s">
        <v>169</v>
      </c>
      <c r="M118" s="4">
        <v>7</v>
      </c>
      <c r="N118" t="s">
        <v>231</v>
      </c>
      <c r="O118" t="s">
        <v>232</v>
      </c>
      <c r="P118" s="4">
        <v>40.823351000000002</v>
      </c>
      <c r="Q118" s="4">
        <v>-73.949116000000004</v>
      </c>
      <c r="R118" s="4">
        <v>40.823337000000002</v>
      </c>
      <c r="S118" s="4">
        <v>-73.949365999999998</v>
      </c>
      <c r="U118" t="s">
        <v>49</v>
      </c>
      <c r="V118" t="s">
        <v>71</v>
      </c>
      <c r="W118" t="s">
        <v>51</v>
      </c>
      <c r="Y118" s="4">
        <v>5</v>
      </c>
      <c r="Z118" s="4">
        <v>2</v>
      </c>
      <c r="AC118" s="4">
        <v>1</v>
      </c>
      <c r="AF118" s="4">
        <v>8</v>
      </c>
      <c r="AL118" s="4">
        <v>8</v>
      </c>
      <c r="AN118" s="4">
        <v>8</v>
      </c>
      <c r="AO118" s="4">
        <v>8</v>
      </c>
    </row>
    <row r="119" spans="1:41" hidden="1" x14ac:dyDescent="0.2">
      <c r="A119" t="s">
        <v>406</v>
      </c>
      <c r="B119" t="s">
        <v>407</v>
      </c>
      <c r="C119" s="2">
        <v>45470</v>
      </c>
      <c r="E119" s="3">
        <v>5618</v>
      </c>
      <c r="F119" t="s">
        <v>418</v>
      </c>
      <c r="G119" t="s">
        <v>419</v>
      </c>
      <c r="H119" t="s">
        <v>45</v>
      </c>
      <c r="I119" s="3">
        <v>10031</v>
      </c>
      <c r="J119" s="3">
        <v>1020580058</v>
      </c>
      <c r="K119" s="3">
        <v>1061258</v>
      </c>
      <c r="L119" t="s">
        <v>169</v>
      </c>
      <c r="M119" s="4">
        <v>7</v>
      </c>
      <c r="N119" t="s">
        <v>420</v>
      </c>
      <c r="O119" t="s">
        <v>232</v>
      </c>
      <c r="P119" s="4">
        <v>40.823816999999998</v>
      </c>
      <c r="Q119" s="4">
        <v>-73.948280999999994</v>
      </c>
      <c r="R119" s="4">
        <v>40.823666000000003</v>
      </c>
      <c r="S119" s="4">
        <v>-73.948498000000001</v>
      </c>
      <c r="U119" t="s">
        <v>49</v>
      </c>
      <c r="V119" t="s">
        <v>71</v>
      </c>
      <c r="W119" t="s">
        <v>51</v>
      </c>
      <c r="X119" s="4">
        <v>1</v>
      </c>
      <c r="Y119" s="4">
        <v>6</v>
      </c>
      <c r="Z119" s="4">
        <v>5</v>
      </c>
      <c r="AE119" s="4">
        <v>4</v>
      </c>
      <c r="AF119" s="4">
        <v>4</v>
      </c>
      <c r="AG119" s="4">
        <v>4</v>
      </c>
      <c r="AL119" s="4">
        <v>12</v>
      </c>
      <c r="AN119" s="4">
        <v>12</v>
      </c>
      <c r="AO119" s="4">
        <v>12</v>
      </c>
    </row>
    <row r="120" spans="1:41" hidden="1" x14ac:dyDescent="0.2">
      <c r="A120" t="s">
        <v>406</v>
      </c>
      <c r="B120" t="s">
        <v>407</v>
      </c>
      <c r="C120" s="2">
        <v>45470</v>
      </c>
      <c r="E120" s="3">
        <v>23657</v>
      </c>
      <c r="F120" t="s">
        <v>421</v>
      </c>
      <c r="G120" t="s">
        <v>274</v>
      </c>
      <c r="H120" t="s">
        <v>45</v>
      </c>
      <c r="I120" s="3">
        <v>10037</v>
      </c>
      <c r="J120" s="3">
        <v>1020100030</v>
      </c>
      <c r="K120" s="3">
        <v>1060091</v>
      </c>
      <c r="L120" t="s">
        <v>146</v>
      </c>
      <c r="M120" s="4">
        <v>9</v>
      </c>
      <c r="N120" t="s">
        <v>222</v>
      </c>
      <c r="O120" t="s">
        <v>177</v>
      </c>
      <c r="P120" s="4">
        <v>40.818089000000001</v>
      </c>
      <c r="Q120" s="4">
        <v>-73.937963999999994</v>
      </c>
      <c r="R120" s="4">
        <v>40.818269999999998</v>
      </c>
      <c r="S120" s="4">
        <v>-73.938310000000001</v>
      </c>
      <c r="U120" t="s">
        <v>49</v>
      </c>
      <c r="V120" t="s">
        <v>71</v>
      </c>
      <c r="W120" t="s">
        <v>51</v>
      </c>
      <c r="X120" s="4">
        <v>8</v>
      </c>
      <c r="Y120" s="4">
        <v>3</v>
      </c>
      <c r="AA120" s="4">
        <v>3</v>
      </c>
      <c r="AD120" s="4">
        <v>1</v>
      </c>
      <c r="AF120" s="4">
        <v>12</v>
      </c>
      <c r="AG120" s="4">
        <v>1</v>
      </c>
      <c r="AL120" s="4">
        <v>14</v>
      </c>
      <c r="AN120" s="4">
        <v>14</v>
      </c>
      <c r="AO120" s="4">
        <v>14</v>
      </c>
    </row>
    <row r="121" spans="1:41" hidden="1" x14ac:dyDescent="0.2">
      <c r="A121" t="s">
        <v>406</v>
      </c>
      <c r="B121" t="s">
        <v>407</v>
      </c>
      <c r="C121" s="2">
        <v>45470</v>
      </c>
      <c r="E121" s="3">
        <v>23658</v>
      </c>
      <c r="F121" t="s">
        <v>422</v>
      </c>
      <c r="G121" t="s">
        <v>274</v>
      </c>
      <c r="H121" t="s">
        <v>45</v>
      </c>
      <c r="I121" s="3">
        <v>10037</v>
      </c>
      <c r="J121" s="3">
        <v>1020100033</v>
      </c>
      <c r="K121" s="3">
        <v>1060092</v>
      </c>
      <c r="L121" t="s">
        <v>146</v>
      </c>
      <c r="M121" s="4">
        <v>9</v>
      </c>
      <c r="N121" t="s">
        <v>222</v>
      </c>
      <c r="O121" t="s">
        <v>177</v>
      </c>
      <c r="P121" s="4">
        <v>40.818185</v>
      </c>
      <c r="Q121" s="4">
        <v>-73.937894999999997</v>
      </c>
      <c r="R121" s="4">
        <v>40.818364000000003</v>
      </c>
      <c r="S121" s="4">
        <v>-73.938237999999998</v>
      </c>
      <c r="U121" t="s">
        <v>49</v>
      </c>
      <c r="V121" t="s">
        <v>71</v>
      </c>
      <c r="W121" t="s">
        <v>51</v>
      </c>
      <c r="X121" s="4">
        <v>5</v>
      </c>
      <c r="Y121" s="4">
        <v>7</v>
      </c>
      <c r="Z121" s="4">
        <v>1</v>
      </c>
      <c r="AC121" s="4">
        <v>1</v>
      </c>
      <c r="AD121" s="4">
        <v>1</v>
      </c>
      <c r="AF121" s="4">
        <v>12</v>
      </c>
      <c r="AG121" s="4">
        <v>1</v>
      </c>
      <c r="AL121" s="4">
        <v>14</v>
      </c>
      <c r="AN121" s="4">
        <v>14</v>
      </c>
      <c r="AO121" s="4">
        <v>14</v>
      </c>
    </row>
    <row r="122" spans="1:41" hidden="1" x14ac:dyDescent="0.2">
      <c r="A122" t="s">
        <v>406</v>
      </c>
      <c r="B122" t="s">
        <v>407</v>
      </c>
      <c r="C122" s="2">
        <v>45470</v>
      </c>
      <c r="E122" s="3">
        <v>23661</v>
      </c>
      <c r="F122" t="s">
        <v>423</v>
      </c>
      <c r="G122" t="s">
        <v>274</v>
      </c>
      <c r="H122" t="s">
        <v>45</v>
      </c>
      <c r="I122" s="3">
        <v>10037</v>
      </c>
      <c r="J122" s="3">
        <v>1020100034</v>
      </c>
      <c r="K122" s="3">
        <v>1060093</v>
      </c>
      <c r="L122" t="s">
        <v>146</v>
      </c>
      <c r="M122" s="4">
        <v>9</v>
      </c>
      <c r="N122" t="s">
        <v>222</v>
      </c>
      <c r="O122" t="s">
        <v>177</v>
      </c>
      <c r="P122" s="4">
        <v>40.818280999999999</v>
      </c>
      <c r="Q122" s="4">
        <v>-73.937826000000001</v>
      </c>
      <c r="R122" s="4">
        <v>40.818460000000002</v>
      </c>
      <c r="S122" s="4">
        <v>-73.938169000000002</v>
      </c>
      <c r="U122" t="s">
        <v>49</v>
      </c>
      <c r="V122" t="s">
        <v>71</v>
      </c>
      <c r="W122" t="s">
        <v>51</v>
      </c>
      <c r="X122" s="4">
        <v>7</v>
      </c>
      <c r="Y122" s="4">
        <v>5</v>
      </c>
      <c r="Z122" s="4">
        <v>2</v>
      </c>
      <c r="AA122" s="4">
        <v>2</v>
      </c>
      <c r="AE122" s="4">
        <v>10</v>
      </c>
      <c r="AF122" s="4">
        <v>5</v>
      </c>
      <c r="AG122" s="4">
        <v>1</v>
      </c>
      <c r="AL122" s="4">
        <v>16</v>
      </c>
      <c r="AN122" s="4">
        <v>16</v>
      </c>
      <c r="AO122" s="4">
        <v>16</v>
      </c>
    </row>
    <row r="123" spans="1:41" hidden="1" x14ac:dyDescent="0.2">
      <c r="A123" t="s">
        <v>406</v>
      </c>
      <c r="B123" t="s">
        <v>407</v>
      </c>
      <c r="C123" s="2">
        <v>45470</v>
      </c>
      <c r="E123" s="3">
        <v>23664</v>
      </c>
      <c r="F123" t="s">
        <v>424</v>
      </c>
      <c r="G123" t="s">
        <v>274</v>
      </c>
      <c r="H123" t="s">
        <v>45</v>
      </c>
      <c r="I123" s="3">
        <v>10037</v>
      </c>
      <c r="J123" s="3">
        <v>1020110029</v>
      </c>
      <c r="K123" s="3">
        <v>1060115</v>
      </c>
      <c r="L123" t="s">
        <v>146</v>
      </c>
      <c r="M123" s="4">
        <v>9</v>
      </c>
      <c r="N123" t="s">
        <v>425</v>
      </c>
      <c r="O123" t="s">
        <v>177</v>
      </c>
      <c r="P123" s="4">
        <v>40.818542000000001</v>
      </c>
      <c r="Q123" s="4">
        <v>-73.937635</v>
      </c>
      <c r="R123" s="4">
        <v>40.818793999999997</v>
      </c>
      <c r="S123" s="4">
        <v>-73.937922999999998</v>
      </c>
      <c r="U123" t="s">
        <v>49</v>
      </c>
      <c r="V123" t="s">
        <v>71</v>
      </c>
      <c r="W123" t="s">
        <v>51</v>
      </c>
      <c r="X123" s="4">
        <v>8</v>
      </c>
      <c r="Y123" s="4">
        <v>5</v>
      </c>
      <c r="Z123" s="4">
        <v>2</v>
      </c>
      <c r="AE123" s="4">
        <v>5</v>
      </c>
      <c r="AF123" s="4">
        <v>5</v>
      </c>
      <c r="AG123" s="4">
        <v>5</v>
      </c>
      <c r="AL123" s="4">
        <v>15</v>
      </c>
      <c r="AN123" s="4">
        <v>15</v>
      </c>
      <c r="AO123" s="4">
        <v>15</v>
      </c>
    </row>
    <row r="124" spans="1:41" hidden="1" x14ac:dyDescent="0.2">
      <c r="A124" t="s">
        <v>406</v>
      </c>
      <c r="B124" t="s">
        <v>407</v>
      </c>
      <c r="C124" s="2">
        <v>45470</v>
      </c>
      <c r="E124" s="3">
        <v>23669</v>
      </c>
      <c r="F124" t="s">
        <v>426</v>
      </c>
      <c r="G124" t="s">
        <v>274</v>
      </c>
      <c r="H124" t="s">
        <v>45</v>
      </c>
      <c r="I124" s="3">
        <v>10037</v>
      </c>
      <c r="J124" s="3">
        <v>1020110034</v>
      </c>
      <c r="K124" s="3">
        <v>1060118</v>
      </c>
      <c r="L124" t="s">
        <v>146</v>
      </c>
      <c r="M124" s="4">
        <v>9</v>
      </c>
      <c r="N124" t="s">
        <v>425</v>
      </c>
      <c r="O124" t="s">
        <v>177</v>
      </c>
      <c r="P124" s="4">
        <v>40.818928999999997</v>
      </c>
      <c r="Q124" s="4">
        <v>-73.937348999999998</v>
      </c>
      <c r="R124" s="4">
        <v>40.819082000000002</v>
      </c>
      <c r="S124" s="4">
        <v>-73.937709999999996</v>
      </c>
      <c r="U124" t="s">
        <v>49</v>
      </c>
      <c r="V124" t="s">
        <v>71</v>
      </c>
      <c r="W124" t="s">
        <v>51</v>
      </c>
      <c r="X124" s="4">
        <v>1</v>
      </c>
      <c r="Y124" s="4">
        <v>10</v>
      </c>
      <c r="Z124" s="4">
        <v>3</v>
      </c>
      <c r="AA124" s="4">
        <v>2</v>
      </c>
      <c r="AD124" s="4">
        <v>5</v>
      </c>
      <c r="AE124" s="4">
        <v>5</v>
      </c>
      <c r="AF124" s="4">
        <v>1</v>
      </c>
      <c r="AG124" s="4">
        <v>5</v>
      </c>
      <c r="AL124" s="4">
        <v>16</v>
      </c>
      <c r="AN124" s="4">
        <v>16</v>
      </c>
      <c r="AO124" s="4">
        <v>16</v>
      </c>
    </row>
    <row r="125" spans="1:41" hidden="1" x14ac:dyDescent="0.2">
      <c r="A125" t="s">
        <v>406</v>
      </c>
      <c r="B125" t="s">
        <v>407</v>
      </c>
      <c r="C125" s="2">
        <v>45470</v>
      </c>
      <c r="E125" s="3">
        <v>40004</v>
      </c>
      <c r="F125" t="s">
        <v>427</v>
      </c>
      <c r="G125" t="s">
        <v>428</v>
      </c>
      <c r="H125" t="s">
        <v>45</v>
      </c>
      <c r="I125" s="3">
        <v>10027</v>
      </c>
      <c r="J125" s="3">
        <v>1019140024</v>
      </c>
      <c r="K125" s="3">
        <v>1057984</v>
      </c>
      <c r="L125" t="s">
        <v>146</v>
      </c>
      <c r="M125" s="4">
        <v>9</v>
      </c>
      <c r="N125" t="s">
        <v>244</v>
      </c>
      <c r="O125" t="s">
        <v>177</v>
      </c>
      <c r="P125" s="4">
        <v>40.810777999999999</v>
      </c>
      <c r="Q125" s="4">
        <v>-73.944700999999995</v>
      </c>
      <c r="R125" s="4">
        <v>40.810834999999997</v>
      </c>
      <c r="S125" s="4">
        <v>-73.944284999999994</v>
      </c>
      <c r="U125" t="s">
        <v>49</v>
      </c>
      <c r="V125" t="s">
        <v>71</v>
      </c>
      <c r="W125" t="s">
        <v>51</v>
      </c>
      <c r="X125" s="4">
        <v>2</v>
      </c>
      <c r="Y125" s="4">
        <v>15</v>
      </c>
      <c r="Z125" s="4">
        <v>5</v>
      </c>
      <c r="AC125" s="4">
        <v>1</v>
      </c>
      <c r="AE125" s="4">
        <v>6</v>
      </c>
      <c r="AF125" s="4">
        <v>17</v>
      </c>
      <c r="AL125" s="4">
        <v>23</v>
      </c>
      <c r="AN125" s="4">
        <v>23</v>
      </c>
      <c r="AO125" s="4">
        <v>23</v>
      </c>
    </row>
    <row r="126" spans="1:41" hidden="1" x14ac:dyDescent="0.2">
      <c r="A126" t="s">
        <v>406</v>
      </c>
      <c r="B126" t="s">
        <v>407</v>
      </c>
      <c r="C126" s="2">
        <v>45470</v>
      </c>
      <c r="E126" s="3">
        <v>40006</v>
      </c>
      <c r="F126" t="s">
        <v>429</v>
      </c>
      <c r="G126" t="s">
        <v>428</v>
      </c>
      <c r="H126" t="s">
        <v>45</v>
      </c>
      <c r="I126" s="3">
        <v>10027</v>
      </c>
      <c r="J126" s="3">
        <v>1019140023</v>
      </c>
      <c r="K126" s="3">
        <v>1057983</v>
      </c>
      <c r="L126" t="s">
        <v>146</v>
      </c>
      <c r="M126" s="4">
        <v>9</v>
      </c>
      <c r="N126" t="s">
        <v>244</v>
      </c>
      <c r="O126" t="s">
        <v>177</v>
      </c>
      <c r="P126" s="4">
        <v>40.810805000000002</v>
      </c>
      <c r="Q126" s="4">
        <v>-73.944766000000001</v>
      </c>
      <c r="R126" s="4">
        <v>40.810884999999999</v>
      </c>
      <c r="S126" s="4">
        <v>-73.944400999999999</v>
      </c>
      <c r="U126" t="s">
        <v>49</v>
      </c>
      <c r="V126" t="s">
        <v>71</v>
      </c>
      <c r="W126" t="s">
        <v>51</v>
      </c>
      <c r="Y126" s="4">
        <v>8</v>
      </c>
      <c r="Z126" s="4">
        <v>2</v>
      </c>
      <c r="AD126" s="4">
        <v>1</v>
      </c>
      <c r="AE126" s="4">
        <v>4</v>
      </c>
      <c r="AF126" s="4">
        <v>5</v>
      </c>
      <c r="AL126" s="4">
        <v>10</v>
      </c>
      <c r="AN126" s="4">
        <v>10</v>
      </c>
      <c r="AO126" s="4">
        <v>10</v>
      </c>
    </row>
    <row r="127" spans="1:41" hidden="1" x14ac:dyDescent="0.2">
      <c r="A127" t="s">
        <v>406</v>
      </c>
      <c r="B127" t="s">
        <v>407</v>
      </c>
      <c r="C127" s="2">
        <v>45470</v>
      </c>
      <c r="E127" s="3">
        <v>40008</v>
      </c>
      <c r="F127" t="s">
        <v>430</v>
      </c>
      <c r="G127" t="s">
        <v>428</v>
      </c>
      <c r="H127" t="s">
        <v>45</v>
      </c>
      <c r="I127" s="3">
        <v>10027</v>
      </c>
      <c r="J127" s="3">
        <v>1019140122</v>
      </c>
      <c r="K127" s="3">
        <v>1058015</v>
      </c>
      <c r="L127" t="s">
        <v>146</v>
      </c>
      <c r="M127" s="4">
        <v>9</v>
      </c>
      <c r="N127" t="s">
        <v>244</v>
      </c>
      <c r="O127" t="s">
        <v>177</v>
      </c>
      <c r="P127" s="4">
        <v>40.810819000000002</v>
      </c>
      <c r="Q127" s="4">
        <v>-73.944798000000006</v>
      </c>
      <c r="R127" s="4">
        <v>40.810909000000002</v>
      </c>
      <c r="S127" s="4">
        <v>-73.944462000000001</v>
      </c>
      <c r="U127" t="s">
        <v>49</v>
      </c>
      <c r="V127" t="s">
        <v>71</v>
      </c>
      <c r="W127" t="s">
        <v>51</v>
      </c>
      <c r="Y127" s="4">
        <v>2</v>
      </c>
      <c r="Z127" s="4">
        <v>2</v>
      </c>
      <c r="AE127" s="4">
        <v>4</v>
      </c>
      <c r="AL127" s="4">
        <v>4</v>
      </c>
      <c r="AN127" s="4">
        <v>4</v>
      </c>
      <c r="AO127" s="4">
        <v>4</v>
      </c>
    </row>
    <row r="128" spans="1:41" hidden="1" x14ac:dyDescent="0.2">
      <c r="A128" t="s">
        <v>406</v>
      </c>
      <c r="B128" t="s">
        <v>407</v>
      </c>
      <c r="C128" s="2">
        <v>45470</v>
      </c>
      <c r="E128" s="3">
        <v>40019</v>
      </c>
      <c r="F128" t="s">
        <v>340</v>
      </c>
      <c r="G128" t="s">
        <v>428</v>
      </c>
      <c r="H128" t="s">
        <v>45</v>
      </c>
      <c r="I128" s="3">
        <v>10027</v>
      </c>
      <c r="J128" s="3">
        <v>1019130048</v>
      </c>
      <c r="K128" s="3">
        <v>1057958</v>
      </c>
      <c r="L128" t="s">
        <v>146</v>
      </c>
      <c r="M128" s="4">
        <v>9</v>
      </c>
      <c r="N128" t="s">
        <v>244</v>
      </c>
      <c r="O128" t="s">
        <v>177</v>
      </c>
      <c r="P128" s="4">
        <v>40.810879</v>
      </c>
      <c r="Q128" s="4">
        <v>-73.944989000000007</v>
      </c>
      <c r="R128" s="4">
        <v>40.810709000000003</v>
      </c>
      <c r="S128" s="4">
        <v>-73.945149000000001</v>
      </c>
      <c r="U128" t="s">
        <v>49</v>
      </c>
      <c r="V128" t="s">
        <v>71</v>
      </c>
      <c r="W128" t="s">
        <v>51</v>
      </c>
      <c r="Y128" s="4">
        <v>5</v>
      </c>
      <c r="Z128" s="4">
        <v>5</v>
      </c>
      <c r="AE128" s="4">
        <v>5</v>
      </c>
      <c r="AF128" s="4">
        <v>5</v>
      </c>
      <c r="AL128" s="4">
        <v>10</v>
      </c>
      <c r="AN128" s="4">
        <v>10</v>
      </c>
      <c r="AO128" s="4">
        <v>10</v>
      </c>
    </row>
    <row r="129" spans="1:41" hidden="1" x14ac:dyDescent="0.2">
      <c r="A129" t="s">
        <v>406</v>
      </c>
      <c r="B129" t="s">
        <v>407</v>
      </c>
      <c r="C129" s="2">
        <v>45470</v>
      </c>
      <c r="E129" s="3">
        <v>40021</v>
      </c>
      <c r="F129" t="s">
        <v>431</v>
      </c>
      <c r="G129" t="s">
        <v>428</v>
      </c>
      <c r="H129" t="s">
        <v>45</v>
      </c>
      <c r="I129" s="3">
        <v>10027</v>
      </c>
      <c r="J129" s="3">
        <v>1019130050</v>
      </c>
      <c r="K129" s="3">
        <v>1057960</v>
      </c>
      <c r="L129" t="s">
        <v>146</v>
      </c>
      <c r="M129" s="4">
        <v>9</v>
      </c>
      <c r="N129" t="s">
        <v>244</v>
      </c>
      <c r="O129" t="s">
        <v>177</v>
      </c>
      <c r="P129" s="4">
        <v>40.810907</v>
      </c>
      <c r="Q129" s="4">
        <v>-73.945058000000003</v>
      </c>
      <c r="R129" s="4">
        <v>40.810775</v>
      </c>
      <c r="S129" s="4">
        <v>-73.945303999999993</v>
      </c>
      <c r="U129" t="s">
        <v>49</v>
      </c>
      <c r="V129" t="s">
        <v>71</v>
      </c>
      <c r="W129" t="s">
        <v>51</v>
      </c>
      <c r="X129" s="4">
        <v>2</v>
      </c>
      <c r="Y129" s="4">
        <v>7</v>
      </c>
      <c r="Z129" s="4">
        <v>1</v>
      </c>
      <c r="AF129" s="4">
        <v>10</v>
      </c>
      <c r="AL129" s="4">
        <v>10</v>
      </c>
      <c r="AN129" s="4">
        <v>10</v>
      </c>
      <c r="AO129" s="4">
        <v>10</v>
      </c>
    </row>
    <row r="130" spans="1:41" hidden="1" x14ac:dyDescent="0.2">
      <c r="A130" t="s">
        <v>406</v>
      </c>
      <c r="B130" t="s">
        <v>407</v>
      </c>
      <c r="C130" s="2">
        <v>45470</v>
      </c>
      <c r="E130" s="3">
        <v>40023</v>
      </c>
      <c r="F130" t="s">
        <v>128</v>
      </c>
      <c r="G130" t="s">
        <v>428</v>
      </c>
      <c r="H130" t="s">
        <v>45</v>
      </c>
      <c r="I130" s="3">
        <v>10027</v>
      </c>
      <c r="J130" s="3">
        <v>1019130051</v>
      </c>
      <c r="K130" s="3">
        <v>1057961</v>
      </c>
      <c r="L130" t="s">
        <v>146</v>
      </c>
      <c r="M130" s="4">
        <v>9</v>
      </c>
      <c r="N130" t="s">
        <v>244</v>
      </c>
      <c r="O130" t="s">
        <v>177</v>
      </c>
      <c r="P130" s="4">
        <v>40.810923000000003</v>
      </c>
      <c r="Q130" s="4">
        <v>-73.945091000000005</v>
      </c>
      <c r="R130" s="4">
        <v>40.810811000000001</v>
      </c>
      <c r="S130" s="4">
        <v>-73.945386999999997</v>
      </c>
      <c r="U130" t="s">
        <v>49</v>
      </c>
      <c r="V130" t="s">
        <v>71</v>
      </c>
      <c r="W130" t="s">
        <v>51</v>
      </c>
      <c r="X130" s="4">
        <v>2</v>
      </c>
      <c r="Y130" s="4">
        <v>7</v>
      </c>
      <c r="Z130" s="4">
        <v>1</v>
      </c>
      <c r="AF130" s="4">
        <v>10</v>
      </c>
      <c r="AL130" s="4">
        <v>10</v>
      </c>
      <c r="AN130" s="4">
        <v>10</v>
      </c>
      <c r="AO130" s="4">
        <v>10</v>
      </c>
    </row>
    <row r="131" spans="1:41" hidden="1" x14ac:dyDescent="0.2">
      <c r="A131" t="s">
        <v>406</v>
      </c>
      <c r="B131" t="s">
        <v>407</v>
      </c>
      <c r="C131" s="2">
        <v>45470</v>
      </c>
      <c r="E131" s="3">
        <v>40039</v>
      </c>
      <c r="F131" t="s">
        <v>432</v>
      </c>
      <c r="G131" t="s">
        <v>428</v>
      </c>
      <c r="H131" t="s">
        <v>45</v>
      </c>
      <c r="I131" s="3">
        <v>10027</v>
      </c>
      <c r="J131" s="3">
        <v>1019130058</v>
      </c>
      <c r="K131" s="3">
        <v>1057965</v>
      </c>
      <c r="L131" t="s">
        <v>146</v>
      </c>
      <c r="M131" s="4">
        <v>9</v>
      </c>
      <c r="N131" t="s">
        <v>244</v>
      </c>
      <c r="O131" t="s">
        <v>177</v>
      </c>
      <c r="P131" s="4">
        <v>40.811053000000001</v>
      </c>
      <c r="Q131" s="4">
        <v>-73.945397999999997</v>
      </c>
      <c r="R131" s="4">
        <v>40.811039000000001</v>
      </c>
      <c r="S131" s="4">
        <v>-73.945931999999999</v>
      </c>
      <c r="U131" t="s">
        <v>49</v>
      </c>
      <c r="V131" t="s">
        <v>71</v>
      </c>
      <c r="W131" t="s">
        <v>51</v>
      </c>
      <c r="Y131" s="4">
        <v>8</v>
      </c>
      <c r="Z131" s="4">
        <v>2</v>
      </c>
      <c r="AE131" s="4">
        <v>5</v>
      </c>
      <c r="AF131" s="4">
        <v>5</v>
      </c>
      <c r="AL131" s="4">
        <v>10</v>
      </c>
      <c r="AN131" s="4">
        <v>10</v>
      </c>
      <c r="AO131" s="4">
        <v>10</v>
      </c>
    </row>
    <row r="132" spans="1:41" hidden="1" x14ac:dyDescent="0.2">
      <c r="A132" t="s">
        <v>406</v>
      </c>
      <c r="B132" t="s">
        <v>407</v>
      </c>
      <c r="C132" s="2">
        <v>45470</v>
      </c>
      <c r="E132" s="3">
        <v>40264</v>
      </c>
      <c r="F132" t="s">
        <v>433</v>
      </c>
      <c r="G132" t="s">
        <v>434</v>
      </c>
      <c r="H132" t="s">
        <v>45</v>
      </c>
      <c r="I132" s="3">
        <v>10027</v>
      </c>
      <c r="J132" s="3">
        <v>1019160017</v>
      </c>
      <c r="K132" s="3">
        <v>1058092</v>
      </c>
      <c r="L132" t="s">
        <v>146</v>
      </c>
      <c r="M132" s="4">
        <v>9</v>
      </c>
      <c r="N132" t="s">
        <v>309</v>
      </c>
      <c r="O132" t="s">
        <v>177</v>
      </c>
      <c r="P132" s="4">
        <v>40.812061999999997</v>
      </c>
      <c r="Q132" s="4">
        <v>-73.943876000000003</v>
      </c>
      <c r="R132" s="4">
        <v>40.812342000000001</v>
      </c>
      <c r="S132" s="4">
        <v>-73.943977000000004</v>
      </c>
      <c r="U132" t="s">
        <v>49</v>
      </c>
      <c r="V132" t="s">
        <v>71</v>
      </c>
      <c r="W132" t="s">
        <v>51</v>
      </c>
      <c r="AA132" s="4">
        <v>7</v>
      </c>
      <c r="AD132" s="4">
        <v>6</v>
      </c>
      <c r="AE132" s="4">
        <v>1</v>
      </c>
      <c r="AL132" s="4">
        <v>7</v>
      </c>
      <c r="AN132" s="4">
        <v>7</v>
      </c>
      <c r="AO132" s="4">
        <v>7</v>
      </c>
    </row>
    <row r="133" spans="1:41" hidden="1" x14ac:dyDescent="0.2">
      <c r="A133" t="s">
        <v>406</v>
      </c>
      <c r="B133" t="s">
        <v>407</v>
      </c>
      <c r="C133" s="2">
        <v>45470</v>
      </c>
      <c r="E133" s="3">
        <v>41583</v>
      </c>
      <c r="F133" t="s">
        <v>435</v>
      </c>
      <c r="G133" t="s">
        <v>417</v>
      </c>
      <c r="H133" t="s">
        <v>45</v>
      </c>
      <c r="I133" s="3">
        <v>10030</v>
      </c>
      <c r="J133" s="3">
        <v>1020100038</v>
      </c>
      <c r="K133" s="3">
        <v>1079762</v>
      </c>
      <c r="L133" t="s">
        <v>146</v>
      </c>
      <c r="M133" s="4">
        <v>9</v>
      </c>
      <c r="N133" t="s">
        <v>222</v>
      </c>
      <c r="O133" t="s">
        <v>177</v>
      </c>
      <c r="P133" s="4">
        <v>40.818722999999999</v>
      </c>
      <c r="Q133" s="4">
        <v>-73.938147000000001</v>
      </c>
      <c r="R133" s="4">
        <v>40.818593999999997</v>
      </c>
      <c r="S133" s="4">
        <v>-73.938404000000006</v>
      </c>
      <c r="U133" t="s">
        <v>49</v>
      </c>
      <c r="V133" t="s">
        <v>71</v>
      </c>
      <c r="W133" t="s">
        <v>51</v>
      </c>
      <c r="X133" s="4">
        <v>7</v>
      </c>
      <c r="Y133" s="4">
        <v>7</v>
      </c>
      <c r="Z133" s="4">
        <v>4</v>
      </c>
      <c r="AD133" s="4">
        <v>1</v>
      </c>
      <c r="AF133" s="4">
        <v>6</v>
      </c>
      <c r="AG133" s="4">
        <v>11</v>
      </c>
      <c r="AL133" s="4">
        <v>18</v>
      </c>
      <c r="AN133" s="4">
        <v>18</v>
      </c>
      <c r="AO133" s="4">
        <v>18</v>
      </c>
    </row>
    <row r="134" spans="1:41" hidden="1" x14ac:dyDescent="0.2">
      <c r="A134" t="s">
        <v>406</v>
      </c>
      <c r="B134" t="s">
        <v>407</v>
      </c>
      <c r="C134" s="2">
        <v>45470</v>
      </c>
      <c r="E134" s="3">
        <v>41590</v>
      </c>
      <c r="F134" t="s">
        <v>436</v>
      </c>
      <c r="G134" t="s">
        <v>417</v>
      </c>
      <c r="H134" t="s">
        <v>45</v>
      </c>
      <c r="I134" s="3">
        <v>10030</v>
      </c>
      <c r="J134" s="3">
        <v>1020110020</v>
      </c>
      <c r="K134" s="3">
        <v>1060110</v>
      </c>
      <c r="L134" t="s">
        <v>146</v>
      </c>
      <c r="M134" s="4">
        <v>9</v>
      </c>
      <c r="N134" t="s">
        <v>425</v>
      </c>
      <c r="O134" t="s">
        <v>177</v>
      </c>
      <c r="P134" s="4">
        <v>40.819006000000002</v>
      </c>
      <c r="Q134" s="4">
        <v>-73.938772</v>
      </c>
      <c r="R134" s="4">
        <v>40.819195999999998</v>
      </c>
      <c r="S134" s="4">
        <v>-73.938648999999998</v>
      </c>
      <c r="U134" t="s">
        <v>49</v>
      </c>
      <c r="V134" t="s">
        <v>71</v>
      </c>
      <c r="W134" t="s">
        <v>51</v>
      </c>
      <c r="X134" s="4">
        <v>3</v>
      </c>
      <c r="Y134" s="4">
        <v>6</v>
      </c>
      <c r="Z134" s="4">
        <v>3</v>
      </c>
      <c r="AA134" s="4">
        <v>1</v>
      </c>
      <c r="AE134" s="4">
        <v>2</v>
      </c>
      <c r="AF134" s="4">
        <v>6</v>
      </c>
      <c r="AI134" s="4">
        <v>5</v>
      </c>
      <c r="AL134" s="4">
        <v>13</v>
      </c>
      <c r="AN134" s="4">
        <v>13</v>
      </c>
      <c r="AO134" s="4">
        <v>13</v>
      </c>
    </row>
    <row r="135" spans="1:41" hidden="1" x14ac:dyDescent="0.2">
      <c r="A135" t="s">
        <v>406</v>
      </c>
      <c r="B135" t="s">
        <v>407</v>
      </c>
      <c r="C135" s="2">
        <v>45470</v>
      </c>
      <c r="E135" s="3">
        <v>41631</v>
      </c>
      <c r="F135" t="s">
        <v>437</v>
      </c>
      <c r="G135" t="s">
        <v>417</v>
      </c>
      <c r="H135" t="s">
        <v>45</v>
      </c>
      <c r="I135" s="3">
        <v>10031</v>
      </c>
      <c r="J135" s="3">
        <v>1020730037</v>
      </c>
      <c r="K135" s="3">
        <v>1061801</v>
      </c>
      <c r="L135" t="s">
        <v>169</v>
      </c>
      <c r="M135" s="4">
        <v>7</v>
      </c>
      <c r="N135" t="s">
        <v>231</v>
      </c>
      <c r="O135" t="s">
        <v>232</v>
      </c>
      <c r="P135" s="4">
        <v>40.823554000000001</v>
      </c>
      <c r="Q135" s="4">
        <v>-73.949600000000004</v>
      </c>
      <c r="R135" s="4">
        <v>40.823436000000001</v>
      </c>
      <c r="S135" s="4">
        <v>-73.949600000000004</v>
      </c>
      <c r="U135" t="s">
        <v>49</v>
      </c>
      <c r="V135" t="s">
        <v>71</v>
      </c>
      <c r="W135" t="s">
        <v>51</v>
      </c>
      <c r="X135" s="4">
        <v>2</v>
      </c>
      <c r="Y135" s="4">
        <v>2</v>
      </c>
      <c r="Z135" s="4">
        <v>4</v>
      </c>
      <c r="AD135" s="4">
        <v>4</v>
      </c>
      <c r="AE135" s="4">
        <v>4</v>
      </c>
      <c r="AL135" s="4">
        <v>8</v>
      </c>
      <c r="AN135" s="4">
        <v>8</v>
      </c>
      <c r="AO135" s="4">
        <v>8</v>
      </c>
    </row>
    <row r="136" spans="1:41" hidden="1" x14ac:dyDescent="0.2">
      <c r="A136" t="s">
        <v>406</v>
      </c>
      <c r="B136" t="s">
        <v>407</v>
      </c>
      <c r="C136" s="2">
        <v>45470</v>
      </c>
      <c r="E136" s="3">
        <v>41986</v>
      </c>
      <c r="F136" t="s">
        <v>438</v>
      </c>
      <c r="G136" t="s">
        <v>439</v>
      </c>
      <c r="H136" t="s">
        <v>45</v>
      </c>
      <c r="I136" s="3">
        <v>10031</v>
      </c>
      <c r="J136" s="3">
        <v>1020770022</v>
      </c>
      <c r="K136" s="3">
        <v>1061935</v>
      </c>
      <c r="L136" t="s">
        <v>169</v>
      </c>
      <c r="M136" s="4">
        <v>7</v>
      </c>
      <c r="N136" t="s">
        <v>440</v>
      </c>
      <c r="O136" t="s">
        <v>232</v>
      </c>
      <c r="P136" s="4">
        <v>40.825513000000001</v>
      </c>
      <c r="Q136" s="4">
        <v>-73.948244000000003</v>
      </c>
      <c r="R136" s="4">
        <v>40.825867000000002</v>
      </c>
      <c r="S136" s="4">
        <v>-73.948384000000004</v>
      </c>
      <c r="U136" t="s">
        <v>49</v>
      </c>
      <c r="V136" t="s">
        <v>71</v>
      </c>
      <c r="W136" t="s">
        <v>51</v>
      </c>
      <c r="X136" s="4">
        <v>5</v>
      </c>
      <c r="Y136" s="4">
        <v>2</v>
      </c>
      <c r="Z136" s="4">
        <v>1</v>
      </c>
      <c r="AG136" s="4">
        <v>8</v>
      </c>
      <c r="AL136" s="4">
        <v>8</v>
      </c>
      <c r="AN136" s="4">
        <v>8</v>
      </c>
      <c r="AO136" s="4">
        <v>8</v>
      </c>
    </row>
    <row r="137" spans="1:41" hidden="1" x14ac:dyDescent="0.2">
      <c r="A137" t="s">
        <v>406</v>
      </c>
      <c r="B137" t="s">
        <v>407</v>
      </c>
      <c r="C137" s="2">
        <v>45470</v>
      </c>
      <c r="E137" s="3">
        <v>921725</v>
      </c>
      <c r="F137" t="s">
        <v>441</v>
      </c>
      <c r="G137" t="s">
        <v>442</v>
      </c>
      <c r="H137" t="s">
        <v>45</v>
      </c>
      <c r="I137" s="3">
        <v>10027</v>
      </c>
      <c r="J137" s="3">
        <v>1019130056</v>
      </c>
      <c r="K137" s="3">
        <v>1057964</v>
      </c>
      <c r="L137" t="s">
        <v>146</v>
      </c>
      <c r="M137" s="4">
        <v>9</v>
      </c>
      <c r="N137" t="s">
        <v>244</v>
      </c>
      <c r="O137" t="s">
        <v>177</v>
      </c>
      <c r="P137" s="4">
        <v>40.811008999999999</v>
      </c>
      <c r="Q137" s="4">
        <v>-73.945295999999999</v>
      </c>
      <c r="R137" s="4">
        <v>40.810989999999997</v>
      </c>
      <c r="S137" s="4">
        <v>-73.945817000000005</v>
      </c>
      <c r="U137" t="s">
        <v>49</v>
      </c>
      <c r="V137" t="s">
        <v>71</v>
      </c>
      <c r="W137" t="s">
        <v>51</v>
      </c>
      <c r="X137" s="4">
        <v>1</v>
      </c>
      <c r="Y137" s="4">
        <v>15</v>
      </c>
      <c r="Z137" s="4">
        <v>7</v>
      </c>
      <c r="AC137" s="4">
        <v>1</v>
      </c>
      <c r="AE137" s="4">
        <v>12</v>
      </c>
      <c r="AF137" s="4">
        <v>12</v>
      </c>
      <c r="AL137" s="4">
        <v>24</v>
      </c>
      <c r="AN137" s="4">
        <v>24</v>
      </c>
      <c r="AO137" s="4">
        <v>24</v>
      </c>
    </row>
    <row r="138" spans="1:41" hidden="1" x14ac:dyDescent="0.2">
      <c r="A138" t="s">
        <v>443</v>
      </c>
      <c r="B138" t="s">
        <v>444</v>
      </c>
      <c r="C138" s="2">
        <v>45467</v>
      </c>
      <c r="E138" s="3">
        <v>36957</v>
      </c>
      <c r="F138" t="s">
        <v>192</v>
      </c>
      <c r="G138" t="s">
        <v>445</v>
      </c>
      <c r="H138" t="s">
        <v>45</v>
      </c>
      <c r="I138" s="3">
        <v>10025</v>
      </c>
      <c r="J138" s="3">
        <v>1012390039</v>
      </c>
      <c r="K138" s="3">
        <v>1033597</v>
      </c>
      <c r="L138" t="s">
        <v>46</v>
      </c>
      <c r="M138" s="4">
        <v>6</v>
      </c>
      <c r="N138" t="s">
        <v>446</v>
      </c>
      <c r="O138" t="s">
        <v>285</v>
      </c>
      <c r="P138" s="4">
        <v>40.791646</v>
      </c>
      <c r="Q138" s="4">
        <v>-73.972606999999996</v>
      </c>
      <c r="R138" s="4">
        <v>40.791601999999997</v>
      </c>
      <c r="S138" s="4">
        <v>-73.973090999999997</v>
      </c>
      <c r="U138" t="s">
        <v>49</v>
      </c>
      <c r="V138" t="s">
        <v>71</v>
      </c>
      <c r="W138" t="s">
        <v>51</v>
      </c>
      <c r="X138" s="4">
        <v>30</v>
      </c>
      <c r="Y138" s="4">
        <v>9</v>
      </c>
      <c r="Z138" s="4">
        <v>93</v>
      </c>
      <c r="AA138" s="4">
        <v>8</v>
      </c>
      <c r="AC138" s="4">
        <v>1</v>
      </c>
      <c r="AD138" s="4">
        <v>140</v>
      </c>
      <c r="AF138" s="4">
        <v>1</v>
      </c>
      <c r="AL138" s="4">
        <v>141</v>
      </c>
      <c r="AN138" s="4">
        <v>141</v>
      </c>
      <c r="AO138" s="4">
        <v>141</v>
      </c>
    </row>
    <row r="139" spans="1:41" hidden="1" x14ac:dyDescent="0.2">
      <c r="A139" t="s">
        <v>447</v>
      </c>
      <c r="B139" t="s">
        <v>448</v>
      </c>
      <c r="C139" s="2">
        <v>45461</v>
      </c>
      <c r="E139" s="3">
        <v>1003327</v>
      </c>
      <c r="F139" t="s">
        <v>449</v>
      </c>
      <c r="G139" t="s">
        <v>237</v>
      </c>
      <c r="H139" t="s">
        <v>45</v>
      </c>
      <c r="I139" s="3">
        <v>10029</v>
      </c>
      <c r="J139" s="3">
        <v>1016600001</v>
      </c>
      <c r="K139" s="3">
        <v>1000000</v>
      </c>
      <c r="L139" t="s">
        <v>153</v>
      </c>
      <c r="M139" s="4">
        <v>8</v>
      </c>
      <c r="N139" t="s">
        <v>151</v>
      </c>
      <c r="O139" t="s">
        <v>155</v>
      </c>
      <c r="P139" s="4">
        <v>40.794223000000002</v>
      </c>
      <c r="Q139" s="4">
        <v>-73.942732000000007</v>
      </c>
      <c r="R139" s="4">
        <v>40.794283999999998</v>
      </c>
      <c r="S139" s="4">
        <v>-73.942237000000006</v>
      </c>
      <c r="U139" t="s">
        <v>117</v>
      </c>
      <c r="V139" t="s">
        <v>71</v>
      </c>
      <c r="W139" t="s">
        <v>51</v>
      </c>
      <c r="Y139" s="4">
        <v>21</v>
      </c>
      <c r="Z139" s="4">
        <v>21</v>
      </c>
      <c r="AB139" s="4">
        <v>6</v>
      </c>
      <c r="AE139" s="4">
        <v>24</v>
      </c>
      <c r="AF139" s="4">
        <v>24</v>
      </c>
      <c r="AL139" s="4">
        <v>48</v>
      </c>
      <c r="AN139" s="4">
        <v>48</v>
      </c>
      <c r="AO139" s="4">
        <v>209</v>
      </c>
    </row>
    <row r="140" spans="1:41" hidden="1" x14ac:dyDescent="0.2">
      <c r="A140" t="s">
        <v>450</v>
      </c>
      <c r="B140" t="s">
        <v>451</v>
      </c>
      <c r="C140" s="2">
        <v>45448</v>
      </c>
      <c r="E140" s="3">
        <v>8318</v>
      </c>
      <c r="F140" t="s">
        <v>452</v>
      </c>
      <c r="G140" t="s">
        <v>389</v>
      </c>
      <c r="H140" t="s">
        <v>45</v>
      </c>
      <c r="I140" s="3">
        <v>10040</v>
      </c>
      <c r="J140" s="3">
        <v>1021750001</v>
      </c>
      <c r="K140" s="3">
        <v>1000000</v>
      </c>
      <c r="L140" t="s">
        <v>114</v>
      </c>
      <c r="M140" s="4">
        <v>10</v>
      </c>
      <c r="N140" t="s">
        <v>453</v>
      </c>
      <c r="O140" t="s">
        <v>116</v>
      </c>
      <c r="P140" s="4">
        <v>40.862326000000003</v>
      </c>
      <c r="Q140" s="4">
        <v>-73.929552999999999</v>
      </c>
      <c r="R140" s="4">
        <v>40.862768000000003</v>
      </c>
      <c r="S140" s="4">
        <v>-73.929389999999998</v>
      </c>
      <c r="U140" t="s">
        <v>117</v>
      </c>
      <c r="V140" t="s">
        <v>71</v>
      </c>
      <c r="W140" t="s">
        <v>51</v>
      </c>
      <c r="AB140" s="4">
        <v>67</v>
      </c>
      <c r="AD140" s="4">
        <v>13</v>
      </c>
      <c r="AE140" s="4">
        <v>33</v>
      </c>
      <c r="AF140" s="4">
        <v>21</v>
      </c>
      <c r="AL140" s="4">
        <v>67</v>
      </c>
      <c r="AN140" s="4">
        <v>67</v>
      </c>
      <c r="AO140" s="4">
        <v>222</v>
      </c>
    </row>
    <row r="141" spans="1:41" hidden="1" x14ac:dyDescent="0.2">
      <c r="A141" t="s">
        <v>454</v>
      </c>
      <c r="B141" t="s">
        <v>455</v>
      </c>
      <c r="C141" s="2">
        <v>45435</v>
      </c>
      <c r="D141" s="2">
        <v>45435</v>
      </c>
      <c r="E141" s="3">
        <v>23461</v>
      </c>
      <c r="F141" t="s">
        <v>296</v>
      </c>
      <c r="G141" t="s">
        <v>274</v>
      </c>
      <c r="H141" t="s">
        <v>45</v>
      </c>
      <c r="I141" s="3">
        <v>10026</v>
      </c>
      <c r="J141" s="3">
        <v>1015950001</v>
      </c>
      <c r="K141" s="3">
        <v>1051407</v>
      </c>
      <c r="L141" t="s">
        <v>146</v>
      </c>
      <c r="M141" s="4">
        <v>9</v>
      </c>
      <c r="N141" t="s">
        <v>456</v>
      </c>
      <c r="O141" t="s">
        <v>148</v>
      </c>
      <c r="P141" s="4">
        <v>40.798962000000003</v>
      </c>
      <c r="Q141" s="4">
        <v>-73.951904999999996</v>
      </c>
      <c r="R141" s="4">
        <v>40.798983999999997</v>
      </c>
      <c r="S141" s="4">
        <v>-73.951391999999998</v>
      </c>
      <c r="T141" s="2">
        <v>45435</v>
      </c>
      <c r="U141" t="s">
        <v>49</v>
      </c>
      <c r="V141" t="s">
        <v>50</v>
      </c>
      <c r="W141" t="s">
        <v>51</v>
      </c>
      <c r="X141" s="4">
        <v>51</v>
      </c>
      <c r="Y141" s="4">
        <v>6</v>
      </c>
      <c r="Z141" s="4">
        <v>4</v>
      </c>
      <c r="AA141" s="4">
        <v>1</v>
      </c>
      <c r="AC141" s="4">
        <v>1</v>
      </c>
      <c r="AD141" s="4">
        <v>14</v>
      </c>
      <c r="AE141" s="4">
        <v>26</v>
      </c>
      <c r="AF141" s="4">
        <v>16</v>
      </c>
      <c r="AG141" s="4">
        <v>7</v>
      </c>
      <c r="AL141" s="4">
        <v>63</v>
      </c>
      <c r="AN141" s="4">
        <v>63</v>
      </c>
      <c r="AO141" s="4">
        <v>63</v>
      </c>
    </row>
    <row r="142" spans="1:41" hidden="1" x14ac:dyDescent="0.2">
      <c r="A142" t="s">
        <v>454</v>
      </c>
      <c r="B142" t="s">
        <v>455</v>
      </c>
      <c r="C142" s="2">
        <v>45435</v>
      </c>
      <c r="D142" s="2">
        <v>45435</v>
      </c>
      <c r="E142" s="3">
        <v>955154</v>
      </c>
      <c r="F142" t="s">
        <v>457</v>
      </c>
      <c r="G142" t="s">
        <v>274</v>
      </c>
      <c r="H142" t="s">
        <v>45</v>
      </c>
      <c r="I142" s="3">
        <v>10026</v>
      </c>
      <c r="J142" s="3">
        <v>1015950001</v>
      </c>
      <c r="K142" s="3">
        <v>1083918</v>
      </c>
      <c r="L142" t="s">
        <v>146</v>
      </c>
      <c r="M142" s="4">
        <v>9</v>
      </c>
      <c r="N142" t="s">
        <v>456</v>
      </c>
      <c r="O142" t="s">
        <v>148</v>
      </c>
      <c r="P142" s="4">
        <v>40.799163</v>
      </c>
      <c r="Q142" s="4">
        <v>-73.951750000000004</v>
      </c>
      <c r="R142" s="4">
        <v>40.798983999999997</v>
      </c>
      <c r="S142" s="4">
        <v>-73.951391999999998</v>
      </c>
      <c r="T142" s="2">
        <v>45435</v>
      </c>
      <c r="U142" t="s">
        <v>49</v>
      </c>
      <c r="V142" t="s">
        <v>50</v>
      </c>
      <c r="W142" t="s">
        <v>51</v>
      </c>
      <c r="X142" s="4">
        <v>38</v>
      </c>
      <c r="Y142" s="4">
        <v>6</v>
      </c>
      <c r="Z142" s="4">
        <v>10</v>
      </c>
      <c r="AA142" s="4">
        <v>1</v>
      </c>
      <c r="AE142" s="4">
        <v>20</v>
      </c>
      <c r="AF142" s="4">
        <v>21</v>
      </c>
      <c r="AG142" s="4">
        <v>14</v>
      </c>
      <c r="AL142" s="4">
        <v>55</v>
      </c>
      <c r="AN142" s="4">
        <v>55</v>
      </c>
      <c r="AO142" s="4">
        <v>55</v>
      </c>
    </row>
    <row r="143" spans="1:41" hidden="1" x14ac:dyDescent="0.2">
      <c r="A143" t="s">
        <v>458</v>
      </c>
      <c r="B143" t="s">
        <v>459</v>
      </c>
      <c r="C143" s="2">
        <v>45427</v>
      </c>
      <c r="E143" s="3">
        <v>4030</v>
      </c>
      <c r="F143" t="s">
        <v>460</v>
      </c>
      <c r="G143" t="s">
        <v>175</v>
      </c>
      <c r="H143" t="s">
        <v>45</v>
      </c>
      <c r="I143" s="3">
        <v>10027</v>
      </c>
      <c r="J143" s="3">
        <v>1019320001</v>
      </c>
      <c r="K143" s="3">
        <v>1058665</v>
      </c>
      <c r="L143" t="s">
        <v>146</v>
      </c>
      <c r="M143" s="4">
        <v>9</v>
      </c>
      <c r="N143" t="s">
        <v>244</v>
      </c>
      <c r="O143" t="s">
        <v>177</v>
      </c>
      <c r="P143" s="4">
        <v>40.810934000000003</v>
      </c>
      <c r="Q143" s="4">
        <v>-73.950599999999994</v>
      </c>
      <c r="R143" s="4">
        <v>40.810808000000002</v>
      </c>
      <c r="S143" s="4">
        <v>-73.950295999999994</v>
      </c>
      <c r="U143" t="s">
        <v>49</v>
      </c>
      <c r="V143" t="s">
        <v>71</v>
      </c>
      <c r="W143" t="s">
        <v>51</v>
      </c>
      <c r="Y143" s="4">
        <v>3</v>
      </c>
      <c r="Z143" s="4">
        <v>5</v>
      </c>
      <c r="AG143" s="4">
        <v>8</v>
      </c>
      <c r="AM143" s="4">
        <v>8</v>
      </c>
      <c r="AN143" s="4">
        <v>8</v>
      </c>
      <c r="AO143" s="4">
        <v>8</v>
      </c>
    </row>
    <row r="144" spans="1:41" hidden="1" x14ac:dyDescent="0.2">
      <c r="A144" t="s">
        <v>458</v>
      </c>
      <c r="B144" t="s">
        <v>459</v>
      </c>
      <c r="C144" s="2">
        <v>45427</v>
      </c>
      <c r="E144" s="3">
        <v>38853</v>
      </c>
      <c r="F144" t="s">
        <v>461</v>
      </c>
      <c r="G144" t="s">
        <v>462</v>
      </c>
      <c r="H144" t="s">
        <v>45</v>
      </c>
      <c r="I144" s="3">
        <v>10027</v>
      </c>
      <c r="J144" s="3">
        <v>1019250038</v>
      </c>
      <c r="K144" s="3">
        <v>1058450</v>
      </c>
      <c r="L144" t="s">
        <v>146</v>
      </c>
      <c r="M144" s="4">
        <v>9</v>
      </c>
      <c r="N144" t="s">
        <v>256</v>
      </c>
      <c r="O144" t="s">
        <v>148</v>
      </c>
      <c r="P144" s="4">
        <v>40.805939000000002</v>
      </c>
      <c r="Q144" s="4">
        <v>-73.951043999999996</v>
      </c>
      <c r="R144" s="4">
        <v>40.805853999999997</v>
      </c>
      <c r="S144" s="4">
        <v>-73.951404999999994</v>
      </c>
      <c r="U144" t="s">
        <v>49</v>
      </c>
      <c r="V144" t="s">
        <v>71</v>
      </c>
      <c r="W144" t="s">
        <v>51</v>
      </c>
      <c r="Y144" s="4">
        <v>11</v>
      </c>
      <c r="Z144" s="4">
        <v>14</v>
      </c>
      <c r="AD144" s="4">
        <v>1</v>
      </c>
      <c r="AE144" s="4">
        <v>8</v>
      </c>
      <c r="AF144" s="4">
        <v>16</v>
      </c>
      <c r="AM144" s="4">
        <v>25</v>
      </c>
      <c r="AN144" s="4">
        <v>25</v>
      </c>
      <c r="AO144" s="4">
        <v>25</v>
      </c>
    </row>
    <row r="145" spans="1:41" hidden="1" x14ac:dyDescent="0.2">
      <c r="A145" t="s">
        <v>458</v>
      </c>
      <c r="B145" t="s">
        <v>459</v>
      </c>
      <c r="C145" s="2">
        <v>45427</v>
      </c>
      <c r="E145" s="3">
        <v>38959</v>
      </c>
      <c r="F145" t="s">
        <v>463</v>
      </c>
      <c r="G145" t="s">
        <v>464</v>
      </c>
      <c r="H145" t="s">
        <v>45</v>
      </c>
      <c r="I145" s="3">
        <v>10027</v>
      </c>
      <c r="J145" s="3">
        <v>1019050155</v>
      </c>
      <c r="K145" s="3">
        <v>1057672</v>
      </c>
      <c r="L145" t="s">
        <v>146</v>
      </c>
      <c r="M145" s="4">
        <v>9</v>
      </c>
      <c r="N145" t="s">
        <v>256</v>
      </c>
      <c r="O145" t="s">
        <v>148</v>
      </c>
      <c r="P145" s="4">
        <v>40.805812000000003</v>
      </c>
      <c r="Q145" s="4">
        <v>-73.948796999999999</v>
      </c>
      <c r="R145" s="4">
        <v>40.805847999999997</v>
      </c>
      <c r="S145" s="4">
        <v>-73.949455</v>
      </c>
      <c r="U145" t="s">
        <v>49</v>
      </c>
      <c r="V145" t="s">
        <v>71</v>
      </c>
      <c r="W145" t="s">
        <v>51</v>
      </c>
      <c r="Y145" s="4">
        <v>2</v>
      </c>
      <c r="Z145" s="4">
        <v>3</v>
      </c>
      <c r="AE145" s="4">
        <v>5</v>
      </c>
      <c r="AM145" s="4">
        <v>5</v>
      </c>
      <c r="AN145" s="4">
        <v>5</v>
      </c>
      <c r="AO145" s="4">
        <v>5</v>
      </c>
    </row>
    <row r="146" spans="1:41" hidden="1" x14ac:dyDescent="0.2">
      <c r="A146" t="s">
        <v>458</v>
      </c>
      <c r="B146" t="s">
        <v>459</v>
      </c>
      <c r="C146" s="2">
        <v>45427</v>
      </c>
      <c r="E146" s="3">
        <v>39643</v>
      </c>
      <c r="F146" t="s">
        <v>465</v>
      </c>
      <c r="G146" t="s">
        <v>249</v>
      </c>
      <c r="H146" t="s">
        <v>45</v>
      </c>
      <c r="I146" s="3">
        <v>10027</v>
      </c>
      <c r="J146" s="3">
        <v>1019530027</v>
      </c>
      <c r="K146" s="3">
        <v>1059338</v>
      </c>
      <c r="L146" t="s">
        <v>146</v>
      </c>
      <c r="M146" s="4">
        <v>9</v>
      </c>
      <c r="N146" t="s">
        <v>379</v>
      </c>
      <c r="O146" t="s">
        <v>177</v>
      </c>
      <c r="P146" s="4">
        <v>40.810974999999999</v>
      </c>
      <c r="Q146" s="4">
        <v>-73.950971999999993</v>
      </c>
      <c r="R146" s="4">
        <v>40.811279999999996</v>
      </c>
      <c r="S146" s="4">
        <v>-73.951138</v>
      </c>
      <c r="U146" t="s">
        <v>49</v>
      </c>
      <c r="V146" t="s">
        <v>71</v>
      </c>
      <c r="W146" t="s">
        <v>51</v>
      </c>
      <c r="Y146" s="4">
        <v>6</v>
      </c>
      <c r="Z146" s="4">
        <v>4</v>
      </c>
      <c r="AF146" s="4">
        <v>10</v>
      </c>
      <c r="AM146" s="4">
        <v>10</v>
      </c>
      <c r="AN146" s="4">
        <v>10</v>
      </c>
      <c r="AO146" s="4">
        <v>10</v>
      </c>
    </row>
    <row r="147" spans="1:41" hidden="1" x14ac:dyDescent="0.2">
      <c r="A147" t="s">
        <v>466</v>
      </c>
      <c r="B147" t="s">
        <v>467</v>
      </c>
      <c r="C147" s="2">
        <v>45412</v>
      </c>
      <c r="E147" s="3">
        <v>35554</v>
      </c>
      <c r="F147" t="s">
        <v>468</v>
      </c>
      <c r="G147" t="s">
        <v>469</v>
      </c>
      <c r="H147" t="s">
        <v>45</v>
      </c>
      <c r="I147" s="3">
        <v>10024</v>
      </c>
      <c r="J147" s="3">
        <v>1011480059</v>
      </c>
      <c r="K147" s="3">
        <v>1030186</v>
      </c>
      <c r="L147" t="s">
        <v>46</v>
      </c>
      <c r="M147" s="4">
        <v>6</v>
      </c>
      <c r="N147" t="s">
        <v>470</v>
      </c>
      <c r="O147" t="s">
        <v>285</v>
      </c>
      <c r="P147" s="4">
        <v>40.781385</v>
      </c>
      <c r="Q147" s="4">
        <v>-73.978205000000003</v>
      </c>
      <c r="R147" s="4">
        <v>40.781374</v>
      </c>
      <c r="S147" s="4">
        <v>-73.978801000000004</v>
      </c>
      <c r="U147" t="s">
        <v>49</v>
      </c>
      <c r="V147" t="s">
        <v>71</v>
      </c>
      <c r="W147" t="s">
        <v>51</v>
      </c>
      <c r="X147" s="4">
        <v>9</v>
      </c>
      <c r="Y147" s="4">
        <v>2</v>
      </c>
      <c r="Z147" s="4">
        <v>3</v>
      </c>
      <c r="AC147" s="4">
        <v>1</v>
      </c>
      <c r="AD147" s="4">
        <v>15</v>
      </c>
      <c r="AL147" s="4">
        <v>15</v>
      </c>
      <c r="AN147" s="4">
        <v>15</v>
      </c>
      <c r="AO147" s="4">
        <v>15</v>
      </c>
    </row>
    <row r="148" spans="1:41" hidden="1" x14ac:dyDescent="0.2">
      <c r="A148" t="s">
        <v>466</v>
      </c>
      <c r="B148" t="s">
        <v>467</v>
      </c>
      <c r="C148" s="2">
        <v>45412</v>
      </c>
      <c r="E148" s="3">
        <v>35555</v>
      </c>
      <c r="F148" t="s">
        <v>471</v>
      </c>
      <c r="G148" t="s">
        <v>469</v>
      </c>
      <c r="H148" t="s">
        <v>45</v>
      </c>
      <c r="I148" s="3">
        <v>10024</v>
      </c>
      <c r="J148" s="3">
        <v>1011480060</v>
      </c>
      <c r="K148" s="3">
        <v>1030187</v>
      </c>
      <c r="L148" t="s">
        <v>46</v>
      </c>
      <c r="M148" s="4">
        <v>6</v>
      </c>
      <c r="N148" t="s">
        <v>470</v>
      </c>
      <c r="O148" t="s">
        <v>285</v>
      </c>
      <c r="P148" s="4">
        <v>40.781401000000002</v>
      </c>
      <c r="Q148" s="4">
        <v>-73.978247999999994</v>
      </c>
      <c r="R148" s="4">
        <v>40.781401000000002</v>
      </c>
      <c r="S148" s="4">
        <v>-73.978865999999996</v>
      </c>
      <c r="U148" t="s">
        <v>49</v>
      </c>
      <c r="V148" t="s">
        <v>71</v>
      </c>
      <c r="W148" t="s">
        <v>51</v>
      </c>
      <c r="X148" s="4">
        <v>11</v>
      </c>
      <c r="Y148" s="4">
        <v>3</v>
      </c>
      <c r="AD148" s="4">
        <v>12</v>
      </c>
      <c r="AE148" s="4">
        <v>2</v>
      </c>
      <c r="AL148" s="4">
        <v>14</v>
      </c>
      <c r="AN148" s="4">
        <v>14</v>
      </c>
      <c r="AO148" s="4">
        <v>14</v>
      </c>
    </row>
    <row r="149" spans="1:41" hidden="1" x14ac:dyDescent="0.2">
      <c r="A149" t="s">
        <v>466</v>
      </c>
      <c r="B149" t="s">
        <v>467</v>
      </c>
      <c r="C149" s="2">
        <v>45412</v>
      </c>
      <c r="E149" s="3">
        <v>35556</v>
      </c>
      <c r="F149" t="s">
        <v>126</v>
      </c>
      <c r="G149" t="s">
        <v>469</v>
      </c>
      <c r="H149" t="s">
        <v>45</v>
      </c>
      <c r="I149" s="3">
        <v>10024</v>
      </c>
      <c r="J149" s="3">
        <v>1011480160</v>
      </c>
      <c r="K149" s="3">
        <v>1030195</v>
      </c>
      <c r="L149" t="s">
        <v>46</v>
      </c>
      <c r="M149" s="4">
        <v>6</v>
      </c>
      <c r="N149" t="s">
        <v>470</v>
      </c>
      <c r="O149" t="s">
        <v>285</v>
      </c>
      <c r="P149" s="4">
        <v>40.781418000000002</v>
      </c>
      <c r="Q149" s="4">
        <v>-73.978288000000006</v>
      </c>
      <c r="R149" s="4">
        <v>40.781426000000003</v>
      </c>
      <c r="S149" s="4">
        <v>-73.978922999999995</v>
      </c>
      <c r="U149" t="s">
        <v>49</v>
      </c>
      <c r="V149" t="s">
        <v>71</v>
      </c>
      <c r="W149" t="s">
        <v>51</v>
      </c>
      <c r="X149" s="4">
        <v>7</v>
      </c>
      <c r="Y149" s="4">
        <v>3</v>
      </c>
      <c r="Z149" s="4">
        <v>1</v>
      </c>
      <c r="AD149" s="4">
        <v>10</v>
      </c>
      <c r="AE149" s="4">
        <v>1</v>
      </c>
      <c r="AL149" s="4">
        <v>11</v>
      </c>
      <c r="AN149" s="4">
        <v>11</v>
      </c>
      <c r="AO149" s="4">
        <v>11</v>
      </c>
    </row>
    <row r="150" spans="1:41" hidden="1" x14ac:dyDescent="0.2">
      <c r="A150" t="s">
        <v>472</v>
      </c>
      <c r="B150" t="s">
        <v>473</v>
      </c>
      <c r="C150" s="2">
        <v>45412</v>
      </c>
      <c r="D150" s="2">
        <v>45412</v>
      </c>
      <c r="E150" s="3">
        <v>37656</v>
      </c>
      <c r="F150" t="s">
        <v>474</v>
      </c>
      <c r="G150" t="s">
        <v>475</v>
      </c>
      <c r="H150" t="s">
        <v>45</v>
      </c>
      <c r="I150" s="3">
        <v>10025</v>
      </c>
      <c r="J150" s="3">
        <v>1018420042</v>
      </c>
      <c r="K150" s="3">
        <v>1055663</v>
      </c>
      <c r="L150" t="s">
        <v>46</v>
      </c>
      <c r="M150" s="4">
        <v>7</v>
      </c>
      <c r="N150" t="s">
        <v>54</v>
      </c>
      <c r="O150" t="s">
        <v>48</v>
      </c>
      <c r="P150" s="4">
        <v>40.798943000000001</v>
      </c>
      <c r="Q150" s="4">
        <v>-73.960097000000005</v>
      </c>
      <c r="R150" s="4">
        <v>40.798974000000001</v>
      </c>
      <c r="S150" s="4">
        <v>-73.960729000000001</v>
      </c>
      <c r="T150" s="2">
        <v>45412</v>
      </c>
      <c r="U150" t="s">
        <v>49</v>
      </c>
      <c r="V150" t="s">
        <v>50</v>
      </c>
      <c r="W150" t="s">
        <v>51</v>
      </c>
      <c r="X150" s="4">
        <v>46</v>
      </c>
      <c r="Y150" s="4">
        <v>11</v>
      </c>
      <c r="Z150" s="4">
        <v>1</v>
      </c>
      <c r="AA150" s="4">
        <v>1</v>
      </c>
      <c r="AB150" s="4">
        <v>1</v>
      </c>
      <c r="AC150" s="4">
        <v>1</v>
      </c>
      <c r="AD150" s="4">
        <v>2</v>
      </c>
      <c r="AE150" s="4">
        <v>36</v>
      </c>
      <c r="AF150" s="4">
        <v>23</v>
      </c>
      <c r="AL150" s="4">
        <v>61</v>
      </c>
      <c r="AN150" s="4">
        <v>61</v>
      </c>
      <c r="AO150" s="4">
        <v>61</v>
      </c>
    </row>
    <row r="151" spans="1:41" hidden="1" x14ac:dyDescent="0.2">
      <c r="A151" t="s">
        <v>476</v>
      </c>
      <c r="B151" t="s">
        <v>140</v>
      </c>
      <c r="C151" s="2">
        <v>45400</v>
      </c>
      <c r="D151" s="2">
        <v>45400</v>
      </c>
      <c r="F151" t="s">
        <v>141</v>
      </c>
      <c r="G151" t="s">
        <v>141</v>
      </c>
      <c r="H151" t="s">
        <v>45</v>
      </c>
      <c r="L151" t="s">
        <v>146</v>
      </c>
      <c r="M151" s="4">
        <v>9</v>
      </c>
      <c r="T151" s="2">
        <v>45400</v>
      </c>
      <c r="U151" t="s">
        <v>117</v>
      </c>
      <c r="V151" t="s">
        <v>71</v>
      </c>
      <c r="W151" t="s">
        <v>51</v>
      </c>
      <c r="Z151" s="4">
        <v>1</v>
      </c>
      <c r="AE151" s="4">
        <v>1</v>
      </c>
      <c r="AM151" s="4">
        <v>1</v>
      </c>
      <c r="AN151" s="4">
        <v>1</v>
      </c>
      <c r="AO151" s="4">
        <v>1</v>
      </c>
    </row>
    <row r="152" spans="1:41" hidden="1" x14ac:dyDescent="0.2">
      <c r="A152" t="s">
        <v>477</v>
      </c>
      <c r="B152" t="s">
        <v>478</v>
      </c>
      <c r="C152" s="2">
        <v>45387</v>
      </c>
      <c r="D152" s="2">
        <v>45818</v>
      </c>
      <c r="E152" s="3">
        <v>1013451</v>
      </c>
      <c r="F152" t="s">
        <v>479</v>
      </c>
      <c r="G152" t="s">
        <v>389</v>
      </c>
      <c r="H152" t="s">
        <v>45</v>
      </c>
      <c r="I152" s="3">
        <v>10040</v>
      </c>
      <c r="J152" s="3">
        <v>1021720001</v>
      </c>
      <c r="K152" s="3">
        <v>1087037</v>
      </c>
      <c r="L152" t="s">
        <v>114</v>
      </c>
      <c r="M152" s="4">
        <v>10</v>
      </c>
      <c r="N152" t="s">
        <v>480</v>
      </c>
      <c r="O152" t="s">
        <v>116</v>
      </c>
      <c r="P152" s="4">
        <v>40.858831000000002</v>
      </c>
      <c r="Q152" s="4">
        <v>-73.931520000000006</v>
      </c>
      <c r="R152" s="4">
        <v>40.859684000000001</v>
      </c>
      <c r="S152" s="4">
        <v>-73.930767000000003</v>
      </c>
      <c r="T152" s="2">
        <v>45818</v>
      </c>
      <c r="U152" t="s">
        <v>117</v>
      </c>
      <c r="V152" t="s">
        <v>71</v>
      </c>
      <c r="W152" t="s">
        <v>51</v>
      </c>
      <c r="AB152" s="4">
        <v>28</v>
      </c>
      <c r="AE152" s="4">
        <v>21</v>
      </c>
      <c r="AF152" s="4">
        <v>7</v>
      </c>
      <c r="AL152" s="4">
        <v>28</v>
      </c>
      <c r="AN152" s="4">
        <v>28</v>
      </c>
      <c r="AO152" s="4">
        <v>92</v>
      </c>
    </row>
    <row r="153" spans="1:41" hidden="1" x14ac:dyDescent="0.2">
      <c r="A153" t="s">
        <v>481</v>
      </c>
      <c r="B153" t="s">
        <v>482</v>
      </c>
      <c r="C153" s="2">
        <v>45379</v>
      </c>
      <c r="E153" s="3">
        <v>27501</v>
      </c>
      <c r="F153" t="s">
        <v>238</v>
      </c>
      <c r="G153" t="s">
        <v>483</v>
      </c>
      <c r="H153" t="s">
        <v>45</v>
      </c>
      <c r="I153" s="3">
        <v>10002</v>
      </c>
      <c r="J153" s="3">
        <v>1002480070</v>
      </c>
      <c r="K153" s="3">
        <v>1084418</v>
      </c>
      <c r="L153" t="s">
        <v>64</v>
      </c>
      <c r="M153" s="4">
        <v>1</v>
      </c>
      <c r="N153" t="s">
        <v>484</v>
      </c>
      <c r="O153" t="s">
        <v>485</v>
      </c>
      <c r="P153" s="4">
        <v>40.710631999999997</v>
      </c>
      <c r="Q153" s="4">
        <v>-73.989870999999994</v>
      </c>
      <c r="R153" s="4">
        <v>40.710802000000001</v>
      </c>
      <c r="S153" s="4">
        <v>-73.990191999999993</v>
      </c>
      <c r="U153" t="s">
        <v>49</v>
      </c>
      <c r="V153" t="s">
        <v>71</v>
      </c>
      <c r="W153" t="s">
        <v>51</v>
      </c>
      <c r="X153" s="4">
        <v>106</v>
      </c>
      <c r="Z153" s="4">
        <v>2</v>
      </c>
      <c r="AC153" s="4">
        <v>1</v>
      </c>
      <c r="AD153" s="4">
        <v>28</v>
      </c>
      <c r="AE153" s="4">
        <v>80</v>
      </c>
      <c r="AF153" s="4">
        <v>1</v>
      </c>
      <c r="AL153" s="4">
        <v>109</v>
      </c>
      <c r="AN153" s="4">
        <v>109</v>
      </c>
      <c r="AO153" s="4">
        <v>109</v>
      </c>
    </row>
    <row r="154" spans="1:41" hidden="1" x14ac:dyDescent="0.2">
      <c r="A154" t="s">
        <v>486</v>
      </c>
      <c r="B154" t="s">
        <v>487</v>
      </c>
      <c r="C154" s="2">
        <v>45378</v>
      </c>
      <c r="E154" s="3">
        <v>1011819</v>
      </c>
      <c r="F154" t="s">
        <v>488</v>
      </c>
      <c r="G154" t="s">
        <v>489</v>
      </c>
      <c r="H154" t="s">
        <v>45</v>
      </c>
      <c r="I154" s="3">
        <v>10019</v>
      </c>
      <c r="J154" s="3">
        <v>1010440015</v>
      </c>
      <c r="K154" s="3">
        <v>1000000</v>
      </c>
      <c r="L154" t="s">
        <v>78</v>
      </c>
      <c r="M154" s="4">
        <v>3</v>
      </c>
      <c r="N154" t="s">
        <v>490</v>
      </c>
      <c r="O154" t="s">
        <v>80</v>
      </c>
      <c r="P154" s="4">
        <v>40.765509999999999</v>
      </c>
      <c r="Q154" s="4">
        <v>-73.986011000000005</v>
      </c>
      <c r="R154" s="4">
        <v>40.765576000000003</v>
      </c>
      <c r="S154" s="4">
        <v>-73.986902999999998</v>
      </c>
      <c r="U154" t="s">
        <v>117</v>
      </c>
      <c r="V154" t="s">
        <v>71</v>
      </c>
      <c r="W154" t="s">
        <v>51</v>
      </c>
      <c r="X154" s="4">
        <v>72</v>
      </c>
      <c r="Z154" s="4">
        <v>27</v>
      </c>
      <c r="AA154" s="4">
        <v>12</v>
      </c>
      <c r="AC154" s="4">
        <v>1</v>
      </c>
      <c r="AD154" s="4">
        <v>51</v>
      </c>
      <c r="AE154" s="4">
        <v>6</v>
      </c>
      <c r="AF154" s="4">
        <v>53</v>
      </c>
      <c r="AG154" s="4">
        <v>2</v>
      </c>
      <c r="AL154" s="4">
        <v>112</v>
      </c>
      <c r="AN154" s="4">
        <v>112</v>
      </c>
      <c r="AO154" s="4">
        <v>112</v>
      </c>
    </row>
    <row r="155" spans="1:41" hidden="1" x14ac:dyDescent="0.2">
      <c r="A155" t="s">
        <v>491</v>
      </c>
      <c r="B155" t="s">
        <v>492</v>
      </c>
      <c r="C155" s="2">
        <v>45359</v>
      </c>
      <c r="E155" s="3">
        <v>1012391</v>
      </c>
      <c r="F155" t="s">
        <v>493</v>
      </c>
      <c r="G155" t="s">
        <v>494</v>
      </c>
      <c r="H155" t="s">
        <v>45</v>
      </c>
      <c r="I155" s="3">
        <v>10035</v>
      </c>
      <c r="J155" s="3">
        <v>1017720004</v>
      </c>
      <c r="K155" s="3">
        <v>1000000</v>
      </c>
      <c r="L155" t="s">
        <v>153</v>
      </c>
      <c r="M155" s="4">
        <v>9</v>
      </c>
      <c r="N155" t="s">
        <v>154</v>
      </c>
      <c r="O155" t="s">
        <v>155</v>
      </c>
      <c r="P155" s="4">
        <v>40.803603000000003</v>
      </c>
      <c r="Q155" s="4">
        <v>-73.939603000000005</v>
      </c>
      <c r="R155" s="4">
        <v>40.803652</v>
      </c>
      <c r="S155" s="4">
        <v>-73.939166</v>
      </c>
      <c r="U155" t="s">
        <v>117</v>
      </c>
      <c r="V155" t="s">
        <v>71</v>
      </c>
      <c r="W155" t="s">
        <v>51</v>
      </c>
      <c r="X155" s="4">
        <v>60</v>
      </c>
      <c r="Y155" s="4">
        <v>10</v>
      </c>
      <c r="Z155" s="4">
        <v>11</v>
      </c>
      <c r="AC155" s="4">
        <v>1</v>
      </c>
      <c r="AD155" s="4">
        <v>69</v>
      </c>
      <c r="AE155" s="4">
        <v>8</v>
      </c>
      <c r="AF155" s="4">
        <v>5</v>
      </c>
      <c r="AL155" s="4">
        <v>82</v>
      </c>
      <c r="AN155" s="4">
        <v>82</v>
      </c>
      <c r="AO155" s="4">
        <v>82</v>
      </c>
    </row>
    <row r="156" spans="1:41" hidden="1" x14ac:dyDescent="0.2">
      <c r="A156" t="s">
        <v>495</v>
      </c>
      <c r="B156" t="s">
        <v>140</v>
      </c>
      <c r="C156" s="2">
        <v>45359</v>
      </c>
      <c r="D156" s="2">
        <v>45359</v>
      </c>
      <c r="F156" t="s">
        <v>141</v>
      </c>
      <c r="G156" t="s">
        <v>141</v>
      </c>
      <c r="H156" t="s">
        <v>45</v>
      </c>
      <c r="L156" t="s">
        <v>64</v>
      </c>
      <c r="M156" s="4">
        <v>2</v>
      </c>
      <c r="T156" s="2">
        <v>45359</v>
      </c>
      <c r="U156" t="s">
        <v>117</v>
      </c>
      <c r="V156" t="s">
        <v>71</v>
      </c>
      <c r="W156" t="s">
        <v>51</v>
      </c>
      <c r="Z156" s="4">
        <v>1</v>
      </c>
      <c r="AF156" s="4">
        <v>1</v>
      </c>
      <c r="AM156" s="4">
        <v>1</v>
      </c>
      <c r="AN156" s="4">
        <v>1</v>
      </c>
      <c r="AO156" s="4">
        <v>1</v>
      </c>
    </row>
    <row r="157" spans="1:41" hidden="1" x14ac:dyDescent="0.2">
      <c r="A157" t="s">
        <v>496</v>
      </c>
      <c r="B157" t="s">
        <v>497</v>
      </c>
      <c r="C157" s="2">
        <v>45350</v>
      </c>
      <c r="E157" s="3">
        <v>1011164</v>
      </c>
      <c r="F157" t="s">
        <v>225</v>
      </c>
      <c r="G157" t="s">
        <v>498</v>
      </c>
      <c r="H157" t="s">
        <v>45</v>
      </c>
      <c r="I157" s="3">
        <v>10002</v>
      </c>
      <c r="J157" s="3">
        <v>1003977503</v>
      </c>
      <c r="K157" s="3">
        <v>1004960</v>
      </c>
      <c r="L157" t="s">
        <v>64</v>
      </c>
      <c r="M157" s="4">
        <v>2</v>
      </c>
      <c r="N157" t="s">
        <v>499</v>
      </c>
      <c r="O157" t="s">
        <v>197</v>
      </c>
      <c r="P157" s="4">
        <v>40.721626999999998</v>
      </c>
      <c r="Q157" s="4">
        <v>-73.984307000000001</v>
      </c>
      <c r="R157" s="4">
        <v>40.72222</v>
      </c>
      <c r="S157" s="4">
        <v>-73.985265999999996</v>
      </c>
      <c r="U157" t="s">
        <v>117</v>
      </c>
      <c r="V157" t="s">
        <v>71</v>
      </c>
      <c r="W157" t="s">
        <v>51</v>
      </c>
      <c r="Y157" s="4">
        <v>14</v>
      </c>
      <c r="Z157" s="4">
        <v>16</v>
      </c>
      <c r="AB157" s="4">
        <v>10</v>
      </c>
      <c r="AD157" s="4">
        <v>18</v>
      </c>
      <c r="AE157" s="4">
        <v>14</v>
      </c>
      <c r="AF157" s="4">
        <v>8</v>
      </c>
      <c r="AL157" s="4">
        <v>40</v>
      </c>
      <c r="AN157" s="4">
        <v>40</v>
      </c>
      <c r="AO157" s="4">
        <v>158</v>
      </c>
    </row>
    <row r="158" spans="1:41" hidden="1" x14ac:dyDescent="0.2">
      <c r="A158" t="s">
        <v>500</v>
      </c>
      <c r="B158" t="s">
        <v>501</v>
      </c>
      <c r="C158" s="2">
        <v>45329</v>
      </c>
      <c r="E158" s="3">
        <v>3409</v>
      </c>
      <c r="F158" t="s">
        <v>190</v>
      </c>
      <c r="G158" t="s">
        <v>255</v>
      </c>
      <c r="H158" t="s">
        <v>45</v>
      </c>
      <c r="I158" s="3">
        <v>10026</v>
      </c>
      <c r="J158" s="3">
        <v>1019030064</v>
      </c>
      <c r="K158" s="3">
        <v>1057519</v>
      </c>
      <c r="L158" t="s">
        <v>146</v>
      </c>
      <c r="M158" s="4">
        <v>9</v>
      </c>
      <c r="N158" t="s">
        <v>256</v>
      </c>
      <c r="O158" t="s">
        <v>148</v>
      </c>
      <c r="P158" s="4">
        <v>40.804855000000003</v>
      </c>
      <c r="Q158" s="4">
        <v>-73.951318999999998</v>
      </c>
      <c r="R158" s="4">
        <v>40.804716999999997</v>
      </c>
      <c r="S158" s="4">
        <v>-73.950918000000001</v>
      </c>
      <c r="U158" t="s">
        <v>49</v>
      </c>
      <c r="V158" t="s">
        <v>71</v>
      </c>
      <c r="W158" t="s">
        <v>51</v>
      </c>
      <c r="AA158" s="4">
        <v>10</v>
      </c>
      <c r="AG158" s="4">
        <v>10</v>
      </c>
      <c r="AM158" s="4">
        <v>10</v>
      </c>
      <c r="AN158" s="4">
        <v>10</v>
      </c>
      <c r="AO158" s="4">
        <v>10</v>
      </c>
    </row>
    <row r="159" spans="1:41" hidden="1" x14ac:dyDescent="0.2">
      <c r="A159" t="s">
        <v>500</v>
      </c>
      <c r="B159" t="s">
        <v>501</v>
      </c>
      <c r="C159" s="2">
        <v>45329</v>
      </c>
      <c r="E159" s="3">
        <v>38316</v>
      </c>
      <c r="F159" t="s">
        <v>502</v>
      </c>
      <c r="G159" t="s">
        <v>300</v>
      </c>
      <c r="H159" t="s">
        <v>45</v>
      </c>
      <c r="I159" s="3">
        <v>10026</v>
      </c>
      <c r="J159" s="3">
        <v>1018250049</v>
      </c>
      <c r="K159" s="3">
        <v>1055053</v>
      </c>
      <c r="L159" t="s">
        <v>146</v>
      </c>
      <c r="M159" s="4">
        <v>9</v>
      </c>
      <c r="N159" t="s">
        <v>318</v>
      </c>
      <c r="O159" t="s">
        <v>148</v>
      </c>
      <c r="P159" s="4">
        <v>40.802491000000003</v>
      </c>
      <c r="Q159" s="4">
        <v>-73.950815000000006</v>
      </c>
      <c r="R159" s="4">
        <v>40.802404000000003</v>
      </c>
      <c r="S159" s="4">
        <v>-73.951328000000004</v>
      </c>
      <c r="U159" t="s">
        <v>49</v>
      </c>
      <c r="V159" t="s">
        <v>71</v>
      </c>
      <c r="W159" t="s">
        <v>51</v>
      </c>
      <c r="AA159" s="4">
        <v>10</v>
      </c>
      <c r="AE159" s="4">
        <v>1</v>
      </c>
      <c r="AF159" s="4">
        <v>5</v>
      </c>
      <c r="AG159" s="4">
        <v>4</v>
      </c>
      <c r="AM159" s="4">
        <v>10</v>
      </c>
      <c r="AN159" s="4">
        <v>10</v>
      </c>
      <c r="AO159" s="4">
        <v>10</v>
      </c>
    </row>
    <row r="160" spans="1:41" hidden="1" x14ac:dyDescent="0.2">
      <c r="A160" t="s">
        <v>500</v>
      </c>
      <c r="B160" t="s">
        <v>501</v>
      </c>
      <c r="C160" s="2">
        <v>45329</v>
      </c>
      <c r="E160" s="3">
        <v>38420</v>
      </c>
      <c r="F160" t="s">
        <v>503</v>
      </c>
      <c r="G160" t="s">
        <v>300</v>
      </c>
      <c r="H160" t="s">
        <v>45</v>
      </c>
      <c r="I160" s="3">
        <v>10026</v>
      </c>
      <c r="J160" s="3">
        <v>1015990070</v>
      </c>
      <c r="K160" s="3">
        <v>1051424</v>
      </c>
      <c r="L160" t="s">
        <v>146</v>
      </c>
      <c r="M160" s="4">
        <v>9</v>
      </c>
      <c r="N160" t="s">
        <v>275</v>
      </c>
      <c r="O160" t="s">
        <v>148</v>
      </c>
      <c r="P160" s="4">
        <v>40.801729999999999</v>
      </c>
      <c r="Q160" s="4">
        <v>-73.949005999999997</v>
      </c>
      <c r="R160" s="4">
        <v>40.801662</v>
      </c>
      <c r="S160" s="4">
        <v>-73.949545000000001</v>
      </c>
      <c r="U160" t="s">
        <v>49</v>
      </c>
      <c r="V160" t="s">
        <v>71</v>
      </c>
      <c r="W160" t="s">
        <v>51</v>
      </c>
      <c r="AA160" s="4">
        <v>17</v>
      </c>
      <c r="AE160" s="4">
        <v>2</v>
      </c>
      <c r="AF160" s="4">
        <v>4</v>
      </c>
      <c r="AG160" s="4">
        <v>8</v>
      </c>
      <c r="AH160" s="4">
        <v>3</v>
      </c>
      <c r="AM160" s="4">
        <v>17</v>
      </c>
      <c r="AN160" s="4">
        <v>17</v>
      </c>
      <c r="AO160" s="4">
        <v>17</v>
      </c>
    </row>
    <row r="161" spans="1:41" hidden="1" x14ac:dyDescent="0.2">
      <c r="A161" t="s">
        <v>500</v>
      </c>
      <c r="B161" t="s">
        <v>501</v>
      </c>
      <c r="C161" s="2">
        <v>45329</v>
      </c>
      <c r="E161" s="3">
        <v>38621</v>
      </c>
      <c r="F161" t="s">
        <v>435</v>
      </c>
      <c r="G161" t="s">
        <v>504</v>
      </c>
      <c r="H161" t="s">
        <v>45</v>
      </c>
      <c r="I161" s="3">
        <v>10026</v>
      </c>
      <c r="J161" s="3">
        <v>1019030038</v>
      </c>
      <c r="K161" s="3">
        <v>1057495</v>
      </c>
      <c r="L161" t="s">
        <v>146</v>
      </c>
      <c r="M161" s="4">
        <v>9</v>
      </c>
      <c r="N161" t="s">
        <v>256</v>
      </c>
      <c r="O161" t="s">
        <v>148</v>
      </c>
      <c r="P161" s="4">
        <v>40.804164999999998</v>
      </c>
      <c r="Q161" s="4">
        <v>-73.948787999999993</v>
      </c>
      <c r="R161" s="4">
        <v>40.803998</v>
      </c>
      <c r="S161" s="4">
        <v>-73.948965000000001</v>
      </c>
      <c r="U161" t="s">
        <v>49</v>
      </c>
      <c r="V161" t="s">
        <v>71</v>
      </c>
      <c r="W161" t="s">
        <v>51</v>
      </c>
      <c r="Y161" s="4">
        <v>8</v>
      </c>
      <c r="AA161" s="4">
        <v>10</v>
      </c>
      <c r="AE161" s="4">
        <v>4</v>
      </c>
      <c r="AF161" s="4">
        <v>8</v>
      </c>
      <c r="AH161" s="4">
        <v>6</v>
      </c>
      <c r="AL161" s="4">
        <v>18</v>
      </c>
      <c r="AN161" s="4">
        <v>18</v>
      </c>
      <c r="AO161" s="4">
        <v>18</v>
      </c>
    </row>
    <row r="162" spans="1:41" hidden="1" x14ac:dyDescent="0.2">
      <c r="A162" t="s">
        <v>505</v>
      </c>
      <c r="B162" t="s">
        <v>506</v>
      </c>
      <c r="C162" s="2">
        <v>45329</v>
      </c>
      <c r="E162" s="3">
        <v>1009811</v>
      </c>
      <c r="F162" t="s">
        <v>507</v>
      </c>
      <c r="G162" t="s">
        <v>508</v>
      </c>
      <c r="H162" t="s">
        <v>45</v>
      </c>
      <c r="I162" s="3">
        <v>10036</v>
      </c>
      <c r="J162" s="3">
        <v>1010770029</v>
      </c>
      <c r="K162" s="3">
        <v>1000000</v>
      </c>
      <c r="L162" t="s">
        <v>78</v>
      </c>
      <c r="M162" s="4">
        <v>3</v>
      </c>
      <c r="N162" t="s">
        <v>509</v>
      </c>
      <c r="O162" t="s">
        <v>80</v>
      </c>
      <c r="P162" s="4">
        <v>40.763565</v>
      </c>
      <c r="Q162" s="4">
        <v>-73.992997000000003</v>
      </c>
      <c r="R162" s="4">
        <v>40.764055999999997</v>
      </c>
      <c r="S162" s="4">
        <v>-73.993188000000004</v>
      </c>
      <c r="U162" t="s">
        <v>117</v>
      </c>
      <c r="V162" t="s">
        <v>71</v>
      </c>
      <c r="W162" t="s">
        <v>51</v>
      </c>
      <c r="X162" s="4">
        <v>24</v>
      </c>
      <c r="Y162" s="4">
        <v>39</v>
      </c>
      <c r="Z162" s="4">
        <v>31</v>
      </c>
      <c r="AA162" s="4">
        <v>63</v>
      </c>
      <c r="AC162" s="4">
        <v>1</v>
      </c>
      <c r="AD162" s="4">
        <v>36</v>
      </c>
      <c r="AE162" s="4">
        <v>42</v>
      </c>
      <c r="AF162" s="4">
        <v>65</v>
      </c>
      <c r="AG162" s="4">
        <v>15</v>
      </c>
      <c r="AL162" s="4">
        <v>158</v>
      </c>
      <c r="AN162" s="4">
        <v>158</v>
      </c>
      <c r="AO162" s="4">
        <v>158</v>
      </c>
    </row>
    <row r="163" spans="1:41" hidden="1" x14ac:dyDescent="0.2">
      <c r="A163" t="s">
        <v>510</v>
      </c>
      <c r="B163" t="s">
        <v>140</v>
      </c>
      <c r="C163" s="2">
        <v>45329</v>
      </c>
      <c r="D163" s="2">
        <v>45329</v>
      </c>
      <c r="F163" t="s">
        <v>141</v>
      </c>
      <c r="G163" t="s">
        <v>141</v>
      </c>
      <c r="H163" t="s">
        <v>45</v>
      </c>
      <c r="L163" t="s">
        <v>46</v>
      </c>
      <c r="M163" s="4">
        <v>7</v>
      </c>
      <c r="T163" s="2">
        <v>45329</v>
      </c>
      <c r="U163" t="s">
        <v>117</v>
      </c>
      <c r="V163" t="s">
        <v>71</v>
      </c>
      <c r="W163" t="s">
        <v>51</v>
      </c>
      <c r="Z163" s="4">
        <v>1</v>
      </c>
      <c r="AE163" s="4">
        <v>1</v>
      </c>
      <c r="AM163" s="4">
        <v>1</v>
      </c>
      <c r="AN163" s="4">
        <v>1</v>
      </c>
      <c r="AO163" s="4">
        <v>1</v>
      </c>
    </row>
    <row r="164" spans="1:41" hidden="1" x14ac:dyDescent="0.2">
      <c r="A164" t="s">
        <v>511</v>
      </c>
      <c r="B164" t="s">
        <v>512</v>
      </c>
      <c r="C164" s="2">
        <v>45328</v>
      </c>
      <c r="E164" s="3">
        <v>1012012</v>
      </c>
      <c r="F164" t="s">
        <v>513</v>
      </c>
      <c r="G164" t="s">
        <v>514</v>
      </c>
      <c r="H164" t="s">
        <v>45</v>
      </c>
      <c r="I164" s="3">
        <v>10016</v>
      </c>
      <c r="L164" t="s">
        <v>165</v>
      </c>
      <c r="M164" s="4">
        <v>4</v>
      </c>
      <c r="N164" t="s">
        <v>358</v>
      </c>
      <c r="O164" t="s">
        <v>239</v>
      </c>
      <c r="P164" s="4">
        <v>40.748246999999999</v>
      </c>
      <c r="Q164" s="4">
        <v>-73.974346999999995</v>
      </c>
      <c r="U164" t="s">
        <v>117</v>
      </c>
      <c r="V164" t="s">
        <v>71</v>
      </c>
      <c r="W164" t="s">
        <v>51</v>
      </c>
      <c r="Z164" s="4">
        <v>8</v>
      </c>
      <c r="AE164" s="4">
        <v>6</v>
      </c>
      <c r="AF164" s="4">
        <v>2</v>
      </c>
      <c r="AL164" s="4">
        <v>8</v>
      </c>
      <c r="AN164" s="4">
        <v>8</v>
      </c>
      <c r="AO164" s="4">
        <v>157</v>
      </c>
    </row>
    <row r="165" spans="1:41" hidden="1" x14ac:dyDescent="0.2">
      <c r="A165" t="s">
        <v>515</v>
      </c>
      <c r="B165" t="s">
        <v>516</v>
      </c>
      <c r="C165" s="2">
        <v>45303</v>
      </c>
      <c r="E165" s="3">
        <v>21861</v>
      </c>
      <c r="F165" t="s">
        <v>216</v>
      </c>
      <c r="G165" t="s">
        <v>517</v>
      </c>
      <c r="H165" t="s">
        <v>45</v>
      </c>
      <c r="I165" s="3">
        <v>10032</v>
      </c>
      <c r="J165" s="3">
        <v>1021360047</v>
      </c>
      <c r="K165" s="3">
        <v>1063314</v>
      </c>
      <c r="L165" t="s">
        <v>114</v>
      </c>
      <c r="M165" s="4">
        <v>7</v>
      </c>
      <c r="N165" t="s">
        <v>518</v>
      </c>
      <c r="O165" t="s">
        <v>134</v>
      </c>
      <c r="P165" s="4">
        <v>40.835583999999997</v>
      </c>
      <c r="Q165" s="4">
        <v>-73.944496000000001</v>
      </c>
      <c r="R165" s="4">
        <v>40.835422999999999</v>
      </c>
      <c r="S165" s="4">
        <v>-73.944712999999993</v>
      </c>
      <c r="U165" t="s">
        <v>49</v>
      </c>
      <c r="V165" t="s">
        <v>71</v>
      </c>
      <c r="W165" t="s">
        <v>51</v>
      </c>
      <c r="AA165" s="4">
        <v>25</v>
      </c>
      <c r="AE165" s="4">
        <v>6</v>
      </c>
      <c r="AF165" s="4">
        <v>11</v>
      </c>
      <c r="AG165" s="4">
        <v>8</v>
      </c>
      <c r="AM165" s="4">
        <v>25</v>
      </c>
      <c r="AN165" s="4">
        <v>25</v>
      </c>
      <c r="AO165" s="4">
        <v>25</v>
      </c>
    </row>
    <row r="166" spans="1:41" hidden="1" x14ac:dyDescent="0.2">
      <c r="A166" t="s">
        <v>515</v>
      </c>
      <c r="B166" t="s">
        <v>516</v>
      </c>
      <c r="C166" s="2">
        <v>45303</v>
      </c>
      <c r="E166" s="3">
        <v>42786</v>
      </c>
      <c r="F166" t="s">
        <v>519</v>
      </c>
      <c r="G166" t="s">
        <v>520</v>
      </c>
      <c r="H166" t="s">
        <v>45</v>
      </c>
      <c r="I166" s="3">
        <v>10032</v>
      </c>
      <c r="J166" s="3">
        <v>1021360005</v>
      </c>
      <c r="K166" s="3">
        <v>1063303</v>
      </c>
      <c r="L166" t="s">
        <v>114</v>
      </c>
      <c r="M166" s="4">
        <v>7</v>
      </c>
      <c r="N166" t="s">
        <v>518</v>
      </c>
      <c r="O166" t="s">
        <v>134</v>
      </c>
      <c r="P166" s="4">
        <v>40.835014000000001</v>
      </c>
      <c r="Q166" s="4">
        <v>-73.945222000000001</v>
      </c>
      <c r="R166" s="4">
        <v>40.835144999999997</v>
      </c>
      <c r="S166" s="4">
        <v>-73.944914999999995</v>
      </c>
      <c r="U166" t="s">
        <v>49</v>
      </c>
      <c r="V166" t="s">
        <v>71</v>
      </c>
      <c r="W166" t="s">
        <v>51</v>
      </c>
      <c r="AA166" s="4">
        <v>25</v>
      </c>
      <c r="AF166" s="4">
        <v>17</v>
      </c>
      <c r="AG166" s="4">
        <v>8</v>
      </c>
      <c r="AM166" s="4">
        <v>25</v>
      </c>
      <c r="AN166" s="4">
        <v>25</v>
      </c>
      <c r="AO166" s="4">
        <v>25</v>
      </c>
    </row>
    <row r="167" spans="1:41" hidden="1" x14ac:dyDescent="0.2">
      <c r="A167" t="s">
        <v>521</v>
      </c>
      <c r="B167" t="s">
        <v>140</v>
      </c>
      <c r="C167" s="2">
        <v>45302</v>
      </c>
      <c r="D167" s="2">
        <v>45302</v>
      </c>
      <c r="F167" t="s">
        <v>141</v>
      </c>
      <c r="G167" t="s">
        <v>141</v>
      </c>
      <c r="H167" t="s">
        <v>45</v>
      </c>
      <c r="L167" t="s">
        <v>64</v>
      </c>
      <c r="M167" s="4">
        <v>2</v>
      </c>
      <c r="T167" s="2">
        <v>45302</v>
      </c>
      <c r="U167" t="s">
        <v>117</v>
      </c>
      <c r="V167" t="s">
        <v>71</v>
      </c>
      <c r="W167" t="s">
        <v>51</v>
      </c>
      <c r="Z167" s="4">
        <v>1</v>
      </c>
      <c r="AF167" s="4">
        <v>1</v>
      </c>
      <c r="AM167" s="4">
        <v>1</v>
      </c>
      <c r="AN167" s="4">
        <v>1</v>
      </c>
      <c r="AO167" s="4">
        <v>1</v>
      </c>
    </row>
    <row r="168" spans="1:41" hidden="1" x14ac:dyDescent="0.2">
      <c r="A168" t="s">
        <v>522</v>
      </c>
      <c r="B168" t="s">
        <v>523</v>
      </c>
      <c r="C168" s="2">
        <v>45294</v>
      </c>
      <c r="E168" s="3">
        <v>1000025</v>
      </c>
      <c r="F168" t="s">
        <v>524</v>
      </c>
      <c r="G168" t="s">
        <v>525</v>
      </c>
      <c r="H168" t="s">
        <v>45</v>
      </c>
      <c r="I168" s="3">
        <v>10034</v>
      </c>
      <c r="J168" s="3">
        <v>1022480112</v>
      </c>
      <c r="K168" s="3">
        <v>1000000</v>
      </c>
      <c r="L168" t="s">
        <v>114</v>
      </c>
      <c r="M168" s="4">
        <v>10</v>
      </c>
      <c r="N168" t="s">
        <v>526</v>
      </c>
      <c r="O168" t="s">
        <v>391</v>
      </c>
      <c r="P168" s="4">
        <v>40.868509000000003</v>
      </c>
      <c r="Q168" s="4">
        <v>-73.923950000000005</v>
      </c>
      <c r="R168" s="4">
        <v>40.868747999999997</v>
      </c>
      <c r="S168" s="4">
        <v>-73.924058000000002</v>
      </c>
      <c r="U168" t="s">
        <v>117</v>
      </c>
      <c r="V168" t="s">
        <v>71</v>
      </c>
      <c r="W168" t="s">
        <v>51</v>
      </c>
      <c r="Z168" s="4">
        <v>3</v>
      </c>
      <c r="AB168" s="4">
        <v>5</v>
      </c>
      <c r="AD168" s="4">
        <v>1</v>
      </c>
      <c r="AE168" s="4">
        <v>6</v>
      </c>
      <c r="AF168" s="4">
        <v>1</v>
      </c>
      <c r="AL168" s="4">
        <v>8</v>
      </c>
      <c r="AN168" s="4">
        <v>8</v>
      </c>
      <c r="AO168" s="4">
        <v>26</v>
      </c>
    </row>
    <row r="169" spans="1:41" hidden="1" x14ac:dyDescent="0.2">
      <c r="A169" t="s">
        <v>527</v>
      </c>
      <c r="B169" t="s">
        <v>528</v>
      </c>
      <c r="C169" s="2">
        <v>45287</v>
      </c>
      <c r="E169" s="3">
        <v>42701</v>
      </c>
      <c r="F169" t="s">
        <v>529</v>
      </c>
      <c r="G169" t="s">
        <v>530</v>
      </c>
      <c r="H169" t="s">
        <v>45</v>
      </c>
      <c r="I169" s="3">
        <v>10032</v>
      </c>
      <c r="J169" s="3">
        <v>1021140070</v>
      </c>
      <c r="K169" s="3">
        <v>1062697</v>
      </c>
      <c r="L169" t="s">
        <v>114</v>
      </c>
      <c r="M169" s="4">
        <v>10</v>
      </c>
      <c r="N169" t="s">
        <v>323</v>
      </c>
      <c r="O169" t="s">
        <v>134</v>
      </c>
      <c r="P169" s="4">
        <v>40.832360000000001</v>
      </c>
      <c r="Q169" s="4">
        <v>-73.944834</v>
      </c>
      <c r="R169" s="4">
        <v>40.832746999999998</v>
      </c>
      <c r="S169" s="4">
        <v>-73.945065</v>
      </c>
      <c r="U169" t="s">
        <v>49</v>
      </c>
      <c r="V169" t="s">
        <v>71</v>
      </c>
      <c r="W169" t="s">
        <v>51</v>
      </c>
      <c r="X169" s="4">
        <v>7</v>
      </c>
      <c r="Y169" s="4">
        <v>16</v>
      </c>
      <c r="AA169" s="4">
        <v>5</v>
      </c>
      <c r="AD169" s="4">
        <v>28</v>
      </c>
      <c r="AL169" s="4">
        <v>28</v>
      </c>
      <c r="AN169" s="4">
        <v>28</v>
      </c>
      <c r="AO169" s="4">
        <v>28</v>
      </c>
    </row>
    <row r="170" spans="1:41" hidden="1" x14ac:dyDescent="0.2">
      <c r="A170" t="s">
        <v>527</v>
      </c>
      <c r="B170" t="s">
        <v>528</v>
      </c>
      <c r="C170" s="2">
        <v>45287</v>
      </c>
      <c r="E170" s="3">
        <v>43334</v>
      </c>
      <c r="F170" t="s">
        <v>531</v>
      </c>
      <c r="G170" t="s">
        <v>532</v>
      </c>
      <c r="H170" t="s">
        <v>45</v>
      </c>
      <c r="I170" s="3">
        <v>10033</v>
      </c>
      <c r="J170" s="3">
        <v>1021320030</v>
      </c>
      <c r="K170" s="3">
        <v>1063186</v>
      </c>
      <c r="L170" t="s">
        <v>114</v>
      </c>
      <c r="M170" s="4">
        <v>10</v>
      </c>
      <c r="N170" t="s">
        <v>346</v>
      </c>
      <c r="O170" t="s">
        <v>134</v>
      </c>
      <c r="P170" s="4">
        <v>40.846544000000002</v>
      </c>
      <c r="Q170" s="4">
        <v>-73.933274999999995</v>
      </c>
      <c r="R170" s="4">
        <v>40.846353999999998</v>
      </c>
      <c r="S170" s="4">
        <v>-73.933412000000004</v>
      </c>
      <c r="U170" t="s">
        <v>49</v>
      </c>
      <c r="V170" t="s">
        <v>71</v>
      </c>
      <c r="W170" t="s">
        <v>51</v>
      </c>
      <c r="X170" s="4">
        <v>16</v>
      </c>
      <c r="Y170" s="4">
        <v>39</v>
      </c>
      <c r="AD170" s="4">
        <v>55</v>
      </c>
      <c r="AL170" s="4">
        <v>55</v>
      </c>
      <c r="AN170" s="4">
        <v>55</v>
      </c>
      <c r="AO170" s="4">
        <v>55</v>
      </c>
    </row>
    <row r="171" spans="1:41" hidden="1" x14ac:dyDescent="0.2">
      <c r="A171" t="s">
        <v>533</v>
      </c>
      <c r="B171" t="s">
        <v>534</v>
      </c>
      <c r="C171" s="2">
        <v>45282</v>
      </c>
      <c r="E171" s="3">
        <v>5568</v>
      </c>
      <c r="F171" t="s">
        <v>535</v>
      </c>
      <c r="G171" t="s">
        <v>87</v>
      </c>
      <c r="H171" t="s">
        <v>45</v>
      </c>
      <c r="I171" s="3">
        <v>10027</v>
      </c>
      <c r="J171" s="3">
        <v>1019700068</v>
      </c>
      <c r="K171" s="3">
        <v>1059638</v>
      </c>
      <c r="L171" t="s">
        <v>169</v>
      </c>
      <c r="M171" s="4">
        <v>7</v>
      </c>
      <c r="N171" t="s">
        <v>187</v>
      </c>
      <c r="O171" t="s">
        <v>171</v>
      </c>
      <c r="P171" s="4">
        <v>40.817086000000003</v>
      </c>
      <c r="Q171" s="4">
        <v>-73.953547</v>
      </c>
      <c r="R171" s="4">
        <v>40.816949000000001</v>
      </c>
      <c r="S171" s="4">
        <v>-73.953254000000001</v>
      </c>
      <c r="U171" t="s">
        <v>49</v>
      </c>
      <c r="V171" t="s">
        <v>71</v>
      </c>
      <c r="W171" t="s">
        <v>51</v>
      </c>
      <c r="Y171" s="4">
        <v>12</v>
      </c>
      <c r="AD171" s="4">
        <v>8</v>
      </c>
      <c r="AF171" s="4">
        <v>4</v>
      </c>
      <c r="AL171" s="4">
        <v>12</v>
      </c>
      <c r="AN171" s="4">
        <v>12</v>
      </c>
      <c r="AO171" s="4">
        <v>12</v>
      </c>
    </row>
    <row r="172" spans="1:41" hidden="1" x14ac:dyDescent="0.2">
      <c r="A172" t="s">
        <v>533</v>
      </c>
      <c r="B172" t="s">
        <v>534</v>
      </c>
      <c r="C172" s="2">
        <v>45282</v>
      </c>
      <c r="E172" s="3">
        <v>23656</v>
      </c>
      <c r="F172" t="s">
        <v>536</v>
      </c>
      <c r="G172" t="s">
        <v>274</v>
      </c>
      <c r="H172" t="s">
        <v>45</v>
      </c>
      <c r="I172" s="3">
        <v>10037</v>
      </c>
      <c r="J172" s="3">
        <v>1020100028</v>
      </c>
      <c r="K172" s="3">
        <v>1060090</v>
      </c>
      <c r="L172" t="s">
        <v>146</v>
      </c>
      <c r="M172" s="4">
        <v>9</v>
      </c>
      <c r="N172" t="s">
        <v>222</v>
      </c>
      <c r="O172" t="s">
        <v>177</v>
      </c>
      <c r="P172" s="4">
        <v>40.817996000000001</v>
      </c>
      <c r="Q172" s="4">
        <v>-73.938032000000007</v>
      </c>
      <c r="R172" s="4">
        <v>40.818171999999997</v>
      </c>
      <c r="S172" s="4">
        <v>-73.938383000000002</v>
      </c>
      <c r="U172" t="s">
        <v>49</v>
      </c>
      <c r="V172" t="s">
        <v>71</v>
      </c>
      <c r="W172" t="s">
        <v>51</v>
      </c>
      <c r="X172" s="4">
        <v>14</v>
      </c>
      <c r="Z172" s="4">
        <v>7</v>
      </c>
      <c r="AF172" s="4">
        <v>11</v>
      </c>
      <c r="AG172" s="4">
        <v>10</v>
      </c>
      <c r="AL172" s="4">
        <v>21</v>
      </c>
      <c r="AN172" s="4">
        <v>21</v>
      </c>
      <c r="AO172" s="4">
        <v>21</v>
      </c>
    </row>
    <row r="173" spans="1:41" hidden="1" x14ac:dyDescent="0.2">
      <c r="A173" t="s">
        <v>533</v>
      </c>
      <c r="B173" t="s">
        <v>534</v>
      </c>
      <c r="C173" s="2">
        <v>45282</v>
      </c>
      <c r="E173" s="3">
        <v>41489</v>
      </c>
      <c r="F173" t="s">
        <v>537</v>
      </c>
      <c r="G173" t="s">
        <v>538</v>
      </c>
      <c r="H173" t="s">
        <v>45</v>
      </c>
      <c r="I173" s="3">
        <v>10030</v>
      </c>
      <c r="J173" s="3">
        <v>1020100024</v>
      </c>
      <c r="K173" s="3">
        <v>1060089</v>
      </c>
      <c r="L173" t="s">
        <v>146</v>
      </c>
      <c r="M173" s="4">
        <v>9</v>
      </c>
      <c r="N173" t="s">
        <v>222</v>
      </c>
      <c r="O173" t="s">
        <v>177</v>
      </c>
      <c r="P173" s="4">
        <v>40.818117000000001</v>
      </c>
      <c r="Q173" s="4">
        <v>-73.938574000000003</v>
      </c>
      <c r="R173" s="4">
        <v>40.818382999999997</v>
      </c>
      <c r="S173" s="4">
        <v>-73.938660999999996</v>
      </c>
      <c r="U173" t="s">
        <v>49</v>
      </c>
      <c r="V173" t="s">
        <v>71</v>
      </c>
      <c r="W173" t="s">
        <v>51</v>
      </c>
      <c r="X173" s="4">
        <v>4</v>
      </c>
      <c r="Y173" s="4">
        <v>15</v>
      </c>
      <c r="Z173" s="4">
        <v>17</v>
      </c>
      <c r="AA173" s="4">
        <v>6</v>
      </c>
      <c r="AC173" s="4">
        <v>1</v>
      </c>
      <c r="AE173" s="4">
        <v>18</v>
      </c>
      <c r="AF173" s="4">
        <v>1</v>
      </c>
      <c r="AG173" s="4">
        <v>24</v>
      </c>
      <c r="AL173" s="4">
        <v>43</v>
      </c>
      <c r="AN173" s="4">
        <v>43</v>
      </c>
      <c r="AO173" s="4">
        <v>43</v>
      </c>
    </row>
    <row r="174" spans="1:41" hidden="1" x14ac:dyDescent="0.2">
      <c r="A174" t="s">
        <v>533</v>
      </c>
      <c r="B174" t="s">
        <v>534</v>
      </c>
      <c r="C174" s="2">
        <v>45282</v>
      </c>
      <c r="E174" s="3">
        <v>41778</v>
      </c>
      <c r="F174" t="s">
        <v>430</v>
      </c>
      <c r="G174" t="s">
        <v>539</v>
      </c>
      <c r="H174" t="s">
        <v>45</v>
      </c>
      <c r="I174" s="3">
        <v>10030</v>
      </c>
      <c r="J174" s="3">
        <v>1020130020</v>
      </c>
      <c r="K174" s="3">
        <v>1060166</v>
      </c>
      <c r="L174" t="s">
        <v>146</v>
      </c>
      <c r="M174" s="4">
        <v>9</v>
      </c>
      <c r="N174" t="s">
        <v>425</v>
      </c>
      <c r="O174" t="s">
        <v>177</v>
      </c>
      <c r="P174" s="4">
        <v>40.820219000000002</v>
      </c>
      <c r="Q174" s="4">
        <v>-73.937766999999994</v>
      </c>
      <c r="R174" s="4">
        <v>40.820436000000001</v>
      </c>
      <c r="S174" s="4">
        <v>-73.937726999999995</v>
      </c>
      <c r="U174" t="s">
        <v>49</v>
      </c>
      <c r="V174" t="s">
        <v>71</v>
      </c>
      <c r="W174" t="s">
        <v>51</v>
      </c>
      <c r="X174" s="4">
        <v>5</v>
      </c>
      <c r="Y174" s="4">
        <v>5</v>
      </c>
      <c r="Z174" s="4">
        <v>12</v>
      </c>
      <c r="AA174" s="4">
        <v>8</v>
      </c>
      <c r="AD174" s="4">
        <v>10</v>
      </c>
      <c r="AE174" s="4">
        <v>20</v>
      </c>
      <c r="AL174" s="4">
        <v>30</v>
      </c>
      <c r="AN174" s="4">
        <v>30</v>
      </c>
      <c r="AO174" s="4">
        <v>30</v>
      </c>
    </row>
    <row r="175" spans="1:41" hidden="1" x14ac:dyDescent="0.2">
      <c r="A175" t="s">
        <v>533</v>
      </c>
      <c r="B175" t="s">
        <v>534</v>
      </c>
      <c r="C175" s="2">
        <v>45282</v>
      </c>
      <c r="E175" s="3">
        <v>41995</v>
      </c>
      <c r="F175" t="s">
        <v>540</v>
      </c>
      <c r="G175" t="s">
        <v>439</v>
      </c>
      <c r="H175" t="s">
        <v>45</v>
      </c>
      <c r="I175" s="3">
        <v>10031</v>
      </c>
      <c r="J175" s="3">
        <v>1020770010</v>
      </c>
      <c r="K175" s="3">
        <v>1061930</v>
      </c>
      <c r="L175" t="s">
        <v>169</v>
      </c>
      <c r="M175" s="4">
        <v>7</v>
      </c>
      <c r="N175" t="s">
        <v>440</v>
      </c>
      <c r="O175" t="s">
        <v>232</v>
      </c>
      <c r="P175" s="4">
        <v>40.825678000000003</v>
      </c>
      <c r="Q175" s="4">
        <v>-73.948637000000005</v>
      </c>
      <c r="R175" s="4">
        <v>40.826237999999996</v>
      </c>
      <c r="S175" s="4">
        <v>-73.949273000000005</v>
      </c>
      <c r="U175" t="s">
        <v>49</v>
      </c>
      <c r="V175" t="s">
        <v>71</v>
      </c>
      <c r="W175" t="s">
        <v>51</v>
      </c>
      <c r="X175" s="4">
        <v>1</v>
      </c>
      <c r="Y175" s="4">
        <v>14</v>
      </c>
      <c r="AC175" s="4">
        <v>1</v>
      </c>
      <c r="AE175" s="4">
        <v>3</v>
      </c>
      <c r="AF175" s="4">
        <v>13</v>
      </c>
      <c r="AL175" s="4">
        <v>16</v>
      </c>
      <c r="AN175" s="4">
        <v>16</v>
      </c>
      <c r="AO175" s="4">
        <v>16</v>
      </c>
    </row>
    <row r="176" spans="1:41" hidden="1" x14ac:dyDescent="0.2">
      <c r="A176" t="s">
        <v>541</v>
      </c>
      <c r="B176" t="s">
        <v>542</v>
      </c>
      <c r="C176" s="2">
        <v>45282</v>
      </c>
      <c r="D176" s="2">
        <v>45282</v>
      </c>
      <c r="E176" s="3">
        <v>4168</v>
      </c>
      <c r="F176" t="s">
        <v>543</v>
      </c>
      <c r="G176" t="s">
        <v>175</v>
      </c>
      <c r="H176" t="s">
        <v>45</v>
      </c>
      <c r="I176" s="3">
        <v>10039</v>
      </c>
      <c r="J176" s="3">
        <v>1020350001</v>
      </c>
      <c r="K176" s="3">
        <v>1084148</v>
      </c>
      <c r="L176" t="s">
        <v>146</v>
      </c>
      <c r="M176" s="4">
        <v>9</v>
      </c>
      <c r="N176" t="s">
        <v>544</v>
      </c>
      <c r="O176" t="s">
        <v>177</v>
      </c>
      <c r="P176" s="4">
        <v>40.825755999999998</v>
      </c>
      <c r="Q176" s="4">
        <v>-73.939618999999993</v>
      </c>
      <c r="R176" s="4">
        <v>40.825088000000001</v>
      </c>
      <c r="S176" s="4">
        <v>-73.938419999999994</v>
      </c>
      <c r="T176" s="2">
        <v>45282</v>
      </c>
      <c r="U176" t="s">
        <v>49</v>
      </c>
      <c r="V176" t="s">
        <v>50</v>
      </c>
      <c r="W176" t="s">
        <v>51</v>
      </c>
      <c r="X176" s="4">
        <v>16</v>
      </c>
      <c r="Y176" s="4">
        <v>25</v>
      </c>
      <c r="Z176" s="4">
        <v>38</v>
      </c>
      <c r="AA176" s="4">
        <v>27</v>
      </c>
      <c r="AB176" s="4">
        <v>1</v>
      </c>
      <c r="AE176" s="4">
        <v>48</v>
      </c>
      <c r="AF176" s="4">
        <v>40</v>
      </c>
      <c r="AG176" s="4">
        <v>19</v>
      </c>
      <c r="AL176" s="4">
        <v>107</v>
      </c>
      <c r="AN176" s="4">
        <v>107</v>
      </c>
      <c r="AO176" s="4">
        <v>107</v>
      </c>
    </row>
    <row r="177" spans="1:41" hidden="1" x14ac:dyDescent="0.2">
      <c r="A177" t="s">
        <v>541</v>
      </c>
      <c r="B177" t="s">
        <v>542</v>
      </c>
      <c r="C177" s="2">
        <v>45282</v>
      </c>
      <c r="D177" s="2">
        <v>45282</v>
      </c>
      <c r="E177" s="3">
        <v>803888</v>
      </c>
      <c r="F177" t="s">
        <v>545</v>
      </c>
      <c r="G177" t="s">
        <v>546</v>
      </c>
      <c r="H177" t="s">
        <v>45</v>
      </c>
      <c r="I177" s="3">
        <v>10039</v>
      </c>
      <c r="J177" s="3">
        <v>1020350001</v>
      </c>
      <c r="K177" s="3">
        <v>1084144</v>
      </c>
      <c r="L177" t="s">
        <v>146</v>
      </c>
      <c r="M177" s="4">
        <v>9</v>
      </c>
      <c r="N177" t="s">
        <v>544</v>
      </c>
      <c r="O177" t="s">
        <v>177</v>
      </c>
      <c r="P177" s="4">
        <v>40.824477999999999</v>
      </c>
      <c r="Q177" s="4">
        <v>-73.937033</v>
      </c>
      <c r="R177" s="4">
        <v>40.825088000000001</v>
      </c>
      <c r="S177" s="4">
        <v>-73.938419999999994</v>
      </c>
      <c r="T177" s="2">
        <v>45282</v>
      </c>
      <c r="U177" t="s">
        <v>49</v>
      </c>
      <c r="V177" t="s">
        <v>50</v>
      </c>
      <c r="W177" t="s">
        <v>51</v>
      </c>
      <c r="X177" s="4">
        <v>9</v>
      </c>
      <c r="Y177" s="4">
        <v>16</v>
      </c>
      <c r="Z177" s="4">
        <v>22</v>
      </c>
      <c r="AA177" s="4">
        <v>40</v>
      </c>
      <c r="AB177" s="4">
        <v>7</v>
      </c>
      <c r="AE177" s="4">
        <v>35</v>
      </c>
      <c r="AF177" s="4">
        <v>49</v>
      </c>
      <c r="AG177" s="4">
        <v>10</v>
      </c>
      <c r="AL177" s="4">
        <v>94</v>
      </c>
      <c r="AN177" s="4">
        <v>94</v>
      </c>
      <c r="AO177" s="4">
        <v>94</v>
      </c>
    </row>
    <row r="178" spans="1:41" hidden="1" x14ac:dyDescent="0.2">
      <c r="A178" t="s">
        <v>541</v>
      </c>
      <c r="B178" t="s">
        <v>542</v>
      </c>
      <c r="C178" s="2">
        <v>45282</v>
      </c>
      <c r="D178" s="2">
        <v>45282</v>
      </c>
      <c r="E178" s="3">
        <v>805985</v>
      </c>
      <c r="F178" t="s">
        <v>547</v>
      </c>
      <c r="G178" t="s">
        <v>548</v>
      </c>
      <c r="H178" t="s">
        <v>45</v>
      </c>
      <c r="I178" s="3">
        <v>10039</v>
      </c>
      <c r="J178" s="3">
        <v>1020350001</v>
      </c>
      <c r="K178" s="3">
        <v>1084145</v>
      </c>
      <c r="L178" t="s">
        <v>146</v>
      </c>
      <c r="M178" s="4">
        <v>9</v>
      </c>
      <c r="N178" t="s">
        <v>544</v>
      </c>
      <c r="O178" t="s">
        <v>177</v>
      </c>
      <c r="P178" s="4">
        <v>40.824489999999997</v>
      </c>
      <c r="Q178" s="4">
        <v>-73.937914000000006</v>
      </c>
      <c r="R178" s="4">
        <v>40.825088000000001</v>
      </c>
      <c r="S178" s="4">
        <v>-73.938419999999994</v>
      </c>
      <c r="T178" s="2">
        <v>45282</v>
      </c>
      <c r="U178" t="s">
        <v>49</v>
      </c>
      <c r="V178" t="s">
        <v>50</v>
      </c>
      <c r="W178" t="s">
        <v>51</v>
      </c>
      <c r="X178" s="4">
        <v>12</v>
      </c>
      <c r="Y178" s="4">
        <v>14</v>
      </c>
      <c r="Z178" s="4">
        <v>28</v>
      </c>
      <c r="AA178" s="4">
        <v>28</v>
      </c>
      <c r="AB178" s="4">
        <v>2</v>
      </c>
      <c r="AE178" s="4">
        <v>17</v>
      </c>
      <c r="AF178" s="4">
        <v>62</v>
      </c>
      <c r="AG178" s="4">
        <v>5</v>
      </c>
      <c r="AL178" s="4">
        <v>84</v>
      </c>
      <c r="AN178" s="4">
        <v>84</v>
      </c>
      <c r="AO178" s="4">
        <v>84</v>
      </c>
    </row>
    <row r="179" spans="1:41" hidden="1" x14ac:dyDescent="0.2">
      <c r="A179" t="s">
        <v>541</v>
      </c>
      <c r="B179" t="s">
        <v>542</v>
      </c>
      <c r="C179" s="2">
        <v>45282</v>
      </c>
      <c r="D179" s="2">
        <v>45282</v>
      </c>
      <c r="E179" s="3">
        <v>805986</v>
      </c>
      <c r="F179" t="s">
        <v>320</v>
      </c>
      <c r="G179" t="s">
        <v>548</v>
      </c>
      <c r="H179" t="s">
        <v>45</v>
      </c>
      <c r="I179" s="3">
        <v>10039</v>
      </c>
      <c r="J179" s="3">
        <v>1020350001</v>
      </c>
      <c r="K179" s="3">
        <v>1084146</v>
      </c>
      <c r="L179" t="s">
        <v>146</v>
      </c>
      <c r="M179" s="4">
        <v>9</v>
      </c>
      <c r="N179" t="s">
        <v>544</v>
      </c>
      <c r="O179" t="s">
        <v>177</v>
      </c>
      <c r="P179" s="4">
        <v>40.824655</v>
      </c>
      <c r="Q179" s="4">
        <v>-73.938308000000006</v>
      </c>
      <c r="R179" s="4">
        <v>40.825088000000001</v>
      </c>
      <c r="S179" s="4">
        <v>-73.938419999999994</v>
      </c>
      <c r="T179" s="2">
        <v>45282</v>
      </c>
      <c r="U179" t="s">
        <v>49</v>
      </c>
      <c r="V179" t="s">
        <v>50</v>
      </c>
      <c r="W179" t="s">
        <v>51</v>
      </c>
      <c r="X179" s="4">
        <v>19</v>
      </c>
      <c r="Y179" s="4">
        <v>16</v>
      </c>
      <c r="Z179" s="4">
        <v>26</v>
      </c>
      <c r="AA179" s="4">
        <v>22</v>
      </c>
      <c r="AB179" s="4">
        <v>1</v>
      </c>
      <c r="AE179" s="4">
        <v>17</v>
      </c>
      <c r="AF179" s="4">
        <v>61</v>
      </c>
      <c r="AG179" s="4">
        <v>6</v>
      </c>
      <c r="AL179" s="4">
        <v>84</v>
      </c>
      <c r="AN179" s="4">
        <v>84</v>
      </c>
      <c r="AO179" s="4">
        <v>84</v>
      </c>
    </row>
    <row r="180" spans="1:41" hidden="1" x14ac:dyDescent="0.2">
      <c r="A180" t="s">
        <v>541</v>
      </c>
      <c r="B180" t="s">
        <v>542</v>
      </c>
      <c r="C180" s="2">
        <v>45282</v>
      </c>
      <c r="D180" s="2">
        <v>45282</v>
      </c>
      <c r="E180" s="3">
        <v>805989</v>
      </c>
      <c r="F180" t="s">
        <v>62</v>
      </c>
      <c r="G180" t="s">
        <v>549</v>
      </c>
      <c r="H180" t="s">
        <v>45</v>
      </c>
      <c r="I180" s="3">
        <v>10039</v>
      </c>
      <c r="J180" s="3">
        <v>1020350001</v>
      </c>
      <c r="K180" s="3">
        <v>1084147</v>
      </c>
      <c r="L180" t="s">
        <v>146</v>
      </c>
      <c r="M180" s="4">
        <v>9</v>
      </c>
      <c r="N180" t="s">
        <v>544</v>
      </c>
      <c r="O180" t="s">
        <v>177</v>
      </c>
      <c r="P180" s="4">
        <v>40.825066</v>
      </c>
      <c r="Q180" s="4">
        <v>-73.937404000000001</v>
      </c>
      <c r="R180" s="4">
        <v>40.825088000000001</v>
      </c>
      <c r="S180" s="4">
        <v>-73.938419999999994</v>
      </c>
      <c r="T180" s="2">
        <v>45282</v>
      </c>
      <c r="U180" t="s">
        <v>49</v>
      </c>
      <c r="V180" t="s">
        <v>50</v>
      </c>
      <c r="W180" t="s">
        <v>51</v>
      </c>
      <c r="X180" s="4">
        <v>13</v>
      </c>
      <c r="Y180" s="4">
        <v>17</v>
      </c>
      <c r="Z180" s="4">
        <v>25</v>
      </c>
      <c r="AA180" s="4">
        <v>28</v>
      </c>
      <c r="AB180" s="4">
        <v>1</v>
      </c>
      <c r="AE180" s="4">
        <v>20</v>
      </c>
      <c r="AF180" s="4">
        <v>62</v>
      </c>
      <c r="AG180" s="4">
        <v>2</v>
      </c>
      <c r="AL180" s="4">
        <v>84</v>
      </c>
      <c r="AN180" s="4">
        <v>84</v>
      </c>
      <c r="AO180" s="4">
        <v>84</v>
      </c>
    </row>
    <row r="181" spans="1:41" hidden="1" x14ac:dyDescent="0.2">
      <c r="A181" t="s">
        <v>541</v>
      </c>
      <c r="B181" t="s">
        <v>542</v>
      </c>
      <c r="C181" s="2">
        <v>45282</v>
      </c>
      <c r="D181" s="2">
        <v>45282</v>
      </c>
      <c r="E181" s="3">
        <v>805990</v>
      </c>
      <c r="F181" t="s">
        <v>222</v>
      </c>
      <c r="G181" t="s">
        <v>549</v>
      </c>
      <c r="H181" t="s">
        <v>45</v>
      </c>
      <c r="I181" s="3">
        <v>10039</v>
      </c>
      <c r="J181" s="3">
        <v>1020350001</v>
      </c>
      <c r="K181" s="3">
        <v>1084151</v>
      </c>
      <c r="L181" t="s">
        <v>146</v>
      </c>
      <c r="M181" s="4">
        <v>9</v>
      </c>
      <c r="N181" t="s">
        <v>544</v>
      </c>
      <c r="O181" t="s">
        <v>177</v>
      </c>
      <c r="P181" s="4">
        <v>40.825217000000002</v>
      </c>
      <c r="Q181" s="4">
        <v>-73.937762000000006</v>
      </c>
      <c r="R181" s="4">
        <v>40.825088000000001</v>
      </c>
      <c r="S181" s="4">
        <v>-73.938419999999994</v>
      </c>
      <c r="T181" s="2">
        <v>45282</v>
      </c>
      <c r="U181" t="s">
        <v>49</v>
      </c>
      <c r="V181" t="s">
        <v>50</v>
      </c>
      <c r="W181" t="s">
        <v>51</v>
      </c>
      <c r="X181" s="4">
        <v>12</v>
      </c>
      <c r="Y181" s="4">
        <v>15</v>
      </c>
      <c r="Z181" s="4">
        <v>27</v>
      </c>
      <c r="AA181" s="4">
        <v>29</v>
      </c>
      <c r="AB181" s="4">
        <v>1</v>
      </c>
      <c r="AE181" s="4">
        <v>17</v>
      </c>
      <c r="AF181" s="4">
        <v>58</v>
      </c>
      <c r="AG181" s="4">
        <v>9</v>
      </c>
      <c r="AL181" s="4">
        <v>84</v>
      </c>
      <c r="AN181" s="4">
        <v>84</v>
      </c>
      <c r="AO181" s="4">
        <v>84</v>
      </c>
    </row>
    <row r="182" spans="1:41" hidden="1" x14ac:dyDescent="0.2">
      <c r="A182" t="s">
        <v>550</v>
      </c>
      <c r="B182" t="s">
        <v>551</v>
      </c>
      <c r="C182" s="2">
        <v>45281</v>
      </c>
      <c r="E182" s="3">
        <v>1011318</v>
      </c>
      <c r="F182" t="s">
        <v>231</v>
      </c>
      <c r="G182" t="s">
        <v>552</v>
      </c>
      <c r="H182" t="s">
        <v>45</v>
      </c>
      <c r="I182" s="3">
        <v>10017</v>
      </c>
      <c r="J182" s="3">
        <v>1013190011</v>
      </c>
      <c r="K182" s="3">
        <v>1037587</v>
      </c>
      <c r="L182" t="s">
        <v>165</v>
      </c>
      <c r="M182" s="4">
        <v>4</v>
      </c>
      <c r="N182" t="s">
        <v>553</v>
      </c>
      <c r="O182" t="s">
        <v>554</v>
      </c>
      <c r="P182" s="4">
        <v>40.752395999999997</v>
      </c>
      <c r="Q182" s="4">
        <v>-73.972319999999996</v>
      </c>
      <c r="R182" s="4">
        <v>40.752524999999999</v>
      </c>
      <c r="S182" s="4">
        <v>-73.972064000000003</v>
      </c>
      <c r="U182" t="s">
        <v>117</v>
      </c>
      <c r="V182" t="s">
        <v>71</v>
      </c>
      <c r="W182" t="s">
        <v>51</v>
      </c>
      <c r="X182" s="4">
        <v>79</v>
      </c>
      <c r="Z182" s="4">
        <v>51</v>
      </c>
      <c r="AC182" s="4">
        <v>1</v>
      </c>
      <c r="AD182" s="4">
        <v>130</v>
      </c>
      <c r="AE182" s="4">
        <v>1</v>
      </c>
      <c r="AL182" s="4">
        <v>131</v>
      </c>
      <c r="AN182" s="4">
        <v>131</v>
      </c>
      <c r="AO182" s="4">
        <v>131</v>
      </c>
    </row>
    <row r="183" spans="1:41" hidden="1" x14ac:dyDescent="0.2">
      <c r="A183" t="s">
        <v>555</v>
      </c>
      <c r="B183" t="s">
        <v>556</v>
      </c>
      <c r="C183" s="2">
        <v>45281</v>
      </c>
      <c r="E183" s="3">
        <v>9822</v>
      </c>
      <c r="F183" t="s">
        <v>557</v>
      </c>
      <c r="G183" t="s">
        <v>558</v>
      </c>
      <c r="H183" t="s">
        <v>45</v>
      </c>
      <c r="I183" s="3">
        <v>10025</v>
      </c>
      <c r="J183" s="3">
        <v>1018410001</v>
      </c>
      <c r="K183" s="3">
        <v>1055592</v>
      </c>
      <c r="L183" t="s">
        <v>46</v>
      </c>
      <c r="M183" s="4">
        <v>7</v>
      </c>
      <c r="N183" t="s">
        <v>47</v>
      </c>
      <c r="O183" t="s">
        <v>48</v>
      </c>
      <c r="P183" s="4">
        <v>40.798710999999997</v>
      </c>
      <c r="Q183" s="4">
        <v>-73.963234999999997</v>
      </c>
      <c r="R183" s="4">
        <v>40.798555</v>
      </c>
      <c r="S183" s="4">
        <v>-73.962900000000005</v>
      </c>
      <c r="U183" t="s">
        <v>49</v>
      </c>
      <c r="V183" t="s">
        <v>71</v>
      </c>
      <c r="W183" t="s">
        <v>51</v>
      </c>
      <c r="X183" s="4">
        <v>29</v>
      </c>
      <c r="Y183" s="4">
        <v>2</v>
      </c>
      <c r="Z183" s="4">
        <v>1</v>
      </c>
      <c r="AD183" s="4">
        <v>5</v>
      </c>
      <c r="AE183" s="4">
        <v>22</v>
      </c>
      <c r="AF183" s="4">
        <v>5</v>
      </c>
      <c r="AL183" s="4">
        <v>32</v>
      </c>
      <c r="AN183" s="4">
        <v>32</v>
      </c>
      <c r="AO183" s="4">
        <v>32</v>
      </c>
    </row>
    <row r="184" spans="1:41" hidden="1" x14ac:dyDescent="0.2">
      <c r="A184" t="s">
        <v>555</v>
      </c>
      <c r="B184" t="s">
        <v>556</v>
      </c>
      <c r="C184" s="2">
        <v>45281</v>
      </c>
      <c r="E184" s="3">
        <v>9860</v>
      </c>
      <c r="F184" t="s">
        <v>559</v>
      </c>
      <c r="G184" t="s">
        <v>558</v>
      </c>
      <c r="H184" t="s">
        <v>45</v>
      </c>
      <c r="I184" s="3">
        <v>10025</v>
      </c>
      <c r="J184" s="3">
        <v>1018630029</v>
      </c>
      <c r="K184" s="3">
        <v>1079464</v>
      </c>
      <c r="L184" t="s">
        <v>46</v>
      </c>
      <c r="M184" s="4">
        <v>7</v>
      </c>
      <c r="N184" t="s">
        <v>54</v>
      </c>
      <c r="O184" t="s">
        <v>48</v>
      </c>
      <c r="P184" s="4">
        <v>40.800801999999997</v>
      </c>
      <c r="Q184" s="4">
        <v>-73.961738999999994</v>
      </c>
      <c r="R184" s="4">
        <v>40.800989000000001</v>
      </c>
      <c r="S184" s="4">
        <v>-73.961999000000006</v>
      </c>
      <c r="U184" t="s">
        <v>49</v>
      </c>
      <c r="V184" t="s">
        <v>71</v>
      </c>
      <c r="W184" t="s">
        <v>51</v>
      </c>
      <c r="X184" s="4">
        <v>20</v>
      </c>
      <c r="Y184" s="4">
        <v>8</v>
      </c>
      <c r="Z184" s="4">
        <v>1</v>
      </c>
      <c r="AB184" s="4">
        <v>1</v>
      </c>
      <c r="AE184" s="4">
        <v>12</v>
      </c>
      <c r="AF184" s="4">
        <v>17</v>
      </c>
      <c r="AG184" s="4">
        <v>1</v>
      </c>
      <c r="AL184" s="4">
        <v>30</v>
      </c>
      <c r="AN184" s="4">
        <v>30</v>
      </c>
      <c r="AO184" s="4">
        <v>30</v>
      </c>
    </row>
    <row r="185" spans="1:41" hidden="1" x14ac:dyDescent="0.2">
      <c r="A185" t="s">
        <v>555</v>
      </c>
      <c r="B185" t="s">
        <v>556</v>
      </c>
      <c r="C185" s="2">
        <v>45281</v>
      </c>
      <c r="E185" s="3">
        <v>1006039</v>
      </c>
      <c r="F185" t="s">
        <v>560</v>
      </c>
      <c r="G185" t="s">
        <v>558</v>
      </c>
      <c r="H185" t="s">
        <v>45</v>
      </c>
      <c r="I185" s="3">
        <v>10025</v>
      </c>
      <c r="J185" s="3">
        <v>1018630029</v>
      </c>
      <c r="K185" s="3">
        <v>1079465</v>
      </c>
      <c r="L185" t="s">
        <v>46</v>
      </c>
      <c r="M185" s="4">
        <v>7</v>
      </c>
      <c r="N185" t="s">
        <v>54</v>
      </c>
      <c r="O185" t="s">
        <v>48</v>
      </c>
      <c r="P185" s="4">
        <v>40.800961000000001</v>
      </c>
      <c r="Q185" s="4">
        <v>-73.961623000000003</v>
      </c>
      <c r="R185" s="4">
        <v>40.800989000000001</v>
      </c>
      <c r="S185" s="4">
        <v>-73.961999000000006</v>
      </c>
      <c r="U185" t="s">
        <v>49</v>
      </c>
      <c r="V185" t="s">
        <v>71</v>
      </c>
      <c r="W185" t="s">
        <v>51</v>
      </c>
      <c r="X185" s="4">
        <v>24</v>
      </c>
      <c r="Y185" s="4">
        <v>3</v>
      </c>
      <c r="Z185" s="4">
        <v>1</v>
      </c>
      <c r="AA185" s="4">
        <v>1</v>
      </c>
      <c r="AC185" s="4">
        <v>1</v>
      </c>
      <c r="AE185" s="4">
        <v>8</v>
      </c>
      <c r="AF185" s="4">
        <v>22</v>
      </c>
      <c r="AL185" s="4">
        <v>30</v>
      </c>
      <c r="AN185" s="4">
        <v>30</v>
      </c>
      <c r="AO185" s="4">
        <v>30</v>
      </c>
    </row>
    <row r="186" spans="1:41" hidden="1" x14ac:dyDescent="0.2">
      <c r="A186" t="s">
        <v>561</v>
      </c>
      <c r="B186" t="s">
        <v>562</v>
      </c>
      <c r="C186" s="2">
        <v>45281</v>
      </c>
      <c r="D186" s="2">
        <v>45281</v>
      </c>
      <c r="E186" s="3">
        <v>875382</v>
      </c>
      <c r="F186" t="s">
        <v>322</v>
      </c>
      <c r="G186" t="s">
        <v>563</v>
      </c>
      <c r="H186" t="s">
        <v>45</v>
      </c>
      <c r="I186" s="3">
        <v>10034</v>
      </c>
      <c r="J186" s="3">
        <v>1022180035</v>
      </c>
      <c r="K186" s="3">
        <v>1087447</v>
      </c>
      <c r="L186" t="s">
        <v>114</v>
      </c>
      <c r="M186" s="4">
        <v>10</v>
      </c>
      <c r="N186" t="s">
        <v>564</v>
      </c>
      <c r="O186" t="s">
        <v>391</v>
      </c>
      <c r="P186" s="4">
        <v>40.862659000000001</v>
      </c>
      <c r="Q186" s="4">
        <v>-73.921856000000005</v>
      </c>
      <c r="R186" s="4">
        <v>40.863007000000003</v>
      </c>
      <c r="S186" s="4">
        <v>-73.922015000000002</v>
      </c>
      <c r="T186" s="2">
        <v>45281</v>
      </c>
      <c r="U186" t="s">
        <v>49</v>
      </c>
      <c r="V186" t="s">
        <v>50</v>
      </c>
      <c r="W186" t="s">
        <v>51</v>
      </c>
      <c r="Y186" s="4">
        <v>89</v>
      </c>
      <c r="Z186" s="4">
        <v>8</v>
      </c>
      <c r="AA186" s="4">
        <v>2</v>
      </c>
      <c r="AC186" s="4">
        <v>1</v>
      </c>
      <c r="AD186" s="4">
        <v>16</v>
      </c>
      <c r="AE186" s="4">
        <v>34</v>
      </c>
      <c r="AF186" s="4">
        <v>50</v>
      </c>
      <c r="AL186" s="4">
        <v>100</v>
      </c>
      <c r="AN186" s="4">
        <v>100</v>
      </c>
      <c r="AO186" s="4">
        <v>100</v>
      </c>
    </row>
    <row r="187" spans="1:41" hidden="1" x14ac:dyDescent="0.2">
      <c r="A187" t="s">
        <v>565</v>
      </c>
      <c r="B187" t="s">
        <v>566</v>
      </c>
      <c r="C187" s="2">
        <v>45280</v>
      </c>
      <c r="E187" s="3">
        <v>27311</v>
      </c>
      <c r="F187" t="s">
        <v>567</v>
      </c>
      <c r="G187" t="s">
        <v>230</v>
      </c>
      <c r="H187" t="s">
        <v>45</v>
      </c>
      <c r="I187" s="3">
        <v>10031</v>
      </c>
      <c r="J187" s="3">
        <v>1020020002</v>
      </c>
      <c r="K187" s="3">
        <v>1059949</v>
      </c>
      <c r="L187" t="s">
        <v>169</v>
      </c>
      <c r="M187" s="4">
        <v>7</v>
      </c>
      <c r="N187" t="s">
        <v>412</v>
      </c>
      <c r="O187" t="s">
        <v>171</v>
      </c>
      <c r="P187" s="4">
        <v>40.821356000000002</v>
      </c>
      <c r="Q187" s="4">
        <v>-73.957193000000004</v>
      </c>
      <c r="R187" s="4">
        <v>40.821182999999998</v>
      </c>
      <c r="S187" s="4">
        <v>-73.956929000000002</v>
      </c>
      <c r="U187" t="s">
        <v>49</v>
      </c>
      <c r="V187" t="s">
        <v>71</v>
      </c>
      <c r="W187" t="s">
        <v>51</v>
      </c>
      <c r="X187" s="4">
        <v>26</v>
      </c>
      <c r="Y187" s="4">
        <v>19</v>
      </c>
      <c r="Z187" s="4">
        <v>23</v>
      </c>
      <c r="AA187" s="4">
        <v>1</v>
      </c>
      <c r="AC187" s="4">
        <v>1</v>
      </c>
      <c r="AD187" s="4">
        <v>27</v>
      </c>
      <c r="AE187" s="4">
        <v>17</v>
      </c>
      <c r="AF187" s="4">
        <v>14</v>
      </c>
      <c r="AG187" s="4">
        <v>12</v>
      </c>
      <c r="AL187" s="4">
        <v>70</v>
      </c>
      <c r="AN187" s="4">
        <v>70</v>
      </c>
      <c r="AO187" s="4">
        <v>70</v>
      </c>
    </row>
    <row r="188" spans="1:41" hidden="1" x14ac:dyDescent="0.2">
      <c r="A188" t="s">
        <v>568</v>
      </c>
      <c r="B188" t="s">
        <v>569</v>
      </c>
      <c r="C188" s="2">
        <v>45279</v>
      </c>
      <c r="E188" s="3">
        <v>39386</v>
      </c>
      <c r="F188" t="s">
        <v>570</v>
      </c>
      <c r="G188" t="s">
        <v>145</v>
      </c>
      <c r="H188" t="s">
        <v>45</v>
      </c>
      <c r="I188" s="3">
        <v>10027</v>
      </c>
      <c r="J188" s="3">
        <v>1019770046</v>
      </c>
      <c r="K188" s="3">
        <v>1059686</v>
      </c>
      <c r="L188" t="s">
        <v>169</v>
      </c>
      <c r="M188" s="4">
        <v>7</v>
      </c>
      <c r="N188" t="s">
        <v>547</v>
      </c>
      <c r="O188" t="s">
        <v>251</v>
      </c>
      <c r="P188" s="4">
        <v>40.811821000000002</v>
      </c>
      <c r="Q188" s="4">
        <v>-73.959160999999995</v>
      </c>
      <c r="R188" s="4">
        <v>40.811604000000003</v>
      </c>
      <c r="S188" s="4">
        <v>-73.959210999999996</v>
      </c>
      <c r="U188" t="s">
        <v>49</v>
      </c>
      <c r="V188" t="s">
        <v>71</v>
      </c>
      <c r="W188" t="s">
        <v>51</v>
      </c>
      <c r="X188" s="4">
        <v>19</v>
      </c>
      <c r="Y188" s="4">
        <v>23</v>
      </c>
      <c r="AD188" s="4">
        <v>40</v>
      </c>
      <c r="AE188" s="4">
        <v>1</v>
      </c>
      <c r="AF188" s="4">
        <v>1</v>
      </c>
      <c r="AL188" s="4">
        <v>42</v>
      </c>
      <c r="AN188" s="4">
        <v>42</v>
      </c>
      <c r="AO188" s="4">
        <v>42</v>
      </c>
    </row>
    <row r="189" spans="1:41" hidden="1" x14ac:dyDescent="0.2">
      <c r="A189" t="s">
        <v>571</v>
      </c>
      <c r="B189" t="s">
        <v>572</v>
      </c>
      <c r="C189" s="2">
        <v>45268</v>
      </c>
      <c r="D189" s="2">
        <v>45268</v>
      </c>
      <c r="E189" s="3">
        <v>37598</v>
      </c>
      <c r="F189" t="s">
        <v>573</v>
      </c>
      <c r="G189" t="s">
        <v>53</v>
      </c>
      <c r="H189" t="s">
        <v>45</v>
      </c>
      <c r="I189" s="3">
        <v>10025</v>
      </c>
      <c r="J189" s="3">
        <v>1018610010</v>
      </c>
      <c r="K189" s="3">
        <v>1055957</v>
      </c>
      <c r="L189" t="s">
        <v>46</v>
      </c>
      <c r="M189" s="4">
        <v>7</v>
      </c>
      <c r="N189" t="s">
        <v>54</v>
      </c>
      <c r="O189" t="s">
        <v>48</v>
      </c>
      <c r="P189" s="4">
        <v>40.800111000000001</v>
      </c>
      <c r="Q189" s="4">
        <v>-73.964913999999993</v>
      </c>
      <c r="R189" s="4">
        <v>40.800280999999998</v>
      </c>
      <c r="S189" s="4">
        <v>-73.964198999999994</v>
      </c>
      <c r="T189" s="2">
        <v>45268</v>
      </c>
      <c r="U189" t="s">
        <v>49</v>
      </c>
      <c r="V189" t="s">
        <v>50</v>
      </c>
      <c r="W189" t="s">
        <v>51</v>
      </c>
      <c r="X189" s="4">
        <v>210</v>
      </c>
      <c r="Y189" s="4">
        <v>12</v>
      </c>
      <c r="Z189" s="4">
        <v>3</v>
      </c>
      <c r="AB189" s="4">
        <v>4</v>
      </c>
      <c r="AC189" s="4">
        <v>1</v>
      </c>
      <c r="AD189" s="4">
        <v>26</v>
      </c>
      <c r="AE189" s="4">
        <v>203</v>
      </c>
      <c r="AF189" s="4">
        <v>1</v>
      </c>
      <c r="AL189" s="4">
        <v>230</v>
      </c>
      <c r="AN189" s="4">
        <v>230</v>
      </c>
      <c r="AO189" s="4">
        <v>230</v>
      </c>
    </row>
    <row r="190" spans="1:41" hidden="1" x14ac:dyDescent="0.2">
      <c r="A190" t="s">
        <v>574</v>
      </c>
      <c r="B190" t="s">
        <v>575</v>
      </c>
      <c r="C190" s="2">
        <v>45267</v>
      </c>
      <c r="D190" s="2">
        <v>45267</v>
      </c>
      <c r="E190" s="3">
        <v>804646</v>
      </c>
      <c r="F190" t="s">
        <v>576</v>
      </c>
      <c r="G190" t="s">
        <v>577</v>
      </c>
      <c r="H190" t="s">
        <v>45</v>
      </c>
      <c r="I190" s="3">
        <v>10029</v>
      </c>
      <c r="J190" s="3">
        <v>1016130006</v>
      </c>
      <c r="K190" s="3">
        <v>1076337</v>
      </c>
      <c r="L190" t="s">
        <v>153</v>
      </c>
      <c r="M190" s="4">
        <v>9</v>
      </c>
      <c r="N190" t="s">
        <v>578</v>
      </c>
      <c r="O190" t="s">
        <v>267</v>
      </c>
      <c r="P190" s="4">
        <v>40.795200999999999</v>
      </c>
      <c r="Q190" s="4">
        <v>-73.949263999999999</v>
      </c>
      <c r="R190" s="4">
        <v>40.794849999999997</v>
      </c>
      <c r="S190" s="4">
        <v>-73.949383999999995</v>
      </c>
      <c r="T190" s="2">
        <v>45267</v>
      </c>
      <c r="U190" t="s">
        <v>49</v>
      </c>
      <c r="V190" t="s">
        <v>50</v>
      </c>
      <c r="W190" t="s">
        <v>51</v>
      </c>
      <c r="X190" s="4">
        <v>189</v>
      </c>
      <c r="Y190" s="4">
        <v>53</v>
      </c>
      <c r="Z190" s="4">
        <v>20</v>
      </c>
      <c r="AA190" s="4">
        <v>5</v>
      </c>
      <c r="AB190" s="4">
        <v>4</v>
      </c>
      <c r="AC190" s="4">
        <v>1</v>
      </c>
      <c r="AE190" s="4">
        <v>50</v>
      </c>
      <c r="AF190" s="4">
        <v>162</v>
      </c>
      <c r="AG190" s="4">
        <v>60</v>
      </c>
      <c r="AL190" s="4">
        <v>272</v>
      </c>
      <c r="AN190" s="4">
        <v>272</v>
      </c>
      <c r="AO190" s="4">
        <v>272</v>
      </c>
    </row>
    <row r="191" spans="1:41" hidden="1" x14ac:dyDescent="0.2">
      <c r="A191" t="s">
        <v>579</v>
      </c>
      <c r="B191" t="s">
        <v>140</v>
      </c>
      <c r="C191" s="2">
        <v>45261</v>
      </c>
      <c r="F191" t="s">
        <v>141</v>
      </c>
      <c r="G191" t="s">
        <v>141</v>
      </c>
      <c r="H191" t="s">
        <v>45</v>
      </c>
      <c r="L191" t="s">
        <v>64</v>
      </c>
      <c r="M191" s="4">
        <v>2</v>
      </c>
      <c r="U191" t="s">
        <v>117</v>
      </c>
      <c r="V191" t="s">
        <v>71</v>
      </c>
      <c r="W191" t="s">
        <v>51</v>
      </c>
      <c r="X191" s="4">
        <v>74</v>
      </c>
      <c r="AC191" s="4">
        <v>1</v>
      </c>
      <c r="AD191" s="4">
        <v>50</v>
      </c>
      <c r="AE191" s="4">
        <v>10</v>
      </c>
      <c r="AF191" s="4">
        <v>5</v>
      </c>
      <c r="AG191" s="4">
        <v>10</v>
      </c>
      <c r="AL191" s="4">
        <v>75</v>
      </c>
      <c r="AN191" s="4">
        <v>75</v>
      </c>
      <c r="AO191" s="4">
        <v>75</v>
      </c>
    </row>
    <row r="192" spans="1:41" hidden="1" x14ac:dyDescent="0.2">
      <c r="A192" t="s">
        <v>580</v>
      </c>
      <c r="B192" t="s">
        <v>140</v>
      </c>
      <c r="C192" s="2">
        <v>45260</v>
      </c>
      <c r="D192" s="2">
        <v>45260</v>
      </c>
      <c r="F192" t="s">
        <v>141</v>
      </c>
      <c r="G192" t="s">
        <v>141</v>
      </c>
      <c r="H192" t="s">
        <v>45</v>
      </c>
      <c r="L192" t="s">
        <v>46</v>
      </c>
      <c r="M192" s="4">
        <v>6</v>
      </c>
      <c r="T192" s="2">
        <v>45260</v>
      </c>
      <c r="U192" t="s">
        <v>117</v>
      </c>
      <c r="V192" t="s">
        <v>71</v>
      </c>
      <c r="W192" t="s">
        <v>51</v>
      </c>
      <c r="Z192" s="4">
        <v>1</v>
      </c>
      <c r="AE192" s="4">
        <v>1</v>
      </c>
      <c r="AM192" s="4">
        <v>1</v>
      </c>
      <c r="AN192" s="4">
        <v>1</v>
      </c>
      <c r="AO192" s="4">
        <v>1</v>
      </c>
    </row>
    <row r="193" spans="1:41" hidden="1" x14ac:dyDescent="0.2">
      <c r="A193" t="s">
        <v>581</v>
      </c>
      <c r="B193" t="s">
        <v>582</v>
      </c>
      <c r="C193" s="2">
        <v>45260</v>
      </c>
      <c r="E193" s="3">
        <v>14156</v>
      </c>
      <c r="F193" t="s">
        <v>544</v>
      </c>
      <c r="G193" t="s">
        <v>583</v>
      </c>
      <c r="H193" t="s">
        <v>45</v>
      </c>
      <c r="I193" s="3">
        <v>10022</v>
      </c>
      <c r="J193" s="3">
        <v>1013250036</v>
      </c>
      <c r="K193" s="3">
        <v>1038480</v>
      </c>
      <c r="L193" t="s">
        <v>165</v>
      </c>
      <c r="M193" s="4">
        <v>4</v>
      </c>
      <c r="N193" t="s">
        <v>584</v>
      </c>
      <c r="O193" t="s">
        <v>554</v>
      </c>
      <c r="P193" s="4">
        <v>40.756698999999998</v>
      </c>
      <c r="Q193" s="4">
        <v>-73.968973000000005</v>
      </c>
      <c r="R193" s="4">
        <v>40.756304</v>
      </c>
      <c r="S193" s="4">
        <v>-73.968619000000004</v>
      </c>
      <c r="U193" t="s">
        <v>117</v>
      </c>
      <c r="V193" t="s">
        <v>71</v>
      </c>
      <c r="W193" t="s">
        <v>51</v>
      </c>
      <c r="AB193" s="4">
        <v>9</v>
      </c>
      <c r="AE193" s="4">
        <v>9</v>
      </c>
      <c r="AL193" s="4">
        <v>9</v>
      </c>
      <c r="AN193" s="4">
        <v>9</v>
      </c>
      <c r="AO193" s="4">
        <v>9</v>
      </c>
    </row>
    <row r="194" spans="1:41" hidden="1" x14ac:dyDescent="0.2">
      <c r="A194" t="s">
        <v>585</v>
      </c>
      <c r="B194" t="s">
        <v>586</v>
      </c>
      <c r="C194" s="2">
        <v>45259</v>
      </c>
      <c r="D194" s="2">
        <v>45259</v>
      </c>
      <c r="E194" s="3">
        <v>35998</v>
      </c>
      <c r="F194" t="s">
        <v>587</v>
      </c>
      <c r="G194" t="s">
        <v>588</v>
      </c>
      <c r="H194" t="s">
        <v>45</v>
      </c>
      <c r="I194" s="3">
        <v>10024</v>
      </c>
      <c r="J194" s="3">
        <v>1012130042</v>
      </c>
      <c r="K194" s="3">
        <v>1032080</v>
      </c>
      <c r="L194" t="s">
        <v>46</v>
      </c>
      <c r="M194" s="4">
        <v>6</v>
      </c>
      <c r="N194" t="s">
        <v>95</v>
      </c>
      <c r="O194" t="s">
        <v>285</v>
      </c>
      <c r="P194" s="4">
        <v>40.784897000000001</v>
      </c>
      <c r="Q194" s="4">
        <v>-73.974473000000003</v>
      </c>
      <c r="R194" s="4">
        <v>40.784807000000001</v>
      </c>
      <c r="S194" s="4">
        <v>-73.974823999999998</v>
      </c>
      <c r="T194" s="2">
        <v>45259</v>
      </c>
      <c r="U194" t="s">
        <v>49</v>
      </c>
      <c r="V194" t="s">
        <v>50</v>
      </c>
      <c r="W194" t="s">
        <v>51</v>
      </c>
      <c r="Y194" s="4">
        <v>35</v>
      </c>
      <c r="Z194" s="4">
        <v>36</v>
      </c>
      <c r="AC194" s="4">
        <v>1</v>
      </c>
      <c r="AD194" s="4">
        <v>16</v>
      </c>
      <c r="AE194" s="4">
        <v>38</v>
      </c>
      <c r="AF194" s="4">
        <v>13</v>
      </c>
      <c r="AG194" s="4">
        <v>5</v>
      </c>
      <c r="AL194" s="4">
        <v>72</v>
      </c>
      <c r="AN194" s="4">
        <v>72</v>
      </c>
      <c r="AO194" s="4">
        <v>72</v>
      </c>
    </row>
    <row r="195" spans="1:41" hidden="1" x14ac:dyDescent="0.2">
      <c r="A195" t="s">
        <v>589</v>
      </c>
      <c r="B195" t="s">
        <v>590</v>
      </c>
      <c r="C195" s="2">
        <v>45251</v>
      </c>
      <c r="E195" s="3">
        <v>1010903</v>
      </c>
      <c r="F195" t="s">
        <v>591</v>
      </c>
      <c r="G195" t="s">
        <v>592</v>
      </c>
      <c r="H195" t="s">
        <v>45</v>
      </c>
      <c r="I195" s="3">
        <v>10022</v>
      </c>
      <c r="J195" s="3">
        <v>1013420051</v>
      </c>
      <c r="K195" s="3">
        <v>1000000</v>
      </c>
      <c r="L195" t="s">
        <v>165</v>
      </c>
      <c r="M195" s="4">
        <v>4</v>
      </c>
      <c r="N195" t="s">
        <v>584</v>
      </c>
      <c r="O195" t="s">
        <v>554</v>
      </c>
      <c r="P195" s="4">
        <v>40.754719999999999</v>
      </c>
      <c r="Q195" s="4">
        <v>-73.968171999999996</v>
      </c>
      <c r="R195" s="4">
        <v>40.754550000000002</v>
      </c>
      <c r="S195" s="4">
        <v>-73.968331000000006</v>
      </c>
      <c r="U195" t="s">
        <v>117</v>
      </c>
      <c r="V195" t="s">
        <v>71</v>
      </c>
      <c r="W195" t="s">
        <v>51</v>
      </c>
      <c r="Z195" s="4">
        <v>9</v>
      </c>
      <c r="AD195" s="4">
        <v>1</v>
      </c>
      <c r="AE195" s="4">
        <v>5</v>
      </c>
      <c r="AF195" s="4">
        <v>2</v>
      </c>
      <c r="AG195" s="4">
        <v>1</v>
      </c>
      <c r="AL195" s="4">
        <v>9</v>
      </c>
      <c r="AN195" s="4">
        <v>9</v>
      </c>
      <c r="AO195" s="4">
        <v>194</v>
      </c>
    </row>
    <row r="196" spans="1:41" hidden="1" x14ac:dyDescent="0.2">
      <c r="A196" t="s">
        <v>593</v>
      </c>
      <c r="B196" t="s">
        <v>594</v>
      </c>
      <c r="C196" s="2">
        <v>45246</v>
      </c>
      <c r="E196" s="3">
        <v>1010810</v>
      </c>
      <c r="F196" t="s">
        <v>595</v>
      </c>
      <c r="G196" t="s">
        <v>237</v>
      </c>
      <c r="H196" t="s">
        <v>45</v>
      </c>
      <c r="I196" s="3">
        <v>10065</v>
      </c>
      <c r="J196" s="3">
        <v>1013950039</v>
      </c>
      <c r="K196" s="3">
        <v>1000000</v>
      </c>
      <c r="L196" t="s">
        <v>107</v>
      </c>
      <c r="M196" s="4">
        <v>4</v>
      </c>
      <c r="N196" t="s">
        <v>596</v>
      </c>
      <c r="O196" t="s">
        <v>129</v>
      </c>
      <c r="P196" s="4">
        <v>40.762667999999998</v>
      </c>
      <c r="Q196" s="4">
        <v>-73.965785999999994</v>
      </c>
      <c r="R196" s="4">
        <v>40.762734000000002</v>
      </c>
      <c r="S196" s="4">
        <v>-73.966093000000001</v>
      </c>
      <c r="U196" t="s">
        <v>117</v>
      </c>
      <c r="V196" t="s">
        <v>71</v>
      </c>
      <c r="W196" t="s">
        <v>51</v>
      </c>
      <c r="Z196" s="4">
        <v>6</v>
      </c>
      <c r="AB196" s="4">
        <v>21</v>
      </c>
      <c r="AD196" s="4">
        <v>12</v>
      </c>
      <c r="AE196" s="4">
        <v>11</v>
      </c>
      <c r="AF196" s="4">
        <v>4</v>
      </c>
      <c r="AL196" s="4">
        <v>27</v>
      </c>
      <c r="AN196" s="4">
        <v>27</v>
      </c>
      <c r="AO196" s="4">
        <v>108</v>
      </c>
    </row>
    <row r="197" spans="1:41" hidden="1" x14ac:dyDescent="0.2">
      <c r="A197" t="s">
        <v>597</v>
      </c>
      <c r="B197" t="s">
        <v>598</v>
      </c>
      <c r="C197" s="2">
        <v>45198</v>
      </c>
      <c r="E197" s="3">
        <v>1010284</v>
      </c>
      <c r="F197" t="s">
        <v>599</v>
      </c>
      <c r="G197" t="s">
        <v>237</v>
      </c>
      <c r="H197" t="s">
        <v>45</v>
      </c>
      <c r="I197" s="3">
        <v>10029</v>
      </c>
      <c r="J197" s="3">
        <v>1016370033</v>
      </c>
      <c r="K197" s="3">
        <v>1000000</v>
      </c>
      <c r="L197" t="s">
        <v>153</v>
      </c>
      <c r="M197" s="4">
        <v>8</v>
      </c>
      <c r="N197" t="s">
        <v>600</v>
      </c>
      <c r="O197" t="s">
        <v>267</v>
      </c>
      <c r="P197" s="4">
        <v>40.793590000000002</v>
      </c>
      <c r="Q197" s="4">
        <v>-73.943212000000003</v>
      </c>
      <c r="R197" s="4">
        <v>40.793796</v>
      </c>
      <c r="S197" s="4">
        <v>-73.943447000000006</v>
      </c>
      <c r="U197" t="s">
        <v>117</v>
      </c>
      <c r="V197" t="s">
        <v>71</v>
      </c>
      <c r="W197" t="s">
        <v>51</v>
      </c>
      <c r="Y197" s="4">
        <v>10</v>
      </c>
      <c r="Z197" s="4">
        <v>10</v>
      </c>
      <c r="AA197" s="4">
        <v>3</v>
      </c>
      <c r="AD197" s="4">
        <v>4</v>
      </c>
      <c r="AE197" s="4">
        <v>7</v>
      </c>
      <c r="AF197" s="4">
        <v>12</v>
      </c>
      <c r="AL197" s="4">
        <v>23</v>
      </c>
      <c r="AN197" s="4">
        <v>23</v>
      </c>
      <c r="AO197" s="4">
        <v>100</v>
      </c>
    </row>
    <row r="198" spans="1:41" hidden="1" x14ac:dyDescent="0.2">
      <c r="A198" t="s">
        <v>601</v>
      </c>
      <c r="B198" t="s">
        <v>602</v>
      </c>
      <c r="C198" s="2">
        <v>45190</v>
      </c>
      <c r="E198" s="3">
        <v>6605</v>
      </c>
      <c r="F198" t="s">
        <v>553</v>
      </c>
      <c r="G198" t="s">
        <v>195</v>
      </c>
      <c r="H198" t="s">
        <v>45</v>
      </c>
      <c r="I198" s="3">
        <v>10009</v>
      </c>
      <c r="J198" s="3">
        <v>1003760001</v>
      </c>
      <c r="K198" s="3">
        <v>1091013</v>
      </c>
      <c r="L198" t="s">
        <v>64</v>
      </c>
      <c r="M198" s="4">
        <v>2</v>
      </c>
      <c r="N198" t="s">
        <v>603</v>
      </c>
      <c r="O198" t="s">
        <v>197</v>
      </c>
      <c r="P198" s="4">
        <v>40.723545000000001</v>
      </c>
      <c r="Q198" s="4">
        <v>-73.979237999999995</v>
      </c>
      <c r="R198" s="4">
        <v>40.723537</v>
      </c>
      <c r="S198" s="4">
        <v>-73.978995999999995</v>
      </c>
      <c r="U198" t="s">
        <v>117</v>
      </c>
      <c r="V198" t="s">
        <v>71</v>
      </c>
      <c r="W198" t="s">
        <v>51</v>
      </c>
      <c r="Z198" s="4">
        <v>1</v>
      </c>
      <c r="AB198" s="4">
        <v>2</v>
      </c>
      <c r="AE198" s="4">
        <v>2</v>
      </c>
      <c r="AF198" s="4">
        <v>1</v>
      </c>
      <c r="AL198" s="4">
        <v>3</v>
      </c>
      <c r="AN198" s="4">
        <v>3</v>
      </c>
      <c r="AO198" s="4">
        <v>10</v>
      </c>
    </row>
    <row r="199" spans="1:41" hidden="1" x14ac:dyDescent="0.2">
      <c r="A199" t="s">
        <v>604</v>
      </c>
      <c r="B199" t="s">
        <v>605</v>
      </c>
      <c r="C199" s="2">
        <v>45190</v>
      </c>
      <c r="D199" s="2">
        <v>45826</v>
      </c>
      <c r="E199" s="3">
        <v>11556</v>
      </c>
      <c r="F199" t="s">
        <v>81</v>
      </c>
      <c r="G199" t="s">
        <v>606</v>
      </c>
      <c r="H199" t="s">
        <v>45</v>
      </c>
      <c r="I199" s="3">
        <v>10009</v>
      </c>
      <c r="J199" s="3">
        <v>1003930059</v>
      </c>
      <c r="K199" s="3">
        <v>1091774</v>
      </c>
      <c r="L199" t="s">
        <v>64</v>
      </c>
      <c r="M199" s="4">
        <v>2</v>
      </c>
      <c r="N199" t="s">
        <v>607</v>
      </c>
      <c r="O199" t="s">
        <v>197</v>
      </c>
      <c r="P199" s="4">
        <v>40.726671000000003</v>
      </c>
      <c r="Q199" s="4">
        <v>-73.979416999999998</v>
      </c>
      <c r="R199" s="4">
        <v>40.726818999999999</v>
      </c>
      <c r="S199" s="4">
        <v>-73.979225999999997</v>
      </c>
      <c r="T199" s="2">
        <v>45826</v>
      </c>
      <c r="U199" t="s">
        <v>117</v>
      </c>
      <c r="V199" t="s">
        <v>71</v>
      </c>
      <c r="W199" t="s">
        <v>51</v>
      </c>
      <c r="Z199" s="4">
        <v>3</v>
      </c>
      <c r="AB199" s="4">
        <v>8</v>
      </c>
      <c r="AD199" s="4">
        <v>2</v>
      </c>
      <c r="AE199" s="4">
        <v>6</v>
      </c>
      <c r="AF199" s="4">
        <v>3</v>
      </c>
      <c r="AL199" s="4">
        <v>11</v>
      </c>
      <c r="AN199" s="4">
        <v>11</v>
      </c>
      <c r="AO199" s="4">
        <v>28</v>
      </c>
    </row>
    <row r="200" spans="1:41" hidden="1" x14ac:dyDescent="0.2">
      <c r="A200" t="s">
        <v>608</v>
      </c>
      <c r="B200" t="s">
        <v>609</v>
      </c>
      <c r="C200" s="2">
        <v>45182</v>
      </c>
      <c r="E200" s="3">
        <v>1003249</v>
      </c>
      <c r="F200" t="s">
        <v>610</v>
      </c>
      <c r="G200" t="s">
        <v>611</v>
      </c>
      <c r="H200" t="s">
        <v>45</v>
      </c>
      <c r="I200" s="3">
        <v>10034</v>
      </c>
      <c r="J200" s="3">
        <v>1021890060</v>
      </c>
      <c r="K200" s="3">
        <v>1000000</v>
      </c>
      <c r="L200" t="s">
        <v>114</v>
      </c>
      <c r="M200" s="4">
        <v>10</v>
      </c>
      <c r="N200" t="s">
        <v>612</v>
      </c>
      <c r="O200" t="s">
        <v>391</v>
      </c>
      <c r="P200" s="4">
        <v>40.863813999999998</v>
      </c>
      <c r="Q200" s="4">
        <v>-73.917343000000002</v>
      </c>
      <c r="R200" s="4">
        <v>40.864165</v>
      </c>
      <c r="S200" s="4">
        <v>-73.917411000000001</v>
      </c>
      <c r="U200" t="s">
        <v>117</v>
      </c>
      <c r="V200" t="s">
        <v>71</v>
      </c>
      <c r="W200" t="s">
        <v>51</v>
      </c>
      <c r="Y200" s="4">
        <v>28</v>
      </c>
      <c r="Z200" s="4">
        <v>28</v>
      </c>
      <c r="AA200" s="4">
        <v>12</v>
      </c>
      <c r="AD200" s="4">
        <v>15</v>
      </c>
      <c r="AE200" s="4">
        <v>18</v>
      </c>
      <c r="AF200" s="4">
        <v>35</v>
      </c>
      <c r="AL200" s="4">
        <v>68</v>
      </c>
      <c r="AN200" s="4">
        <v>68</v>
      </c>
      <c r="AO200" s="4">
        <v>273</v>
      </c>
    </row>
    <row r="201" spans="1:41" hidden="1" x14ac:dyDescent="0.2">
      <c r="A201" t="s">
        <v>613</v>
      </c>
      <c r="B201" t="s">
        <v>614</v>
      </c>
      <c r="C201" s="2">
        <v>45182</v>
      </c>
      <c r="E201" s="3">
        <v>1010364</v>
      </c>
      <c r="F201" t="s">
        <v>615</v>
      </c>
      <c r="G201" t="s">
        <v>616</v>
      </c>
      <c r="H201" t="s">
        <v>45</v>
      </c>
      <c r="I201" s="3">
        <v>10009</v>
      </c>
      <c r="J201" s="3">
        <v>1003920040</v>
      </c>
      <c r="K201" s="3">
        <v>1000000</v>
      </c>
      <c r="L201" t="s">
        <v>64</v>
      </c>
      <c r="M201" s="4">
        <v>2</v>
      </c>
      <c r="N201" t="s">
        <v>607</v>
      </c>
      <c r="O201" t="s">
        <v>197</v>
      </c>
      <c r="P201" s="4">
        <v>40.725754000000002</v>
      </c>
      <c r="Q201" s="4">
        <v>-73.979063999999994</v>
      </c>
      <c r="R201" s="4">
        <v>40.725675000000003</v>
      </c>
      <c r="S201" s="4">
        <v>-73.978357000000003</v>
      </c>
      <c r="U201" t="s">
        <v>117</v>
      </c>
      <c r="V201" t="s">
        <v>71</v>
      </c>
      <c r="W201" t="s">
        <v>51</v>
      </c>
      <c r="AB201" s="4">
        <v>3</v>
      </c>
      <c r="AE201" s="4">
        <v>2</v>
      </c>
      <c r="AF201" s="4">
        <v>1</v>
      </c>
      <c r="AL201" s="4">
        <v>3</v>
      </c>
      <c r="AN201" s="4">
        <v>3</v>
      </c>
      <c r="AO201" s="4">
        <v>10</v>
      </c>
    </row>
    <row r="202" spans="1:41" hidden="1" x14ac:dyDescent="0.2">
      <c r="A202" t="s">
        <v>617</v>
      </c>
      <c r="B202" t="s">
        <v>618</v>
      </c>
      <c r="C202" s="2">
        <v>45181</v>
      </c>
      <c r="E202" s="3">
        <v>11019</v>
      </c>
      <c r="F202" t="s">
        <v>619</v>
      </c>
      <c r="G202" t="s">
        <v>620</v>
      </c>
      <c r="H202" t="s">
        <v>45</v>
      </c>
      <c r="I202" s="3">
        <v>10009</v>
      </c>
      <c r="J202" s="3">
        <v>1003870124</v>
      </c>
      <c r="K202" s="3">
        <v>1004653</v>
      </c>
      <c r="L202" t="s">
        <v>64</v>
      </c>
      <c r="M202" s="4">
        <v>2</v>
      </c>
      <c r="N202" t="s">
        <v>196</v>
      </c>
      <c r="O202" t="s">
        <v>197</v>
      </c>
      <c r="P202" s="4">
        <v>40.723906999999997</v>
      </c>
      <c r="Q202" s="4">
        <v>-73.980258000000006</v>
      </c>
      <c r="R202" s="4">
        <v>40.723748000000001</v>
      </c>
      <c r="S202" s="4">
        <v>-73.980457000000001</v>
      </c>
      <c r="U202" t="s">
        <v>49</v>
      </c>
      <c r="V202" t="s">
        <v>71</v>
      </c>
      <c r="W202" t="s">
        <v>51</v>
      </c>
      <c r="X202" s="4">
        <v>40</v>
      </c>
      <c r="AD202" s="4">
        <v>40</v>
      </c>
      <c r="AL202" s="4">
        <v>40</v>
      </c>
      <c r="AN202" s="4">
        <v>40</v>
      </c>
      <c r="AO202" s="4">
        <v>40</v>
      </c>
    </row>
    <row r="203" spans="1:41" hidden="1" x14ac:dyDescent="0.2">
      <c r="A203" t="s">
        <v>621</v>
      </c>
      <c r="B203" t="s">
        <v>622</v>
      </c>
      <c r="C203" s="2">
        <v>45167</v>
      </c>
      <c r="E203" s="3">
        <v>22510</v>
      </c>
      <c r="F203" t="s">
        <v>623</v>
      </c>
      <c r="G203" t="s">
        <v>624</v>
      </c>
      <c r="H203" t="s">
        <v>45</v>
      </c>
      <c r="I203" s="3">
        <v>10031</v>
      </c>
      <c r="J203" s="3">
        <v>1020740025</v>
      </c>
      <c r="K203" s="3">
        <v>1061858</v>
      </c>
      <c r="L203" t="s">
        <v>169</v>
      </c>
      <c r="M203" s="4">
        <v>7</v>
      </c>
      <c r="N203" t="s">
        <v>440</v>
      </c>
      <c r="O203" t="s">
        <v>232</v>
      </c>
      <c r="P203" s="4">
        <v>40.823737999999999</v>
      </c>
      <c r="Q203" s="4">
        <v>-73.949499000000003</v>
      </c>
      <c r="R203" s="4">
        <v>40.823841999999999</v>
      </c>
      <c r="S203" s="4">
        <v>-73.949635999999998</v>
      </c>
      <c r="T203" s="2">
        <v>45809</v>
      </c>
      <c r="U203" t="s">
        <v>49</v>
      </c>
      <c r="V203" t="s">
        <v>71</v>
      </c>
      <c r="W203" t="s">
        <v>51</v>
      </c>
      <c r="X203" s="4">
        <v>11</v>
      </c>
      <c r="Y203" s="4">
        <v>4</v>
      </c>
      <c r="Z203" s="4">
        <v>3</v>
      </c>
      <c r="AF203" s="4">
        <v>6</v>
      </c>
      <c r="AG203" s="4">
        <v>12</v>
      </c>
      <c r="AL203" s="4">
        <v>18</v>
      </c>
      <c r="AN203" s="4">
        <v>18</v>
      </c>
      <c r="AO203" s="4">
        <v>18</v>
      </c>
    </row>
    <row r="204" spans="1:41" hidden="1" x14ac:dyDescent="0.2">
      <c r="A204" t="s">
        <v>621</v>
      </c>
      <c r="B204" t="s">
        <v>622</v>
      </c>
      <c r="C204" s="2">
        <v>45167</v>
      </c>
      <c r="E204" s="3">
        <v>22511</v>
      </c>
      <c r="F204" t="s">
        <v>427</v>
      </c>
      <c r="G204" t="s">
        <v>624</v>
      </c>
      <c r="H204" t="s">
        <v>45</v>
      </c>
      <c r="I204" s="3">
        <v>10031</v>
      </c>
      <c r="J204" s="3">
        <v>1020740030</v>
      </c>
      <c r="K204" s="3">
        <v>1061859</v>
      </c>
      <c r="L204" t="s">
        <v>169</v>
      </c>
      <c r="M204" s="4">
        <v>7</v>
      </c>
      <c r="N204" t="s">
        <v>440</v>
      </c>
      <c r="O204" t="s">
        <v>232</v>
      </c>
      <c r="P204" s="4">
        <v>40.823723999999999</v>
      </c>
      <c r="Q204" s="4">
        <v>-73.949483999999998</v>
      </c>
      <c r="R204" s="4">
        <v>40.823633000000001</v>
      </c>
      <c r="S204" s="4">
        <v>-73.949180999999996</v>
      </c>
      <c r="U204" t="s">
        <v>49</v>
      </c>
      <c r="V204" t="s">
        <v>71</v>
      </c>
      <c r="W204" t="s">
        <v>51</v>
      </c>
      <c r="X204" s="4">
        <v>17</v>
      </c>
      <c r="Y204" s="4">
        <v>3</v>
      </c>
      <c r="Z204" s="4">
        <v>6</v>
      </c>
      <c r="AD204" s="4">
        <v>1</v>
      </c>
      <c r="AF204" s="4">
        <v>1</v>
      </c>
      <c r="AG204" s="4">
        <v>24</v>
      </c>
      <c r="AL204" s="4">
        <v>26</v>
      </c>
      <c r="AN204" s="4">
        <v>26</v>
      </c>
      <c r="AO204" s="4">
        <v>26</v>
      </c>
    </row>
    <row r="205" spans="1:41" hidden="1" x14ac:dyDescent="0.2">
      <c r="A205" t="s">
        <v>621</v>
      </c>
      <c r="B205" t="s">
        <v>622</v>
      </c>
      <c r="C205" s="2">
        <v>45167</v>
      </c>
      <c r="E205" s="3">
        <v>41476</v>
      </c>
      <c r="F205" t="s">
        <v>625</v>
      </c>
      <c r="G205" t="s">
        <v>626</v>
      </c>
      <c r="H205" t="s">
        <v>45</v>
      </c>
      <c r="I205" s="3">
        <v>10031</v>
      </c>
      <c r="J205" s="3">
        <v>1020710056</v>
      </c>
      <c r="K205" s="3">
        <v>1061748</v>
      </c>
      <c r="L205" t="s">
        <v>169</v>
      </c>
      <c r="M205" s="4">
        <v>7</v>
      </c>
      <c r="N205" t="s">
        <v>231</v>
      </c>
      <c r="O205" t="s">
        <v>232</v>
      </c>
      <c r="P205" s="4">
        <v>40.822789</v>
      </c>
      <c r="Q205" s="4">
        <v>-73.951652999999993</v>
      </c>
      <c r="R205" s="4">
        <v>40.822718000000002</v>
      </c>
      <c r="S205" s="4">
        <v>-73.951931000000002</v>
      </c>
      <c r="T205" s="2">
        <v>45429</v>
      </c>
      <c r="U205" t="s">
        <v>49</v>
      </c>
      <c r="V205" t="s">
        <v>71</v>
      </c>
      <c r="W205" t="s">
        <v>51</v>
      </c>
      <c r="X205" s="4">
        <v>5</v>
      </c>
      <c r="Y205" s="4">
        <v>2</v>
      </c>
      <c r="Z205" s="4">
        <v>1</v>
      </c>
      <c r="AD205" s="4">
        <v>8</v>
      </c>
      <c r="AL205" s="4">
        <v>8</v>
      </c>
      <c r="AN205" s="4">
        <v>8</v>
      </c>
      <c r="AO205" s="4">
        <v>8</v>
      </c>
    </row>
    <row r="206" spans="1:41" hidden="1" x14ac:dyDescent="0.2">
      <c r="A206" t="s">
        <v>621</v>
      </c>
      <c r="B206" t="s">
        <v>622</v>
      </c>
      <c r="C206" s="2">
        <v>45167</v>
      </c>
      <c r="E206" s="3">
        <v>41632</v>
      </c>
      <c r="F206" t="s">
        <v>627</v>
      </c>
      <c r="G206" t="s">
        <v>417</v>
      </c>
      <c r="H206" t="s">
        <v>45</v>
      </c>
      <c r="I206" s="3">
        <v>10031</v>
      </c>
      <c r="J206" s="3">
        <v>1020730043</v>
      </c>
      <c r="K206" s="3">
        <v>1061807</v>
      </c>
      <c r="L206" t="s">
        <v>169</v>
      </c>
      <c r="M206" s="4">
        <v>7</v>
      </c>
      <c r="N206" t="s">
        <v>231</v>
      </c>
      <c r="O206" t="s">
        <v>232</v>
      </c>
      <c r="P206" s="4">
        <v>40.823726999999998</v>
      </c>
      <c r="Q206" s="4">
        <v>-73.950007999999997</v>
      </c>
      <c r="R206" s="4">
        <v>40.823576000000003</v>
      </c>
      <c r="S206" s="4">
        <v>-73.950186000000002</v>
      </c>
      <c r="T206" s="2">
        <v>45429</v>
      </c>
      <c r="U206" t="s">
        <v>49</v>
      </c>
      <c r="V206" t="s">
        <v>71</v>
      </c>
      <c r="W206" t="s">
        <v>51</v>
      </c>
      <c r="X206" s="4">
        <v>1</v>
      </c>
      <c r="Y206" s="4">
        <v>5</v>
      </c>
      <c r="Z206" s="4">
        <v>2</v>
      </c>
      <c r="AD206" s="4">
        <v>8</v>
      </c>
      <c r="AL206" s="4">
        <v>8</v>
      </c>
      <c r="AN206" s="4">
        <v>8</v>
      </c>
      <c r="AO206" s="4">
        <v>8</v>
      </c>
    </row>
    <row r="207" spans="1:41" hidden="1" x14ac:dyDescent="0.2">
      <c r="A207" t="s">
        <v>621</v>
      </c>
      <c r="B207" t="s">
        <v>622</v>
      </c>
      <c r="C207" s="2">
        <v>45167</v>
      </c>
      <c r="E207" s="3">
        <v>41993</v>
      </c>
      <c r="F207" t="s">
        <v>628</v>
      </c>
      <c r="G207" t="s">
        <v>439</v>
      </c>
      <c r="H207" t="s">
        <v>45</v>
      </c>
      <c r="I207" s="3">
        <v>10031</v>
      </c>
      <c r="J207" s="3">
        <v>1020770012</v>
      </c>
      <c r="K207" s="3">
        <v>1061931</v>
      </c>
      <c r="L207" t="s">
        <v>169</v>
      </c>
      <c r="M207" s="4">
        <v>7</v>
      </c>
      <c r="N207" t="s">
        <v>440</v>
      </c>
      <c r="O207" t="s">
        <v>232</v>
      </c>
      <c r="P207" s="4">
        <v>40.825660999999997</v>
      </c>
      <c r="Q207" s="4">
        <v>-73.948598000000004</v>
      </c>
      <c r="R207" s="4">
        <v>40.826197000000001</v>
      </c>
      <c r="S207" s="4">
        <v>-73.949174999999997</v>
      </c>
      <c r="T207" s="2">
        <v>45809</v>
      </c>
      <c r="U207" t="s">
        <v>49</v>
      </c>
      <c r="V207" t="s">
        <v>71</v>
      </c>
      <c r="W207" t="s">
        <v>51</v>
      </c>
      <c r="X207" s="4">
        <v>5</v>
      </c>
      <c r="Y207" s="4">
        <v>7</v>
      </c>
      <c r="Z207" s="4">
        <v>1</v>
      </c>
      <c r="AF207" s="4">
        <v>1</v>
      </c>
      <c r="AG207" s="4">
        <v>12</v>
      </c>
      <c r="AL207" s="4">
        <v>13</v>
      </c>
      <c r="AN207" s="4">
        <v>13</v>
      </c>
      <c r="AO207" s="4">
        <v>13</v>
      </c>
    </row>
    <row r="208" spans="1:41" hidden="1" x14ac:dyDescent="0.2">
      <c r="A208" t="s">
        <v>621</v>
      </c>
      <c r="B208" t="s">
        <v>622</v>
      </c>
      <c r="C208" s="2">
        <v>45167</v>
      </c>
      <c r="E208" s="3">
        <v>992562</v>
      </c>
      <c r="F208" t="s">
        <v>629</v>
      </c>
      <c r="G208" t="s">
        <v>439</v>
      </c>
      <c r="H208" t="s">
        <v>45</v>
      </c>
      <c r="I208" s="3">
        <v>10031</v>
      </c>
      <c r="J208" s="3">
        <v>1020770013</v>
      </c>
      <c r="K208" s="3">
        <v>1061932</v>
      </c>
      <c r="L208" t="s">
        <v>169</v>
      </c>
      <c r="M208" s="4">
        <v>7</v>
      </c>
      <c r="N208" t="s">
        <v>440</v>
      </c>
      <c r="O208" t="s">
        <v>232</v>
      </c>
      <c r="P208" s="4">
        <v>40.825645000000002</v>
      </c>
      <c r="Q208" s="4">
        <v>-73.948558000000006</v>
      </c>
      <c r="R208" s="4">
        <v>40.826152999999998</v>
      </c>
      <c r="S208" s="4">
        <v>-73.949071000000004</v>
      </c>
      <c r="T208" s="2">
        <v>45809</v>
      </c>
      <c r="U208" t="s">
        <v>49</v>
      </c>
      <c r="V208" t="s">
        <v>71</v>
      </c>
      <c r="W208" t="s">
        <v>51</v>
      </c>
      <c r="X208" s="4">
        <v>7</v>
      </c>
      <c r="Y208" s="4">
        <v>4</v>
      </c>
      <c r="Z208" s="4">
        <v>2</v>
      </c>
      <c r="AF208" s="4">
        <v>1</v>
      </c>
      <c r="AG208" s="4">
        <v>12</v>
      </c>
      <c r="AL208" s="4">
        <v>13</v>
      </c>
      <c r="AN208" s="4">
        <v>13</v>
      </c>
      <c r="AO208" s="4">
        <v>13</v>
      </c>
    </row>
    <row r="209" spans="1:41" hidden="1" x14ac:dyDescent="0.2">
      <c r="A209" t="s">
        <v>630</v>
      </c>
      <c r="B209" t="s">
        <v>140</v>
      </c>
      <c r="C209" s="2">
        <v>45160</v>
      </c>
      <c r="D209" s="2">
        <v>45160</v>
      </c>
      <c r="F209" t="s">
        <v>141</v>
      </c>
      <c r="G209" t="s">
        <v>141</v>
      </c>
      <c r="H209" t="s">
        <v>45</v>
      </c>
      <c r="L209" t="s">
        <v>46</v>
      </c>
      <c r="M209" s="4">
        <v>7</v>
      </c>
      <c r="T209" s="2">
        <v>45160</v>
      </c>
      <c r="U209" t="s">
        <v>117</v>
      </c>
      <c r="V209" t="s">
        <v>71</v>
      </c>
      <c r="W209" t="s">
        <v>51</v>
      </c>
      <c r="Z209" s="4">
        <v>1</v>
      </c>
      <c r="AD209" s="4">
        <v>1</v>
      </c>
      <c r="AM209" s="4">
        <v>1</v>
      </c>
      <c r="AN209" s="4">
        <v>1</v>
      </c>
      <c r="AO209" s="4">
        <v>1</v>
      </c>
    </row>
    <row r="210" spans="1:41" hidden="1" x14ac:dyDescent="0.2">
      <c r="A210" t="s">
        <v>631</v>
      </c>
      <c r="B210" t="s">
        <v>632</v>
      </c>
      <c r="C210" s="2">
        <v>45131</v>
      </c>
      <c r="D210" s="2">
        <v>45366</v>
      </c>
      <c r="E210" s="3">
        <v>1009820</v>
      </c>
      <c r="F210" t="s">
        <v>633</v>
      </c>
      <c r="G210" t="s">
        <v>321</v>
      </c>
      <c r="H210" t="s">
        <v>45</v>
      </c>
      <c r="I210" s="3">
        <v>10031</v>
      </c>
      <c r="J210" s="3">
        <v>1019880014</v>
      </c>
      <c r="K210" s="3">
        <v>1000000</v>
      </c>
      <c r="L210" t="s">
        <v>169</v>
      </c>
      <c r="M210" s="4">
        <v>7</v>
      </c>
      <c r="N210" t="s">
        <v>412</v>
      </c>
      <c r="O210" t="s">
        <v>171</v>
      </c>
      <c r="P210" s="4">
        <v>40.818857000000001</v>
      </c>
      <c r="Q210" s="4">
        <v>-73.954181000000005</v>
      </c>
      <c r="R210" s="4">
        <v>40.819085000000001</v>
      </c>
      <c r="S210" s="4">
        <v>-73.954155999999998</v>
      </c>
      <c r="T210" s="2">
        <v>45366</v>
      </c>
      <c r="U210" t="s">
        <v>117</v>
      </c>
      <c r="V210" t="s">
        <v>71</v>
      </c>
      <c r="W210" t="s">
        <v>51</v>
      </c>
      <c r="AB210" s="4">
        <v>9</v>
      </c>
      <c r="AE210" s="4">
        <v>8</v>
      </c>
      <c r="AF210" s="4">
        <v>1</v>
      </c>
      <c r="AL210" s="4">
        <v>9</v>
      </c>
      <c r="AN210" s="4">
        <v>9</v>
      </c>
      <c r="AO210" s="4">
        <v>28</v>
      </c>
    </row>
    <row r="211" spans="1:41" hidden="1" x14ac:dyDescent="0.2">
      <c r="A211" t="s">
        <v>634</v>
      </c>
      <c r="B211" t="s">
        <v>140</v>
      </c>
      <c r="C211" s="2">
        <v>45121</v>
      </c>
      <c r="D211" s="2">
        <v>45121</v>
      </c>
      <c r="F211" t="s">
        <v>141</v>
      </c>
      <c r="G211" t="s">
        <v>141</v>
      </c>
      <c r="H211" t="s">
        <v>45</v>
      </c>
      <c r="L211" t="s">
        <v>169</v>
      </c>
      <c r="M211" s="4">
        <v>7</v>
      </c>
      <c r="T211" s="2">
        <v>45121</v>
      </c>
      <c r="U211" t="s">
        <v>117</v>
      </c>
      <c r="V211" t="s">
        <v>71</v>
      </c>
      <c r="W211" t="s">
        <v>51</v>
      </c>
      <c r="Z211" s="4">
        <v>1</v>
      </c>
      <c r="AG211" s="4">
        <v>1</v>
      </c>
      <c r="AM211" s="4">
        <v>1</v>
      </c>
      <c r="AN211" s="4">
        <v>1</v>
      </c>
      <c r="AO211" s="4">
        <v>1</v>
      </c>
    </row>
    <row r="212" spans="1:41" hidden="1" x14ac:dyDescent="0.2">
      <c r="A212" t="s">
        <v>635</v>
      </c>
      <c r="B212" t="s">
        <v>140</v>
      </c>
      <c r="C212" s="2">
        <v>45119</v>
      </c>
      <c r="D212" s="2">
        <v>45119</v>
      </c>
      <c r="F212" t="s">
        <v>141</v>
      </c>
      <c r="G212" t="s">
        <v>141</v>
      </c>
      <c r="H212" t="s">
        <v>45</v>
      </c>
      <c r="L212" t="s">
        <v>46</v>
      </c>
      <c r="M212" s="4">
        <v>7</v>
      </c>
      <c r="T212" s="2">
        <v>45119</v>
      </c>
      <c r="U212" t="s">
        <v>117</v>
      </c>
      <c r="V212" t="s">
        <v>71</v>
      </c>
      <c r="W212" t="s">
        <v>51</v>
      </c>
      <c r="Z212" s="4">
        <v>1</v>
      </c>
      <c r="AE212" s="4">
        <v>1</v>
      </c>
      <c r="AM212" s="4">
        <v>1</v>
      </c>
      <c r="AN212" s="4">
        <v>1</v>
      </c>
      <c r="AO212" s="4">
        <v>1</v>
      </c>
    </row>
    <row r="213" spans="1:41" hidden="1" x14ac:dyDescent="0.2">
      <c r="A213" t="s">
        <v>636</v>
      </c>
      <c r="B213" t="s">
        <v>637</v>
      </c>
      <c r="C213" s="2">
        <v>45117</v>
      </c>
      <c r="E213" s="3">
        <v>19467</v>
      </c>
      <c r="F213" t="s">
        <v>638</v>
      </c>
      <c r="G213" t="s">
        <v>639</v>
      </c>
      <c r="H213" t="s">
        <v>45</v>
      </c>
      <c r="I213" s="3">
        <v>10029</v>
      </c>
      <c r="J213" s="3">
        <v>1016830034</v>
      </c>
      <c r="K213" s="3">
        <v>1000000</v>
      </c>
      <c r="L213" t="s">
        <v>153</v>
      </c>
      <c r="M213" s="4">
        <v>8</v>
      </c>
      <c r="N213" t="s">
        <v>151</v>
      </c>
      <c r="O213" t="s">
        <v>155</v>
      </c>
      <c r="P213" s="4">
        <v>40.793833999999997</v>
      </c>
      <c r="Q213" s="4">
        <v>-73.938137999999995</v>
      </c>
      <c r="R213" s="4">
        <v>40.793590000000002</v>
      </c>
      <c r="S213" s="4">
        <v>-73.938207000000006</v>
      </c>
      <c r="U213" t="s">
        <v>117</v>
      </c>
      <c r="V213" t="s">
        <v>71</v>
      </c>
      <c r="W213" t="s">
        <v>51</v>
      </c>
      <c r="AB213" s="4">
        <v>8</v>
      </c>
      <c r="AE213" s="4">
        <v>5</v>
      </c>
      <c r="AF213" s="4">
        <v>3</v>
      </c>
      <c r="AL213" s="4">
        <v>8</v>
      </c>
      <c r="AN213" s="4">
        <v>8</v>
      </c>
      <c r="AO213" s="4">
        <v>24</v>
      </c>
    </row>
    <row r="214" spans="1:41" hidden="1" x14ac:dyDescent="0.2">
      <c r="A214" t="s">
        <v>640</v>
      </c>
      <c r="B214" t="s">
        <v>641</v>
      </c>
      <c r="C214" s="2">
        <v>45112</v>
      </c>
      <c r="D214" s="2">
        <v>45464</v>
      </c>
      <c r="E214" s="3">
        <v>41884</v>
      </c>
      <c r="F214" t="s">
        <v>433</v>
      </c>
      <c r="G214" t="s">
        <v>439</v>
      </c>
      <c r="H214" t="s">
        <v>45</v>
      </c>
      <c r="I214" s="3">
        <v>10039</v>
      </c>
      <c r="J214" s="3">
        <v>1020140018</v>
      </c>
      <c r="K214" s="3">
        <v>1060185</v>
      </c>
      <c r="L214" t="s">
        <v>146</v>
      </c>
      <c r="M214" s="4">
        <v>9</v>
      </c>
      <c r="N214" t="s">
        <v>425</v>
      </c>
      <c r="O214" t="s">
        <v>177</v>
      </c>
      <c r="P214" s="4">
        <v>40.820898999999997</v>
      </c>
      <c r="Q214" s="4">
        <v>-73.937303999999997</v>
      </c>
      <c r="R214" s="4">
        <v>40.821226000000003</v>
      </c>
      <c r="S214" s="4">
        <v>-73.937375000000003</v>
      </c>
      <c r="T214" s="2">
        <v>45464</v>
      </c>
      <c r="U214" t="s">
        <v>49</v>
      </c>
      <c r="V214" t="s">
        <v>50</v>
      </c>
      <c r="W214" t="s">
        <v>51</v>
      </c>
      <c r="Y214" s="4">
        <v>5</v>
      </c>
      <c r="Z214" s="4">
        <v>12</v>
      </c>
      <c r="AA214" s="4">
        <v>13</v>
      </c>
      <c r="AC214" s="4">
        <v>1</v>
      </c>
      <c r="AD214" s="4">
        <v>1</v>
      </c>
      <c r="AE214" s="4">
        <v>12</v>
      </c>
      <c r="AF214" s="4">
        <v>17</v>
      </c>
      <c r="AG214" s="4">
        <v>1</v>
      </c>
      <c r="AL214" s="4">
        <v>31</v>
      </c>
      <c r="AN214" s="4">
        <v>31</v>
      </c>
      <c r="AO214" s="4">
        <v>31</v>
      </c>
    </row>
    <row r="215" spans="1:41" hidden="1" x14ac:dyDescent="0.2">
      <c r="A215" t="s">
        <v>640</v>
      </c>
      <c r="B215" t="s">
        <v>641</v>
      </c>
      <c r="C215" s="2">
        <v>45112</v>
      </c>
      <c r="D215" s="2">
        <v>45464</v>
      </c>
      <c r="E215" s="3">
        <v>41885</v>
      </c>
      <c r="F215" t="s">
        <v>642</v>
      </c>
      <c r="G215" t="s">
        <v>439</v>
      </c>
      <c r="H215" t="s">
        <v>45</v>
      </c>
      <c r="I215" s="3">
        <v>10039</v>
      </c>
      <c r="J215" s="3">
        <v>1020140016</v>
      </c>
      <c r="K215" s="3">
        <v>1060184</v>
      </c>
      <c r="L215" t="s">
        <v>146</v>
      </c>
      <c r="M215" s="4">
        <v>9</v>
      </c>
      <c r="N215" t="s">
        <v>425</v>
      </c>
      <c r="O215" t="s">
        <v>177</v>
      </c>
      <c r="P215" s="4">
        <v>40.820931999999999</v>
      </c>
      <c r="Q215" s="4">
        <v>-73.937382999999997</v>
      </c>
      <c r="R215" s="4">
        <v>40.821283999999999</v>
      </c>
      <c r="S215" s="4">
        <v>-73.937516000000002</v>
      </c>
      <c r="T215" s="2">
        <v>45464</v>
      </c>
      <c r="U215" t="s">
        <v>49</v>
      </c>
      <c r="V215" t="s">
        <v>50</v>
      </c>
      <c r="W215" t="s">
        <v>51</v>
      </c>
      <c r="X215" s="4">
        <v>1</v>
      </c>
      <c r="Y215" s="4">
        <v>4</v>
      </c>
      <c r="Z215" s="4">
        <v>9</v>
      </c>
      <c r="AA215" s="4">
        <v>17</v>
      </c>
      <c r="AD215" s="4">
        <v>1</v>
      </c>
      <c r="AE215" s="4">
        <v>12</v>
      </c>
      <c r="AF215" s="4">
        <v>17</v>
      </c>
      <c r="AG215" s="4">
        <v>1</v>
      </c>
      <c r="AL215" s="4">
        <v>31</v>
      </c>
      <c r="AN215" s="4">
        <v>31</v>
      </c>
      <c r="AO215" s="4">
        <v>31</v>
      </c>
    </row>
    <row r="216" spans="1:41" hidden="1" x14ac:dyDescent="0.2">
      <c r="A216" t="s">
        <v>640</v>
      </c>
      <c r="B216" t="s">
        <v>641</v>
      </c>
      <c r="C216" s="2">
        <v>45112</v>
      </c>
      <c r="D216" s="2">
        <v>45464</v>
      </c>
      <c r="E216" s="3">
        <v>41887</v>
      </c>
      <c r="F216" t="s">
        <v>643</v>
      </c>
      <c r="G216" t="s">
        <v>439</v>
      </c>
      <c r="H216" t="s">
        <v>45</v>
      </c>
      <c r="I216" s="3">
        <v>10039</v>
      </c>
      <c r="J216" s="3">
        <v>1020140014</v>
      </c>
      <c r="K216" s="3">
        <v>1060183</v>
      </c>
      <c r="L216" t="s">
        <v>146</v>
      </c>
      <c r="M216" s="4">
        <v>9</v>
      </c>
      <c r="N216" t="s">
        <v>425</v>
      </c>
      <c r="O216" t="s">
        <v>177</v>
      </c>
      <c r="P216" s="4">
        <v>40.820968000000001</v>
      </c>
      <c r="Q216" s="4">
        <v>-73.937461999999996</v>
      </c>
      <c r="R216" s="4">
        <v>40.821344000000003</v>
      </c>
      <c r="S216" s="4">
        <v>-73.937653999999995</v>
      </c>
      <c r="T216" s="2">
        <v>45464</v>
      </c>
      <c r="U216" t="s">
        <v>49</v>
      </c>
      <c r="V216" t="s">
        <v>50</v>
      </c>
      <c r="W216" t="s">
        <v>51</v>
      </c>
      <c r="X216" s="4">
        <v>1</v>
      </c>
      <c r="Y216" s="4">
        <v>3</v>
      </c>
      <c r="Z216" s="4">
        <v>8</v>
      </c>
      <c r="AA216" s="4">
        <v>19</v>
      </c>
      <c r="AD216" s="4">
        <v>1</v>
      </c>
      <c r="AE216" s="4">
        <v>12</v>
      </c>
      <c r="AF216" s="4">
        <v>18</v>
      </c>
      <c r="AL216" s="4">
        <v>31</v>
      </c>
      <c r="AN216" s="4">
        <v>31</v>
      </c>
      <c r="AO216" s="4">
        <v>31</v>
      </c>
    </row>
    <row r="217" spans="1:41" hidden="1" x14ac:dyDescent="0.2">
      <c r="A217" t="s">
        <v>644</v>
      </c>
      <c r="B217" t="s">
        <v>645</v>
      </c>
      <c r="C217" s="2">
        <v>45112</v>
      </c>
      <c r="E217" s="3">
        <v>40785</v>
      </c>
      <c r="F217" t="s">
        <v>519</v>
      </c>
      <c r="G217" t="s">
        <v>324</v>
      </c>
      <c r="H217" t="s">
        <v>45</v>
      </c>
      <c r="I217" s="3">
        <v>10031</v>
      </c>
      <c r="J217" s="3">
        <v>1020020026</v>
      </c>
      <c r="K217" s="3">
        <v>1059957</v>
      </c>
      <c r="L217" t="s">
        <v>169</v>
      </c>
      <c r="M217" s="4">
        <v>7</v>
      </c>
      <c r="N217" t="s">
        <v>412</v>
      </c>
      <c r="O217" t="s">
        <v>171</v>
      </c>
      <c r="P217" s="4">
        <v>40.820362000000003</v>
      </c>
      <c r="Q217" s="4">
        <v>-73.955672000000007</v>
      </c>
      <c r="R217" s="4">
        <v>40.820619999999998</v>
      </c>
      <c r="S217" s="4">
        <v>-73.955607000000001</v>
      </c>
      <c r="T217" s="2">
        <v>45448</v>
      </c>
      <c r="U217" t="s">
        <v>49</v>
      </c>
      <c r="V217" t="s">
        <v>50</v>
      </c>
      <c r="W217" t="s">
        <v>51</v>
      </c>
      <c r="Y217" s="4">
        <v>7</v>
      </c>
      <c r="Z217" s="4">
        <v>4</v>
      </c>
      <c r="AA217" s="4">
        <v>10</v>
      </c>
      <c r="AE217" s="4">
        <v>7</v>
      </c>
      <c r="AF217" s="4">
        <v>9</v>
      </c>
      <c r="AG217" s="4">
        <v>5</v>
      </c>
      <c r="AL217" s="4">
        <v>21</v>
      </c>
      <c r="AN217" s="4">
        <v>21</v>
      </c>
      <c r="AO217" s="4">
        <v>21</v>
      </c>
    </row>
    <row r="218" spans="1:41" hidden="1" x14ac:dyDescent="0.2">
      <c r="A218" t="s">
        <v>644</v>
      </c>
      <c r="B218" t="s">
        <v>645</v>
      </c>
      <c r="C218" s="2">
        <v>45112</v>
      </c>
      <c r="E218" s="3">
        <v>40786</v>
      </c>
      <c r="F218" t="s">
        <v>646</v>
      </c>
      <c r="G218" t="s">
        <v>324</v>
      </c>
      <c r="H218" t="s">
        <v>45</v>
      </c>
      <c r="I218" s="3">
        <v>10031</v>
      </c>
      <c r="J218" s="3">
        <v>1020020024</v>
      </c>
      <c r="K218" s="3">
        <v>1059956</v>
      </c>
      <c r="L218" t="s">
        <v>169</v>
      </c>
      <c r="M218" s="4">
        <v>7</v>
      </c>
      <c r="N218" t="s">
        <v>412</v>
      </c>
      <c r="O218" t="s">
        <v>171</v>
      </c>
      <c r="P218" s="4">
        <v>40.820374999999999</v>
      </c>
      <c r="Q218" s="4">
        <v>-73.955704999999995</v>
      </c>
      <c r="R218" s="4">
        <v>40.820677000000003</v>
      </c>
      <c r="S218" s="4">
        <v>-73.955736999999999</v>
      </c>
      <c r="U218" t="s">
        <v>49</v>
      </c>
      <c r="V218" t="s">
        <v>50</v>
      </c>
      <c r="W218" t="s">
        <v>51</v>
      </c>
      <c r="Y218" s="4">
        <v>11</v>
      </c>
      <c r="Z218" s="4">
        <v>2</v>
      </c>
      <c r="AA218" s="4">
        <v>8</v>
      </c>
      <c r="AE218" s="4">
        <v>8</v>
      </c>
      <c r="AF218" s="4">
        <v>8</v>
      </c>
      <c r="AG218" s="4">
        <v>5</v>
      </c>
      <c r="AL218" s="4">
        <v>21</v>
      </c>
      <c r="AN218" s="4">
        <v>21</v>
      </c>
      <c r="AO218" s="4">
        <v>21</v>
      </c>
    </row>
    <row r="219" spans="1:41" hidden="1" x14ac:dyDescent="0.2">
      <c r="A219" t="s">
        <v>644</v>
      </c>
      <c r="B219" t="s">
        <v>645</v>
      </c>
      <c r="C219" s="2">
        <v>45112</v>
      </c>
      <c r="E219" s="3">
        <v>40787</v>
      </c>
      <c r="F219" t="s">
        <v>647</v>
      </c>
      <c r="G219" t="s">
        <v>324</v>
      </c>
      <c r="H219" t="s">
        <v>45</v>
      </c>
      <c r="I219" s="3">
        <v>10031</v>
      </c>
      <c r="J219" s="3">
        <v>1020020022</v>
      </c>
      <c r="K219" s="3">
        <v>1059955</v>
      </c>
      <c r="L219" t="s">
        <v>169</v>
      </c>
      <c r="M219" s="4">
        <v>7</v>
      </c>
      <c r="N219" t="s">
        <v>412</v>
      </c>
      <c r="O219" t="s">
        <v>171</v>
      </c>
      <c r="P219" s="4">
        <v>40.820402999999999</v>
      </c>
      <c r="Q219" s="4">
        <v>-73.955770000000001</v>
      </c>
      <c r="R219" s="4">
        <v>40.820729</v>
      </c>
      <c r="S219" s="4">
        <v>-73.955860000000001</v>
      </c>
      <c r="T219" s="2">
        <v>45448</v>
      </c>
      <c r="U219" t="s">
        <v>49</v>
      </c>
      <c r="V219" t="s">
        <v>50</v>
      </c>
      <c r="W219" t="s">
        <v>51</v>
      </c>
      <c r="Y219" s="4">
        <v>8</v>
      </c>
      <c r="Z219" s="4">
        <v>5</v>
      </c>
      <c r="AA219" s="4">
        <v>8</v>
      </c>
      <c r="AE219" s="4">
        <v>7</v>
      </c>
      <c r="AF219" s="4">
        <v>10</v>
      </c>
      <c r="AG219" s="4">
        <v>4</v>
      </c>
      <c r="AL219" s="4">
        <v>21</v>
      </c>
      <c r="AN219" s="4">
        <v>21</v>
      </c>
      <c r="AO219" s="4">
        <v>21</v>
      </c>
    </row>
    <row r="220" spans="1:41" hidden="1" x14ac:dyDescent="0.2">
      <c r="A220" t="s">
        <v>644</v>
      </c>
      <c r="B220" t="s">
        <v>645</v>
      </c>
      <c r="C220" s="2">
        <v>45112</v>
      </c>
      <c r="E220" s="3">
        <v>40788</v>
      </c>
      <c r="F220" t="s">
        <v>648</v>
      </c>
      <c r="G220" t="s">
        <v>324</v>
      </c>
      <c r="H220" t="s">
        <v>45</v>
      </c>
      <c r="I220" s="3">
        <v>10031</v>
      </c>
      <c r="J220" s="3">
        <v>1020020021</v>
      </c>
      <c r="K220" s="3">
        <v>1059954</v>
      </c>
      <c r="L220" t="s">
        <v>169</v>
      </c>
      <c r="M220" s="4">
        <v>7</v>
      </c>
      <c r="N220" t="s">
        <v>412</v>
      </c>
      <c r="O220" t="s">
        <v>171</v>
      </c>
      <c r="P220" s="4">
        <v>40.820419000000001</v>
      </c>
      <c r="Q220" s="4">
        <v>-73.955805999999995</v>
      </c>
      <c r="R220" s="4">
        <v>40.820784000000003</v>
      </c>
      <c r="S220" s="4">
        <v>-73.955985999999996</v>
      </c>
      <c r="T220" s="2">
        <v>45448</v>
      </c>
      <c r="U220" t="s">
        <v>49</v>
      </c>
      <c r="V220" t="s">
        <v>50</v>
      </c>
      <c r="W220" t="s">
        <v>51</v>
      </c>
      <c r="X220" s="4">
        <v>1</v>
      </c>
      <c r="Y220" s="4">
        <v>7</v>
      </c>
      <c r="Z220" s="4">
        <v>3</v>
      </c>
      <c r="AA220" s="4">
        <v>9</v>
      </c>
      <c r="AC220" s="4">
        <v>1</v>
      </c>
      <c r="AE220" s="4">
        <v>7</v>
      </c>
      <c r="AF220" s="4">
        <v>7</v>
      </c>
      <c r="AG220" s="4">
        <v>7</v>
      </c>
      <c r="AL220" s="4">
        <v>21</v>
      </c>
      <c r="AN220" s="4">
        <v>21</v>
      </c>
      <c r="AO220" s="4">
        <v>21</v>
      </c>
    </row>
    <row r="221" spans="1:41" hidden="1" x14ac:dyDescent="0.2">
      <c r="A221" t="s">
        <v>644</v>
      </c>
      <c r="B221" t="s">
        <v>645</v>
      </c>
      <c r="C221" s="2">
        <v>45112</v>
      </c>
      <c r="E221" s="3">
        <v>40790</v>
      </c>
      <c r="F221" t="s">
        <v>649</v>
      </c>
      <c r="G221" t="s">
        <v>324</v>
      </c>
      <c r="H221" t="s">
        <v>45</v>
      </c>
      <c r="I221" s="3">
        <v>10031</v>
      </c>
      <c r="J221" s="3">
        <v>1020020019</v>
      </c>
      <c r="K221" s="3">
        <v>1059953</v>
      </c>
      <c r="L221" t="s">
        <v>169</v>
      </c>
      <c r="M221" s="4">
        <v>7</v>
      </c>
      <c r="N221" t="s">
        <v>412</v>
      </c>
      <c r="O221" t="s">
        <v>171</v>
      </c>
      <c r="P221" s="4">
        <v>40.820433000000001</v>
      </c>
      <c r="Q221" s="4">
        <v>-73.955838999999997</v>
      </c>
      <c r="R221" s="4">
        <v>40.820836999999997</v>
      </c>
      <c r="S221" s="4">
        <v>-73.956113000000002</v>
      </c>
      <c r="T221" s="2">
        <v>45448</v>
      </c>
      <c r="U221" t="s">
        <v>49</v>
      </c>
      <c r="V221" t="s">
        <v>50</v>
      </c>
      <c r="W221" t="s">
        <v>51</v>
      </c>
      <c r="X221" s="4">
        <v>1</v>
      </c>
      <c r="Y221" s="4">
        <v>7</v>
      </c>
      <c r="Z221" s="4">
        <v>3</v>
      </c>
      <c r="AA221" s="4">
        <v>10</v>
      </c>
      <c r="AE221" s="4">
        <v>7</v>
      </c>
      <c r="AF221" s="4">
        <v>7</v>
      </c>
      <c r="AG221" s="4">
        <v>7</v>
      </c>
      <c r="AL221" s="4">
        <v>21</v>
      </c>
      <c r="AN221" s="4">
        <v>21</v>
      </c>
      <c r="AO221" s="4">
        <v>21</v>
      </c>
    </row>
    <row r="222" spans="1:41" hidden="1" x14ac:dyDescent="0.2">
      <c r="A222" t="s">
        <v>650</v>
      </c>
      <c r="B222" t="s">
        <v>651</v>
      </c>
      <c r="C222" s="2">
        <v>45107</v>
      </c>
      <c r="E222" s="3">
        <v>4236</v>
      </c>
      <c r="F222" t="s">
        <v>652</v>
      </c>
      <c r="G222" t="s">
        <v>181</v>
      </c>
      <c r="H222" t="s">
        <v>45</v>
      </c>
      <c r="I222" s="3">
        <v>10011</v>
      </c>
      <c r="J222" s="3">
        <v>1007670002</v>
      </c>
      <c r="K222" s="3">
        <v>1013845</v>
      </c>
      <c r="L222" t="s">
        <v>78</v>
      </c>
      <c r="M222" s="4">
        <v>3</v>
      </c>
      <c r="N222" t="s">
        <v>653</v>
      </c>
      <c r="O222" t="s">
        <v>183</v>
      </c>
      <c r="P222" s="4">
        <v>40.741802</v>
      </c>
      <c r="Q222" s="4">
        <v>-74.001018000000002</v>
      </c>
      <c r="R222" s="4">
        <v>40.741731000000001</v>
      </c>
      <c r="S222" s="4">
        <v>-74.000670999999997</v>
      </c>
      <c r="U222" t="s">
        <v>49</v>
      </c>
      <c r="V222" t="s">
        <v>71</v>
      </c>
      <c r="W222" t="s">
        <v>51</v>
      </c>
      <c r="X222" s="4">
        <v>80</v>
      </c>
      <c r="AD222" s="4">
        <v>80</v>
      </c>
      <c r="AL222" s="4">
        <v>80</v>
      </c>
      <c r="AN222" s="4">
        <v>80</v>
      </c>
      <c r="AO222" s="4">
        <v>80</v>
      </c>
    </row>
    <row r="223" spans="1:41" hidden="1" x14ac:dyDescent="0.2">
      <c r="A223" t="s">
        <v>650</v>
      </c>
      <c r="B223" t="s">
        <v>651</v>
      </c>
      <c r="C223" s="2">
        <v>45107</v>
      </c>
      <c r="E223" s="3">
        <v>12659</v>
      </c>
      <c r="F223" t="s">
        <v>55</v>
      </c>
      <c r="G223" t="s">
        <v>654</v>
      </c>
      <c r="H223" t="s">
        <v>45</v>
      </c>
      <c r="I223" s="3">
        <v>10010</v>
      </c>
      <c r="J223" s="3">
        <v>1008800016</v>
      </c>
      <c r="K223" s="3">
        <v>1018070</v>
      </c>
      <c r="L223" t="s">
        <v>655</v>
      </c>
      <c r="M223" s="4">
        <v>2</v>
      </c>
      <c r="N223" t="s">
        <v>656</v>
      </c>
      <c r="O223" t="s">
        <v>657</v>
      </c>
      <c r="P223" s="4">
        <v>40.740389999999998</v>
      </c>
      <c r="Q223" s="4">
        <v>-73.984761000000006</v>
      </c>
      <c r="R223" s="4">
        <v>40.740544</v>
      </c>
      <c r="S223" s="4">
        <v>-73.984572999999997</v>
      </c>
      <c r="U223" t="s">
        <v>49</v>
      </c>
      <c r="V223" t="s">
        <v>71</v>
      </c>
      <c r="W223" t="s">
        <v>51</v>
      </c>
      <c r="X223" s="4">
        <v>85</v>
      </c>
      <c r="AD223" s="4">
        <v>85</v>
      </c>
      <c r="AL223" s="4">
        <v>85</v>
      </c>
      <c r="AN223" s="4">
        <v>85</v>
      </c>
      <c r="AO223" s="4">
        <v>85</v>
      </c>
    </row>
    <row r="224" spans="1:41" hidden="1" x14ac:dyDescent="0.2">
      <c r="A224" t="s">
        <v>650</v>
      </c>
      <c r="B224" t="s">
        <v>651</v>
      </c>
      <c r="C224" s="2">
        <v>45107</v>
      </c>
      <c r="E224" s="3">
        <v>805558</v>
      </c>
      <c r="F224" t="s">
        <v>658</v>
      </c>
      <c r="G224" t="s">
        <v>659</v>
      </c>
      <c r="H224" t="s">
        <v>45</v>
      </c>
      <c r="I224" s="3">
        <v>10011</v>
      </c>
      <c r="J224" s="3">
        <v>1007980014</v>
      </c>
      <c r="K224" s="3">
        <v>1084999</v>
      </c>
      <c r="L224" t="s">
        <v>78</v>
      </c>
      <c r="M224" s="4">
        <v>3</v>
      </c>
      <c r="N224" t="s">
        <v>226</v>
      </c>
      <c r="O224" t="s">
        <v>183</v>
      </c>
      <c r="P224" s="4">
        <v>40.742882999999999</v>
      </c>
      <c r="Q224" s="4">
        <v>-73.994806999999994</v>
      </c>
      <c r="R224" s="4">
        <v>40.743254</v>
      </c>
      <c r="S224" s="4">
        <v>-73.995142999999999</v>
      </c>
      <c r="U224" t="s">
        <v>49</v>
      </c>
      <c r="V224" t="s">
        <v>71</v>
      </c>
      <c r="W224" t="s">
        <v>51</v>
      </c>
      <c r="X224" s="4">
        <v>90</v>
      </c>
      <c r="AD224" s="4">
        <v>90</v>
      </c>
      <c r="AL224" s="4">
        <v>90</v>
      </c>
      <c r="AN224" s="4">
        <v>90</v>
      </c>
      <c r="AO224" s="4">
        <v>90</v>
      </c>
    </row>
    <row r="225" spans="1:41" hidden="1" x14ac:dyDescent="0.2">
      <c r="A225" t="s">
        <v>660</v>
      </c>
      <c r="B225" t="s">
        <v>661</v>
      </c>
      <c r="C225" s="2">
        <v>45107</v>
      </c>
      <c r="D225" s="2">
        <v>45107</v>
      </c>
      <c r="E225" s="3">
        <v>868558</v>
      </c>
      <c r="F225" t="s">
        <v>112</v>
      </c>
      <c r="G225" t="s">
        <v>662</v>
      </c>
      <c r="H225" t="s">
        <v>45</v>
      </c>
      <c r="I225" s="3">
        <v>10039</v>
      </c>
      <c r="J225" s="3">
        <v>1020340029</v>
      </c>
      <c r="K225" s="3">
        <v>1087428</v>
      </c>
      <c r="L225" t="s">
        <v>146</v>
      </c>
      <c r="M225" s="4">
        <v>9</v>
      </c>
      <c r="N225" t="s">
        <v>544</v>
      </c>
      <c r="O225" t="s">
        <v>177</v>
      </c>
      <c r="P225" s="4">
        <v>40.823779000000002</v>
      </c>
      <c r="Q225" s="4">
        <v>-73.938157000000004</v>
      </c>
      <c r="R225" s="4">
        <v>40.823864</v>
      </c>
      <c r="S225" s="4">
        <v>-73.937961999999999</v>
      </c>
      <c r="T225" s="2">
        <v>45107</v>
      </c>
      <c r="U225" t="s">
        <v>49</v>
      </c>
      <c r="V225" t="s">
        <v>50</v>
      </c>
      <c r="W225" t="s">
        <v>51</v>
      </c>
      <c r="Y225" s="4">
        <v>6</v>
      </c>
      <c r="Z225" s="4">
        <v>19</v>
      </c>
      <c r="AD225" s="4">
        <v>7</v>
      </c>
      <c r="AE225" s="4">
        <v>1</v>
      </c>
      <c r="AF225" s="4">
        <v>17</v>
      </c>
      <c r="AL225" s="4">
        <v>25</v>
      </c>
      <c r="AN225" s="4">
        <v>25</v>
      </c>
      <c r="AO225" s="4">
        <v>25</v>
      </c>
    </row>
    <row r="226" spans="1:41" hidden="1" x14ac:dyDescent="0.2">
      <c r="A226" t="s">
        <v>663</v>
      </c>
      <c r="B226" t="s">
        <v>664</v>
      </c>
      <c r="C226" s="2">
        <v>45106</v>
      </c>
      <c r="E226" s="3">
        <v>17896</v>
      </c>
      <c r="F226" t="s">
        <v>222</v>
      </c>
      <c r="G226" t="s">
        <v>665</v>
      </c>
      <c r="H226" t="s">
        <v>45</v>
      </c>
      <c r="I226" s="3">
        <v>10128</v>
      </c>
      <c r="J226" s="3">
        <v>1015330032</v>
      </c>
      <c r="K226" s="3">
        <v>1048819</v>
      </c>
      <c r="L226" t="s">
        <v>107</v>
      </c>
      <c r="M226" s="4">
        <v>5</v>
      </c>
      <c r="N226" t="s">
        <v>666</v>
      </c>
      <c r="O226" t="s">
        <v>109</v>
      </c>
      <c r="P226" s="4">
        <v>40.779649999999997</v>
      </c>
      <c r="Q226" s="4">
        <v>-73.951930000000004</v>
      </c>
      <c r="R226" s="4">
        <v>40.779387</v>
      </c>
      <c r="S226" s="4">
        <v>-73.951880000000003</v>
      </c>
      <c r="U226" t="s">
        <v>49</v>
      </c>
      <c r="V226" t="s">
        <v>71</v>
      </c>
      <c r="W226" t="s">
        <v>51</v>
      </c>
      <c r="X226" s="4">
        <v>5</v>
      </c>
      <c r="Y226" s="4">
        <v>90</v>
      </c>
      <c r="Z226" s="4">
        <v>13</v>
      </c>
      <c r="AC226" s="4">
        <v>1</v>
      </c>
      <c r="AD226" s="4">
        <v>4</v>
      </c>
      <c r="AE226" s="4">
        <v>39</v>
      </c>
      <c r="AF226" s="4">
        <v>53</v>
      </c>
      <c r="AG226" s="4">
        <v>13</v>
      </c>
      <c r="AM226" s="4">
        <v>109</v>
      </c>
      <c r="AN226" s="4">
        <v>109</v>
      </c>
      <c r="AO226" s="4">
        <v>109</v>
      </c>
    </row>
    <row r="227" spans="1:41" hidden="1" x14ac:dyDescent="0.2">
      <c r="A227" t="s">
        <v>667</v>
      </c>
      <c r="B227" t="s">
        <v>668</v>
      </c>
      <c r="C227" s="2">
        <v>45105</v>
      </c>
      <c r="E227" s="3">
        <v>836352</v>
      </c>
      <c r="F227" t="s">
        <v>669</v>
      </c>
      <c r="G227" t="s">
        <v>670</v>
      </c>
      <c r="H227" t="s">
        <v>45</v>
      </c>
      <c r="I227" s="3">
        <v>10011</v>
      </c>
      <c r="J227" s="3">
        <v>1007730134</v>
      </c>
      <c r="K227" s="3">
        <v>1087205</v>
      </c>
      <c r="L227" t="s">
        <v>78</v>
      </c>
      <c r="M227" s="4">
        <v>3</v>
      </c>
      <c r="N227" t="s">
        <v>226</v>
      </c>
      <c r="O227" t="s">
        <v>183</v>
      </c>
      <c r="P227" s="4">
        <v>40.744942000000002</v>
      </c>
      <c r="Q227" s="4">
        <v>-73.995608000000004</v>
      </c>
      <c r="R227" s="4">
        <v>40.744835000000002</v>
      </c>
      <c r="S227" s="4">
        <v>-73.995868000000002</v>
      </c>
      <c r="U227" t="s">
        <v>49</v>
      </c>
      <c r="V227" t="s">
        <v>71</v>
      </c>
      <c r="W227" t="s">
        <v>51</v>
      </c>
      <c r="X227" s="4">
        <v>113</v>
      </c>
      <c r="Y227" s="4">
        <v>39</v>
      </c>
      <c r="Z227" s="4">
        <v>8</v>
      </c>
      <c r="AA227" s="4">
        <v>3</v>
      </c>
      <c r="AB227" s="4">
        <v>3</v>
      </c>
      <c r="AC227" s="4">
        <v>1</v>
      </c>
      <c r="AD227" s="4">
        <v>166</v>
      </c>
      <c r="AE227" s="4">
        <v>1</v>
      </c>
      <c r="AL227" s="4">
        <v>167</v>
      </c>
      <c r="AN227" s="4">
        <v>167</v>
      </c>
      <c r="AO227" s="4">
        <v>167</v>
      </c>
    </row>
    <row r="228" spans="1:41" hidden="1" x14ac:dyDescent="0.2">
      <c r="A228" t="s">
        <v>671</v>
      </c>
      <c r="B228" t="s">
        <v>140</v>
      </c>
      <c r="C228" s="2">
        <v>45105</v>
      </c>
      <c r="D228" s="2">
        <v>45636</v>
      </c>
      <c r="F228" t="s">
        <v>141</v>
      </c>
      <c r="G228" t="s">
        <v>141</v>
      </c>
      <c r="H228" t="s">
        <v>45</v>
      </c>
      <c r="L228" t="s">
        <v>146</v>
      </c>
      <c r="M228" s="4">
        <v>9</v>
      </c>
      <c r="T228" s="2">
        <v>45636</v>
      </c>
      <c r="U228" t="s">
        <v>49</v>
      </c>
      <c r="V228" t="s">
        <v>71</v>
      </c>
      <c r="W228" t="s">
        <v>51</v>
      </c>
      <c r="Z228" s="4">
        <v>3</v>
      </c>
      <c r="AK228" s="4">
        <v>3</v>
      </c>
      <c r="AM228" s="4">
        <v>3</v>
      </c>
      <c r="AN228" s="4">
        <v>3</v>
      </c>
      <c r="AO228" s="4">
        <v>3</v>
      </c>
    </row>
    <row r="229" spans="1:41" hidden="1" x14ac:dyDescent="0.2">
      <c r="A229" t="s">
        <v>672</v>
      </c>
      <c r="B229" t="s">
        <v>673</v>
      </c>
      <c r="C229" s="2">
        <v>45100</v>
      </c>
      <c r="E229" s="3">
        <v>1338</v>
      </c>
      <c r="F229" t="s">
        <v>674</v>
      </c>
      <c r="G229" t="s">
        <v>106</v>
      </c>
      <c r="H229" t="s">
        <v>45</v>
      </c>
      <c r="I229" s="3">
        <v>10035</v>
      </c>
      <c r="J229" s="3">
        <v>1017870070</v>
      </c>
      <c r="K229" s="3">
        <v>1054628</v>
      </c>
      <c r="L229" t="s">
        <v>153</v>
      </c>
      <c r="M229" s="4">
        <v>8</v>
      </c>
      <c r="N229" t="s">
        <v>374</v>
      </c>
      <c r="O229" t="s">
        <v>155</v>
      </c>
      <c r="P229" s="4">
        <v>40.800871999999998</v>
      </c>
      <c r="Q229" s="4">
        <v>-73.934866</v>
      </c>
      <c r="R229" s="4">
        <v>40.801248999999999</v>
      </c>
      <c r="S229" s="4">
        <v>-73.935436999999993</v>
      </c>
      <c r="U229" t="s">
        <v>49</v>
      </c>
      <c r="V229" t="s">
        <v>71</v>
      </c>
      <c r="W229" t="s">
        <v>51</v>
      </c>
      <c r="X229" s="4">
        <v>156</v>
      </c>
      <c r="Y229" s="4">
        <v>32</v>
      </c>
      <c r="Z229" s="4">
        <v>10</v>
      </c>
      <c r="AB229" s="4">
        <v>10</v>
      </c>
      <c r="AD229" s="4">
        <v>42</v>
      </c>
      <c r="AE229" s="4">
        <v>28</v>
      </c>
      <c r="AF229" s="4">
        <v>138</v>
      </c>
      <c r="AL229" s="4">
        <v>208</v>
      </c>
      <c r="AN229" s="4">
        <v>208</v>
      </c>
      <c r="AO229" s="4">
        <v>208</v>
      </c>
    </row>
    <row r="230" spans="1:41" hidden="1" x14ac:dyDescent="0.2">
      <c r="A230" t="s">
        <v>672</v>
      </c>
      <c r="B230" t="s">
        <v>673</v>
      </c>
      <c r="C230" s="2">
        <v>45100</v>
      </c>
      <c r="E230" s="3">
        <v>1339</v>
      </c>
      <c r="F230" t="s">
        <v>675</v>
      </c>
      <c r="G230" t="s">
        <v>106</v>
      </c>
      <c r="H230" t="s">
        <v>45</v>
      </c>
      <c r="I230" s="3">
        <v>10035</v>
      </c>
      <c r="J230" s="3">
        <v>1017870080</v>
      </c>
      <c r="K230" s="3">
        <v>1054629</v>
      </c>
      <c r="L230" t="s">
        <v>153</v>
      </c>
      <c r="M230" s="4">
        <v>8</v>
      </c>
      <c r="N230" t="s">
        <v>374</v>
      </c>
      <c r="O230" t="s">
        <v>155</v>
      </c>
      <c r="P230" s="4">
        <v>40.801081000000003</v>
      </c>
      <c r="Q230" s="4">
        <v>-73.934718000000004</v>
      </c>
      <c r="R230" s="4">
        <v>40.801530999999997</v>
      </c>
      <c r="S230" s="4">
        <v>-73.935371000000004</v>
      </c>
      <c r="U230" t="s">
        <v>49</v>
      </c>
      <c r="V230" t="s">
        <v>71</v>
      </c>
      <c r="W230" t="s">
        <v>51</v>
      </c>
      <c r="X230" s="4">
        <v>63</v>
      </c>
      <c r="Y230" s="4">
        <v>14</v>
      </c>
      <c r="Z230" s="4">
        <v>7</v>
      </c>
      <c r="AA230" s="4">
        <v>1</v>
      </c>
      <c r="AB230" s="4">
        <v>5</v>
      </c>
      <c r="AC230" s="4">
        <v>2</v>
      </c>
      <c r="AG230" s="4">
        <v>64</v>
      </c>
      <c r="AJ230" s="4">
        <v>28</v>
      </c>
      <c r="AL230" s="4">
        <v>92</v>
      </c>
      <c r="AN230" s="4">
        <v>92</v>
      </c>
      <c r="AO230" s="4">
        <v>92</v>
      </c>
    </row>
    <row r="231" spans="1:41" hidden="1" x14ac:dyDescent="0.2">
      <c r="A231" t="s">
        <v>672</v>
      </c>
      <c r="B231" t="s">
        <v>673</v>
      </c>
      <c r="C231" s="2">
        <v>45100</v>
      </c>
      <c r="E231" s="3">
        <v>2098</v>
      </c>
      <c r="F231" t="s">
        <v>676</v>
      </c>
      <c r="G231" t="s">
        <v>237</v>
      </c>
      <c r="H231" t="s">
        <v>45</v>
      </c>
      <c r="I231" s="3">
        <v>10035</v>
      </c>
      <c r="J231" s="3">
        <v>1017870001</v>
      </c>
      <c r="K231" s="3">
        <v>1054626</v>
      </c>
      <c r="L231" t="s">
        <v>153</v>
      </c>
      <c r="M231" s="4">
        <v>8</v>
      </c>
      <c r="N231" t="s">
        <v>374</v>
      </c>
      <c r="O231" t="s">
        <v>155</v>
      </c>
      <c r="P231" s="4">
        <v>40.801859</v>
      </c>
      <c r="Q231" s="4">
        <v>-73.937147999999993</v>
      </c>
      <c r="R231" s="4">
        <v>40.801935999999998</v>
      </c>
      <c r="S231" s="4">
        <v>-73.936632000000003</v>
      </c>
      <c r="U231" t="s">
        <v>49</v>
      </c>
      <c r="V231" t="s">
        <v>71</v>
      </c>
      <c r="W231" t="s">
        <v>51</v>
      </c>
      <c r="X231" s="4">
        <v>168</v>
      </c>
      <c r="Y231" s="4">
        <v>21</v>
      </c>
      <c r="Z231" s="4">
        <v>15</v>
      </c>
      <c r="AB231" s="4">
        <v>4</v>
      </c>
      <c r="AD231" s="4">
        <v>42</v>
      </c>
      <c r="AE231" s="4">
        <v>74</v>
      </c>
      <c r="AF231" s="4">
        <v>46</v>
      </c>
      <c r="AG231" s="4">
        <v>46</v>
      </c>
      <c r="AL231" s="4">
        <v>208</v>
      </c>
      <c r="AN231" s="4">
        <v>208</v>
      </c>
      <c r="AO231" s="4">
        <v>208</v>
      </c>
    </row>
    <row r="232" spans="1:41" hidden="1" x14ac:dyDescent="0.2">
      <c r="A232" t="s">
        <v>672</v>
      </c>
      <c r="B232" t="s">
        <v>673</v>
      </c>
      <c r="C232" s="2">
        <v>45100</v>
      </c>
      <c r="E232" s="3">
        <v>20396</v>
      </c>
      <c r="F232" t="s">
        <v>170</v>
      </c>
      <c r="G232" t="s">
        <v>677</v>
      </c>
      <c r="H232" t="s">
        <v>45</v>
      </c>
      <c r="I232" s="3">
        <v>10035</v>
      </c>
      <c r="J232" s="3">
        <v>1017870060</v>
      </c>
      <c r="K232" s="3">
        <v>1054627</v>
      </c>
      <c r="L232" t="s">
        <v>153</v>
      </c>
      <c r="M232" s="4">
        <v>8</v>
      </c>
      <c r="N232" t="s">
        <v>374</v>
      </c>
      <c r="O232" t="s">
        <v>155</v>
      </c>
      <c r="P232" s="4">
        <v>40.80151</v>
      </c>
      <c r="Q232" s="4">
        <v>-73.936595999999994</v>
      </c>
      <c r="R232" s="4">
        <v>40.801735000000001</v>
      </c>
      <c r="S232" s="4">
        <v>-73.936150999999995</v>
      </c>
      <c r="U232" t="s">
        <v>49</v>
      </c>
      <c r="V232" t="s">
        <v>71</v>
      </c>
      <c r="W232" t="s">
        <v>51</v>
      </c>
      <c r="X232" s="4">
        <v>115</v>
      </c>
      <c r="Y232" s="4">
        <v>19</v>
      </c>
      <c r="Z232" s="4">
        <v>7</v>
      </c>
      <c r="AB232" s="4">
        <v>7</v>
      </c>
      <c r="AD232" s="4">
        <v>28</v>
      </c>
      <c r="AE232" s="4">
        <v>28</v>
      </c>
      <c r="AG232" s="4">
        <v>92</v>
      </c>
      <c r="AL232" s="4">
        <v>148</v>
      </c>
      <c r="AN232" s="4">
        <v>148</v>
      </c>
      <c r="AO232" s="4">
        <v>148</v>
      </c>
    </row>
    <row r="233" spans="1:41" hidden="1" x14ac:dyDescent="0.2">
      <c r="A233" t="s">
        <v>678</v>
      </c>
      <c r="B233" t="s">
        <v>679</v>
      </c>
      <c r="C233" s="2">
        <v>45100</v>
      </c>
      <c r="D233" s="2">
        <v>45100</v>
      </c>
      <c r="E233" s="3">
        <v>12851</v>
      </c>
      <c r="F233" t="s">
        <v>680</v>
      </c>
      <c r="G233" t="s">
        <v>681</v>
      </c>
      <c r="H233" t="s">
        <v>45</v>
      </c>
      <c r="I233" s="3">
        <v>10016</v>
      </c>
      <c r="J233" s="3">
        <v>1009340015</v>
      </c>
      <c r="K233" s="3">
        <v>1020612</v>
      </c>
      <c r="L233" t="s">
        <v>165</v>
      </c>
      <c r="M233" s="4">
        <v>4</v>
      </c>
      <c r="N233" t="s">
        <v>682</v>
      </c>
      <c r="O233" t="s">
        <v>239</v>
      </c>
      <c r="P233" s="4">
        <v>40.740440999999997</v>
      </c>
      <c r="Q233" s="4">
        <v>-73.977266</v>
      </c>
      <c r="R233" s="4">
        <v>40.740791999999999</v>
      </c>
      <c r="S233" s="4">
        <v>-73.976997999999995</v>
      </c>
      <c r="T233" s="2">
        <v>45100</v>
      </c>
      <c r="U233" t="s">
        <v>49</v>
      </c>
      <c r="V233" t="s">
        <v>50</v>
      </c>
      <c r="W233" t="s">
        <v>51</v>
      </c>
      <c r="X233" s="4">
        <v>205</v>
      </c>
      <c r="Y233" s="4">
        <v>13</v>
      </c>
      <c r="Z233" s="4">
        <v>2</v>
      </c>
      <c r="AB233" s="4">
        <v>4</v>
      </c>
      <c r="AD233" s="4">
        <v>56</v>
      </c>
      <c r="AE233" s="4">
        <v>140</v>
      </c>
      <c r="AF233" s="4">
        <v>28</v>
      </c>
      <c r="AL233" s="4">
        <v>224</v>
      </c>
      <c r="AN233" s="4">
        <v>224</v>
      </c>
      <c r="AO233" s="4">
        <v>224</v>
      </c>
    </row>
    <row r="234" spans="1:41" hidden="1" x14ac:dyDescent="0.2">
      <c r="A234" t="s">
        <v>683</v>
      </c>
      <c r="B234" t="s">
        <v>684</v>
      </c>
      <c r="C234" s="2">
        <v>45092</v>
      </c>
      <c r="E234" s="3">
        <v>24188</v>
      </c>
      <c r="F234" t="s">
        <v>685</v>
      </c>
      <c r="G234" t="s">
        <v>334</v>
      </c>
      <c r="H234" t="s">
        <v>45</v>
      </c>
      <c r="I234" s="3">
        <v>10010</v>
      </c>
      <c r="J234" s="3">
        <v>1008800073</v>
      </c>
      <c r="K234" s="3">
        <v>1018083</v>
      </c>
      <c r="L234" t="s">
        <v>655</v>
      </c>
      <c r="M234" s="4">
        <v>2</v>
      </c>
      <c r="N234" t="s">
        <v>656</v>
      </c>
      <c r="O234" t="s">
        <v>657</v>
      </c>
      <c r="P234" s="4">
        <v>40.740603999999998</v>
      </c>
      <c r="Q234" s="4">
        <v>-73.983959999999996</v>
      </c>
      <c r="R234" s="4">
        <v>40.740783</v>
      </c>
      <c r="S234" s="4">
        <v>-73.984179999999995</v>
      </c>
      <c r="U234" t="s">
        <v>49</v>
      </c>
      <c r="V234" t="s">
        <v>71</v>
      </c>
      <c r="W234" t="s">
        <v>51</v>
      </c>
      <c r="X234" s="4">
        <v>50</v>
      </c>
      <c r="AD234" s="4">
        <v>50</v>
      </c>
      <c r="AL234" s="4">
        <v>50</v>
      </c>
      <c r="AN234" s="4">
        <v>50</v>
      </c>
      <c r="AO234" s="4">
        <v>50</v>
      </c>
    </row>
    <row r="235" spans="1:41" hidden="1" x14ac:dyDescent="0.2">
      <c r="A235" t="s">
        <v>686</v>
      </c>
      <c r="B235" t="s">
        <v>140</v>
      </c>
      <c r="C235" s="2">
        <v>45086</v>
      </c>
      <c r="D235" s="2">
        <v>45086</v>
      </c>
      <c r="F235" t="s">
        <v>141</v>
      </c>
      <c r="G235" t="s">
        <v>141</v>
      </c>
      <c r="H235" t="s">
        <v>45</v>
      </c>
      <c r="L235" t="s">
        <v>146</v>
      </c>
      <c r="M235" s="4">
        <v>9</v>
      </c>
      <c r="T235" s="2">
        <v>45086</v>
      </c>
      <c r="U235" t="s">
        <v>117</v>
      </c>
      <c r="V235" t="s">
        <v>71</v>
      </c>
      <c r="W235" t="s">
        <v>51</v>
      </c>
      <c r="Z235" s="4">
        <v>1</v>
      </c>
      <c r="AE235" s="4">
        <v>1</v>
      </c>
      <c r="AM235" s="4">
        <v>1</v>
      </c>
      <c r="AN235" s="4">
        <v>1</v>
      </c>
      <c r="AO235" s="4">
        <v>1</v>
      </c>
    </row>
    <row r="236" spans="1:41" hidden="1" x14ac:dyDescent="0.2">
      <c r="A236" t="s">
        <v>687</v>
      </c>
      <c r="B236" t="s">
        <v>688</v>
      </c>
      <c r="C236" s="2">
        <v>45083</v>
      </c>
      <c r="D236" s="2">
        <v>45807</v>
      </c>
      <c r="E236" s="3">
        <v>24526</v>
      </c>
      <c r="F236" t="s">
        <v>347</v>
      </c>
      <c r="G236" t="s">
        <v>689</v>
      </c>
      <c r="H236" t="s">
        <v>45</v>
      </c>
      <c r="I236" s="3">
        <v>10039</v>
      </c>
      <c r="J236" s="3">
        <v>1020400023</v>
      </c>
      <c r="K236" s="3">
        <v>1060632</v>
      </c>
      <c r="L236" t="s">
        <v>146</v>
      </c>
      <c r="M236" s="4">
        <v>9</v>
      </c>
      <c r="N236" t="s">
        <v>690</v>
      </c>
      <c r="O236" t="s">
        <v>177</v>
      </c>
      <c r="P236" s="4">
        <v>40.827809000000002</v>
      </c>
      <c r="Q236" s="4">
        <v>-73.935424999999995</v>
      </c>
      <c r="R236" s="4">
        <v>40.827894999999998</v>
      </c>
      <c r="S236" s="4">
        <v>-73.935695999999993</v>
      </c>
      <c r="T236" s="2">
        <v>45807</v>
      </c>
      <c r="U236" t="s">
        <v>117</v>
      </c>
      <c r="V236" t="s">
        <v>71</v>
      </c>
      <c r="W236" t="s">
        <v>51</v>
      </c>
      <c r="AB236" s="4">
        <v>9</v>
      </c>
      <c r="AE236" s="4">
        <v>7</v>
      </c>
      <c r="AF236" s="4">
        <v>2</v>
      </c>
      <c r="AL236" s="4">
        <v>9</v>
      </c>
      <c r="AN236" s="4">
        <v>9</v>
      </c>
      <c r="AO236" s="4">
        <v>29</v>
      </c>
    </row>
    <row r="237" spans="1:41" hidden="1" x14ac:dyDescent="0.2">
      <c r="A237" t="s">
        <v>691</v>
      </c>
      <c r="B237" t="s">
        <v>692</v>
      </c>
      <c r="C237" s="2">
        <v>45079</v>
      </c>
      <c r="D237" s="2">
        <v>45079</v>
      </c>
      <c r="E237" s="3">
        <v>42211</v>
      </c>
      <c r="F237" t="s">
        <v>57</v>
      </c>
      <c r="G237" t="s">
        <v>662</v>
      </c>
      <c r="H237" t="s">
        <v>45</v>
      </c>
      <c r="I237" s="3">
        <v>10039</v>
      </c>
      <c r="J237" s="3">
        <v>1020340027</v>
      </c>
      <c r="K237" s="3">
        <v>1060563</v>
      </c>
      <c r="L237" t="s">
        <v>146</v>
      </c>
      <c r="M237" s="4">
        <v>9</v>
      </c>
      <c r="N237" t="s">
        <v>544</v>
      </c>
      <c r="O237" t="s">
        <v>177</v>
      </c>
      <c r="P237" s="4">
        <v>40.823794999999997</v>
      </c>
      <c r="Q237" s="4">
        <v>-73.938192999999998</v>
      </c>
      <c r="R237" s="4">
        <v>40.824004000000002</v>
      </c>
      <c r="S237" s="4">
        <v>-73.938146000000003</v>
      </c>
      <c r="T237" s="2">
        <v>45079</v>
      </c>
      <c r="U237" t="s">
        <v>49</v>
      </c>
      <c r="V237" t="s">
        <v>50</v>
      </c>
      <c r="W237" t="s">
        <v>51</v>
      </c>
      <c r="Y237" s="4">
        <v>12</v>
      </c>
      <c r="Z237" s="4">
        <v>3</v>
      </c>
      <c r="AD237" s="4">
        <v>2</v>
      </c>
      <c r="AE237" s="4">
        <v>5</v>
      </c>
      <c r="AF237" s="4">
        <v>8</v>
      </c>
      <c r="AL237" s="4">
        <v>15</v>
      </c>
      <c r="AN237" s="4">
        <v>15</v>
      </c>
      <c r="AO237" s="4">
        <v>15</v>
      </c>
    </row>
    <row r="238" spans="1:41" hidden="1" x14ac:dyDescent="0.2">
      <c r="A238" t="s">
        <v>691</v>
      </c>
      <c r="B238" t="s">
        <v>692</v>
      </c>
      <c r="C238" s="2">
        <v>45079</v>
      </c>
      <c r="D238" s="2">
        <v>45079</v>
      </c>
      <c r="E238" s="3">
        <v>42213</v>
      </c>
      <c r="F238" t="s">
        <v>693</v>
      </c>
      <c r="G238" t="s">
        <v>662</v>
      </c>
      <c r="H238" t="s">
        <v>45</v>
      </c>
      <c r="I238" s="3">
        <v>10039</v>
      </c>
      <c r="J238" s="3">
        <v>1020340025</v>
      </c>
      <c r="K238" s="3">
        <v>1060562</v>
      </c>
      <c r="L238" t="s">
        <v>146</v>
      </c>
      <c r="M238" s="4">
        <v>9</v>
      </c>
      <c r="N238" t="s">
        <v>544</v>
      </c>
      <c r="O238" t="s">
        <v>177</v>
      </c>
      <c r="P238" s="4">
        <v>40.823811999999997</v>
      </c>
      <c r="Q238" s="4">
        <v>-73.938232999999997</v>
      </c>
      <c r="R238" s="4">
        <v>40.824052999999999</v>
      </c>
      <c r="S238" s="4">
        <v>-73.938269000000005</v>
      </c>
      <c r="T238" s="2">
        <v>45079</v>
      </c>
      <c r="U238" t="s">
        <v>49</v>
      </c>
      <c r="V238" t="s">
        <v>50</v>
      </c>
      <c r="W238" t="s">
        <v>51</v>
      </c>
      <c r="Y238" s="4">
        <v>10</v>
      </c>
      <c r="Z238" s="4">
        <v>4</v>
      </c>
      <c r="AA238" s="4">
        <v>1</v>
      </c>
      <c r="AD238" s="4">
        <v>2</v>
      </c>
      <c r="AE238" s="4">
        <v>5</v>
      </c>
      <c r="AF238" s="4">
        <v>8</v>
      </c>
      <c r="AL238" s="4">
        <v>15</v>
      </c>
      <c r="AN238" s="4">
        <v>15</v>
      </c>
      <c r="AO238" s="4">
        <v>15</v>
      </c>
    </row>
    <row r="239" spans="1:41" hidden="1" x14ac:dyDescent="0.2">
      <c r="A239" t="s">
        <v>691</v>
      </c>
      <c r="B239" t="s">
        <v>692</v>
      </c>
      <c r="C239" s="2">
        <v>45079</v>
      </c>
      <c r="D239" s="2">
        <v>45079</v>
      </c>
      <c r="E239" s="3">
        <v>42215</v>
      </c>
      <c r="F239" t="s">
        <v>694</v>
      </c>
      <c r="G239" t="s">
        <v>662</v>
      </c>
      <c r="H239" t="s">
        <v>45</v>
      </c>
      <c r="I239" s="3">
        <v>10039</v>
      </c>
      <c r="J239" s="3">
        <v>1020340024</v>
      </c>
      <c r="K239" s="3">
        <v>1060561</v>
      </c>
      <c r="L239" t="s">
        <v>146</v>
      </c>
      <c r="M239" s="4">
        <v>9</v>
      </c>
      <c r="N239" t="s">
        <v>544</v>
      </c>
      <c r="O239" t="s">
        <v>177</v>
      </c>
      <c r="P239" s="4">
        <v>40.823827999999999</v>
      </c>
      <c r="Q239" s="4">
        <v>-73.938272999999995</v>
      </c>
      <c r="R239" s="4">
        <v>40.824106</v>
      </c>
      <c r="S239" s="4">
        <v>-73.938388000000003</v>
      </c>
      <c r="T239" s="2">
        <v>45079</v>
      </c>
      <c r="U239" t="s">
        <v>49</v>
      </c>
      <c r="V239" t="s">
        <v>50</v>
      </c>
      <c r="W239" t="s">
        <v>51</v>
      </c>
      <c r="Y239" s="4">
        <v>14</v>
      </c>
      <c r="Z239" s="4">
        <v>1</v>
      </c>
      <c r="AD239" s="4">
        <v>2</v>
      </c>
      <c r="AE239" s="4">
        <v>5</v>
      </c>
      <c r="AF239" s="4">
        <v>8</v>
      </c>
      <c r="AL239" s="4">
        <v>15</v>
      </c>
      <c r="AN239" s="4">
        <v>15</v>
      </c>
      <c r="AO239" s="4">
        <v>15</v>
      </c>
    </row>
    <row r="240" spans="1:41" hidden="1" x14ac:dyDescent="0.2">
      <c r="A240" t="s">
        <v>691</v>
      </c>
      <c r="B240" t="s">
        <v>692</v>
      </c>
      <c r="C240" s="2">
        <v>45079</v>
      </c>
      <c r="D240" s="2">
        <v>45079</v>
      </c>
      <c r="E240" s="3">
        <v>42217</v>
      </c>
      <c r="F240" t="s">
        <v>695</v>
      </c>
      <c r="G240" t="s">
        <v>662</v>
      </c>
      <c r="H240" t="s">
        <v>45</v>
      </c>
      <c r="I240" s="3">
        <v>10039</v>
      </c>
      <c r="J240" s="3">
        <v>1020340022</v>
      </c>
      <c r="K240" s="3">
        <v>1060560</v>
      </c>
      <c r="L240" t="s">
        <v>146</v>
      </c>
      <c r="M240" s="4">
        <v>9</v>
      </c>
      <c r="N240" t="s">
        <v>544</v>
      </c>
      <c r="O240" t="s">
        <v>177</v>
      </c>
      <c r="P240" s="4">
        <v>40.823844999999999</v>
      </c>
      <c r="Q240" s="4">
        <v>-73.938311999999996</v>
      </c>
      <c r="R240" s="4">
        <v>40.824151999999998</v>
      </c>
      <c r="S240" s="4">
        <v>-73.938503999999995</v>
      </c>
      <c r="T240" s="2">
        <v>45079</v>
      </c>
      <c r="U240" t="s">
        <v>49</v>
      </c>
      <c r="V240" t="s">
        <v>50</v>
      </c>
      <c r="W240" t="s">
        <v>51</v>
      </c>
      <c r="Y240" s="4">
        <v>10</v>
      </c>
      <c r="Z240" s="4">
        <v>4</v>
      </c>
      <c r="AC240" s="4">
        <v>1</v>
      </c>
      <c r="AE240" s="4">
        <v>6</v>
      </c>
      <c r="AF240" s="4">
        <v>7</v>
      </c>
      <c r="AG240" s="4">
        <v>2</v>
      </c>
      <c r="AL240" s="4">
        <v>15</v>
      </c>
      <c r="AN240" s="4">
        <v>15</v>
      </c>
      <c r="AO240" s="4">
        <v>15</v>
      </c>
    </row>
    <row r="241" spans="1:41" hidden="1" x14ac:dyDescent="0.2">
      <c r="A241" t="s">
        <v>691</v>
      </c>
      <c r="B241" t="s">
        <v>692</v>
      </c>
      <c r="C241" s="2">
        <v>45079</v>
      </c>
      <c r="D241" s="2">
        <v>45079</v>
      </c>
      <c r="E241" s="3">
        <v>966646</v>
      </c>
      <c r="F241" t="s">
        <v>547</v>
      </c>
      <c r="G241" t="s">
        <v>662</v>
      </c>
      <c r="H241" t="s">
        <v>45</v>
      </c>
      <c r="I241" s="3">
        <v>10039</v>
      </c>
      <c r="J241" s="3">
        <v>1020340021</v>
      </c>
      <c r="K241" s="3">
        <v>1060559</v>
      </c>
      <c r="L241" t="s">
        <v>146</v>
      </c>
      <c r="M241" s="4">
        <v>9</v>
      </c>
      <c r="N241" t="s">
        <v>544</v>
      </c>
      <c r="O241" t="s">
        <v>177</v>
      </c>
      <c r="P241" s="4">
        <v>40.823861000000001</v>
      </c>
      <c r="Q241" s="4">
        <v>-73.938351999999995</v>
      </c>
      <c r="R241" s="4">
        <v>40.824202</v>
      </c>
      <c r="S241" s="4">
        <v>-73.938623000000007</v>
      </c>
      <c r="T241" s="2">
        <v>45079</v>
      </c>
      <c r="U241" t="s">
        <v>49</v>
      </c>
      <c r="V241" t="s">
        <v>50</v>
      </c>
      <c r="W241" t="s">
        <v>51</v>
      </c>
      <c r="Y241" s="4">
        <v>14</v>
      </c>
      <c r="Z241" s="4">
        <v>1</v>
      </c>
      <c r="AE241" s="4">
        <v>4</v>
      </c>
      <c r="AF241" s="4">
        <v>11</v>
      </c>
      <c r="AL241" s="4">
        <v>15</v>
      </c>
      <c r="AN241" s="4">
        <v>15</v>
      </c>
      <c r="AO241" s="4">
        <v>15</v>
      </c>
    </row>
    <row r="242" spans="1:41" hidden="1" x14ac:dyDescent="0.2">
      <c r="A242" t="s">
        <v>691</v>
      </c>
      <c r="B242" t="s">
        <v>692</v>
      </c>
      <c r="C242" s="2">
        <v>45079</v>
      </c>
      <c r="D242" s="2">
        <v>45079</v>
      </c>
      <c r="E242" s="3">
        <v>966647</v>
      </c>
      <c r="F242" t="s">
        <v>379</v>
      </c>
      <c r="G242" t="s">
        <v>662</v>
      </c>
      <c r="H242" t="s">
        <v>45</v>
      </c>
      <c r="I242" s="3">
        <v>10039</v>
      </c>
      <c r="J242" s="3">
        <v>1020340019</v>
      </c>
      <c r="K242" s="3">
        <v>1060558</v>
      </c>
      <c r="L242" t="s">
        <v>146</v>
      </c>
      <c r="M242" s="4">
        <v>9</v>
      </c>
      <c r="N242" t="s">
        <v>544</v>
      </c>
      <c r="O242" t="s">
        <v>177</v>
      </c>
      <c r="P242" s="4">
        <v>40.823894000000003</v>
      </c>
      <c r="Q242" s="4">
        <v>-73.938432000000006</v>
      </c>
      <c r="R242" s="4">
        <v>40.824250999999997</v>
      </c>
      <c r="S242" s="4">
        <v>-73.938738000000001</v>
      </c>
      <c r="T242" s="2">
        <v>45079</v>
      </c>
      <c r="U242" t="s">
        <v>49</v>
      </c>
      <c r="V242" t="s">
        <v>50</v>
      </c>
      <c r="W242" t="s">
        <v>51</v>
      </c>
      <c r="Y242" s="4">
        <v>10</v>
      </c>
      <c r="AA242" s="4">
        <v>2</v>
      </c>
      <c r="AE242" s="4">
        <v>4</v>
      </c>
      <c r="AF242" s="4">
        <v>8</v>
      </c>
      <c r="AL242" s="4">
        <v>12</v>
      </c>
      <c r="AN242" s="4">
        <v>12</v>
      </c>
      <c r="AO242" s="4">
        <v>12</v>
      </c>
    </row>
    <row r="243" spans="1:41" hidden="1" x14ac:dyDescent="0.2">
      <c r="A243" t="s">
        <v>696</v>
      </c>
      <c r="B243" t="s">
        <v>697</v>
      </c>
      <c r="C243" s="2">
        <v>45079</v>
      </c>
      <c r="E243" s="3">
        <v>23560</v>
      </c>
      <c r="F243" t="s">
        <v>698</v>
      </c>
      <c r="G243" t="s">
        <v>274</v>
      </c>
      <c r="H243" t="s">
        <v>45</v>
      </c>
      <c r="I243" s="3">
        <v>10027</v>
      </c>
      <c r="J243" s="3">
        <v>1019120033</v>
      </c>
      <c r="K243" s="3">
        <v>1057913</v>
      </c>
      <c r="L243" t="s">
        <v>146</v>
      </c>
      <c r="M243" s="4">
        <v>9</v>
      </c>
      <c r="N243" t="s">
        <v>244</v>
      </c>
      <c r="O243" t="s">
        <v>177</v>
      </c>
      <c r="P243" s="4">
        <v>40.809606000000002</v>
      </c>
      <c r="Q243" s="4">
        <v>-73.944159999999997</v>
      </c>
      <c r="R243" s="4">
        <v>40.809646999999998</v>
      </c>
      <c r="S243" s="4">
        <v>-73.944568000000004</v>
      </c>
      <c r="U243" t="s">
        <v>49</v>
      </c>
      <c r="V243" t="s">
        <v>71</v>
      </c>
      <c r="W243" t="s">
        <v>51</v>
      </c>
      <c r="Y243" s="4">
        <v>18</v>
      </c>
      <c r="Z243" s="4">
        <v>7</v>
      </c>
      <c r="AC243" s="4">
        <v>1</v>
      </c>
      <c r="AD243" s="4">
        <v>6</v>
      </c>
      <c r="AE243" s="4">
        <v>8</v>
      </c>
      <c r="AF243" s="4">
        <v>12</v>
      </c>
      <c r="AL243" s="4">
        <v>26</v>
      </c>
      <c r="AN243" s="4">
        <v>26</v>
      </c>
      <c r="AO243" s="4">
        <v>26</v>
      </c>
    </row>
    <row r="244" spans="1:41" hidden="1" x14ac:dyDescent="0.2">
      <c r="A244" t="s">
        <v>699</v>
      </c>
      <c r="B244" t="s">
        <v>140</v>
      </c>
      <c r="C244" s="2">
        <v>45079</v>
      </c>
      <c r="D244" s="2">
        <v>45079</v>
      </c>
      <c r="F244" t="s">
        <v>141</v>
      </c>
      <c r="G244" t="s">
        <v>141</v>
      </c>
      <c r="H244" t="s">
        <v>45</v>
      </c>
      <c r="L244" t="s">
        <v>146</v>
      </c>
      <c r="M244" s="4">
        <v>9</v>
      </c>
      <c r="T244" s="2">
        <v>45079</v>
      </c>
      <c r="U244" t="s">
        <v>117</v>
      </c>
      <c r="V244" t="s">
        <v>71</v>
      </c>
      <c r="W244" t="s">
        <v>51</v>
      </c>
      <c r="Z244" s="4">
        <v>1</v>
      </c>
      <c r="AE244" s="4">
        <v>1</v>
      </c>
      <c r="AM244" s="4">
        <v>1</v>
      </c>
      <c r="AN244" s="4">
        <v>1</v>
      </c>
      <c r="AO244" s="4">
        <v>1</v>
      </c>
    </row>
    <row r="245" spans="1:41" hidden="1" x14ac:dyDescent="0.2">
      <c r="A245" t="s">
        <v>700</v>
      </c>
      <c r="B245" t="s">
        <v>701</v>
      </c>
      <c r="C245" s="2">
        <v>45079</v>
      </c>
      <c r="D245" s="2">
        <v>45420</v>
      </c>
      <c r="E245" s="3">
        <v>1009966</v>
      </c>
      <c r="F245" t="s">
        <v>471</v>
      </c>
      <c r="G245" t="s">
        <v>702</v>
      </c>
      <c r="H245" t="s">
        <v>45</v>
      </c>
      <c r="I245" s="3">
        <v>10030</v>
      </c>
      <c r="J245" s="3">
        <v>1019200057</v>
      </c>
      <c r="K245" s="3">
        <v>1091040</v>
      </c>
      <c r="L245" t="s">
        <v>146</v>
      </c>
      <c r="M245" s="4">
        <v>9</v>
      </c>
      <c r="N245" t="s">
        <v>322</v>
      </c>
      <c r="O245" t="s">
        <v>177</v>
      </c>
      <c r="P245" s="4">
        <v>40.815514</v>
      </c>
      <c r="Q245" s="4">
        <v>-73.942142000000004</v>
      </c>
      <c r="R245" s="4">
        <v>40.815497999999998</v>
      </c>
      <c r="S245" s="4">
        <v>-73.942651999999995</v>
      </c>
      <c r="T245" s="2">
        <v>45420</v>
      </c>
      <c r="U245" t="s">
        <v>117</v>
      </c>
      <c r="V245" t="s">
        <v>71</v>
      </c>
      <c r="W245" t="s">
        <v>51</v>
      </c>
      <c r="AB245" s="4">
        <v>9</v>
      </c>
      <c r="AE245" s="4">
        <v>2</v>
      </c>
      <c r="AF245" s="4">
        <v>2</v>
      </c>
      <c r="AG245" s="4">
        <v>2</v>
      </c>
      <c r="AH245" s="4">
        <v>3</v>
      </c>
      <c r="AL245" s="4">
        <v>9</v>
      </c>
      <c r="AN245" s="4">
        <v>9</v>
      </c>
      <c r="AO245" s="4">
        <v>27</v>
      </c>
    </row>
    <row r="246" spans="1:41" hidden="1" x14ac:dyDescent="0.2">
      <c r="A246" t="s">
        <v>703</v>
      </c>
      <c r="B246" t="s">
        <v>704</v>
      </c>
      <c r="C246" s="2">
        <v>45077</v>
      </c>
      <c r="D246" s="2">
        <v>45077</v>
      </c>
      <c r="E246" s="3">
        <v>872914</v>
      </c>
      <c r="F246" t="s">
        <v>705</v>
      </c>
      <c r="G246" t="s">
        <v>620</v>
      </c>
      <c r="H246" t="s">
        <v>45</v>
      </c>
      <c r="I246" s="3">
        <v>10009</v>
      </c>
      <c r="J246" s="3">
        <v>1003760058</v>
      </c>
      <c r="K246" s="3">
        <v>1075828</v>
      </c>
      <c r="L246" t="s">
        <v>64</v>
      </c>
      <c r="M246" s="4">
        <v>2</v>
      </c>
      <c r="N246" t="s">
        <v>603</v>
      </c>
      <c r="O246" t="s">
        <v>197</v>
      </c>
      <c r="P246" s="4">
        <v>40.723368999999998</v>
      </c>
      <c r="Q246" s="4">
        <v>-73.978931000000003</v>
      </c>
      <c r="R246" s="4">
        <v>40.723385999999998</v>
      </c>
      <c r="S246" s="4">
        <v>-73.978461999999993</v>
      </c>
      <c r="T246" s="2">
        <v>45077</v>
      </c>
      <c r="U246" t="s">
        <v>49</v>
      </c>
      <c r="V246" t="s">
        <v>50</v>
      </c>
      <c r="W246" t="s">
        <v>51</v>
      </c>
      <c r="X246" s="4">
        <v>74</v>
      </c>
      <c r="AC246" s="4">
        <v>1</v>
      </c>
      <c r="AE246" s="4">
        <v>74</v>
      </c>
      <c r="AF246" s="4">
        <v>1</v>
      </c>
      <c r="AL246" s="4">
        <v>75</v>
      </c>
      <c r="AN246" s="4">
        <v>75</v>
      </c>
      <c r="AO246" s="4">
        <v>75</v>
      </c>
    </row>
    <row r="247" spans="1:41" hidden="1" x14ac:dyDescent="0.2">
      <c r="A247" t="s">
        <v>706</v>
      </c>
      <c r="B247" t="s">
        <v>707</v>
      </c>
      <c r="C247" s="2">
        <v>45048</v>
      </c>
      <c r="E247" s="3">
        <v>9861</v>
      </c>
      <c r="F247" t="s">
        <v>708</v>
      </c>
      <c r="G247" t="s">
        <v>558</v>
      </c>
      <c r="H247" t="s">
        <v>45</v>
      </c>
      <c r="I247" s="3">
        <v>10025</v>
      </c>
      <c r="J247" s="3">
        <v>1018440001</v>
      </c>
      <c r="K247" s="3">
        <v>1055708</v>
      </c>
      <c r="L247" t="s">
        <v>46</v>
      </c>
      <c r="M247" s="4">
        <v>7</v>
      </c>
      <c r="N247" t="s">
        <v>54</v>
      </c>
      <c r="O247" t="s">
        <v>48</v>
      </c>
      <c r="P247" s="4">
        <v>40.800683999999997</v>
      </c>
      <c r="Q247" s="4">
        <v>-73.961799999999997</v>
      </c>
      <c r="R247" s="4">
        <v>40.800722</v>
      </c>
      <c r="S247" s="4">
        <v>-73.961381000000003</v>
      </c>
      <c r="U247" t="s">
        <v>49</v>
      </c>
      <c r="V247" t="s">
        <v>71</v>
      </c>
      <c r="W247" t="s">
        <v>51</v>
      </c>
      <c r="X247" s="4">
        <v>15</v>
      </c>
      <c r="Y247" s="4">
        <v>50</v>
      </c>
      <c r="Z247" s="4">
        <v>3</v>
      </c>
      <c r="AD247" s="4">
        <v>8</v>
      </c>
      <c r="AE247" s="4">
        <v>12</v>
      </c>
      <c r="AF247" s="4">
        <v>45</v>
      </c>
      <c r="AG247" s="4">
        <v>3</v>
      </c>
      <c r="AL247" s="4">
        <v>68</v>
      </c>
      <c r="AN247" s="4">
        <v>68</v>
      </c>
      <c r="AO247" s="4">
        <v>68</v>
      </c>
    </row>
    <row r="248" spans="1:41" hidden="1" x14ac:dyDescent="0.2">
      <c r="A248" t="s">
        <v>706</v>
      </c>
      <c r="B248" t="s">
        <v>707</v>
      </c>
      <c r="C248" s="2">
        <v>45048</v>
      </c>
      <c r="E248" s="3">
        <v>25168</v>
      </c>
      <c r="F248" t="s">
        <v>709</v>
      </c>
      <c r="G248" t="s">
        <v>70</v>
      </c>
      <c r="H248" t="s">
        <v>45</v>
      </c>
      <c r="I248" s="3">
        <v>10025</v>
      </c>
      <c r="J248" s="3">
        <v>1018400153</v>
      </c>
      <c r="K248" s="3">
        <v>1055517</v>
      </c>
      <c r="L248" t="s">
        <v>46</v>
      </c>
      <c r="M248" s="4">
        <v>7</v>
      </c>
      <c r="N248" t="s">
        <v>47</v>
      </c>
      <c r="O248" t="s">
        <v>48</v>
      </c>
      <c r="P248" s="4">
        <v>40.797713999999999</v>
      </c>
      <c r="Q248" s="4">
        <v>-73.962185000000005</v>
      </c>
      <c r="R248" s="4">
        <v>40.797790999999997</v>
      </c>
      <c r="S248" s="4">
        <v>-73.962368999999995</v>
      </c>
      <c r="U248" t="s">
        <v>49</v>
      </c>
      <c r="V248" t="s">
        <v>71</v>
      </c>
      <c r="W248" t="s">
        <v>51</v>
      </c>
      <c r="X248" s="4">
        <v>1</v>
      </c>
      <c r="Y248" s="4">
        <v>2</v>
      </c>
      <c r="AE248" s="4">
        <v>3</v>
      </c>
      <c r="AL248" s="4">
        <v>3</v>
      </c>
      <c r="AN248" s="4">
        <v>3</v>
      </c>
      <c r="AO248" s="4">
        <v>3</v>
      </c>
    </row>
    <row r="249" spans="1:41" hidden="1" x14ac:dyDescent="0.2">
      <c r="A249" t="s">
        <v>706</v>
      </c>
      <c r="B249" t="s">
        <v>707</v>
      </c>
      <c r="C249" s="2">
        <v>45048</v>
      </c>
      <c r="E249" s="3">
        <v>37456</v>
      </c>
      <c r="F249" t="s">
        <v>484</v>
      </c>
      <c r="G249" t="s">
        <v>710</v>
      </c>
      <c r="H249" t="s">
        <v>45</v>
      </c>
      <c r="I249" s="3">
        <v>10025</v>
      </c>
      <c r="J249" s="3">
        <v>1018380038</v>
      </c>
      <c r="K249" s="3">
        <v>1055403</v>
      </c>
      <c r="L249" t="s">
        <v>46</v>
      </c>
      <c r="M249" s="4">
        <v>7</v>
      </c>
      <c r="N249" t="s">
        <v>47</v>
      </c>
      <c r="O249" t="s">
        <v>48</v>
      </c>
      <c r="P249" s="4">
        <v>40.796289999999999</v>
      </c>
      <c r="Q249" s="4">
        <v>-73.961889999999997</v>
      </c>
      <c r="R249" s="4">
        <v>40.796182999999999</v>
      </c>
      <c r="S249" s="4">
        <v>-73.962210999999996</v>
      </c>
      <c r="U249" t="s">
        <v>49</v>
      </c>
      <c r="V249" t="s">
        <v>71</v>
      </c>
      <c r="W249" t="s">
        <v>51</v>
      </c>
      <c r="X249" s="4">
        <v>7</v>
      </c>
      <c r="Y249" s="4">
        <v>9</v>
      </c>
      <c r="AE249" s="4">
        <v>4</v>
      </c>
      <c r="AF249" s="4">
        <v>9</v>
      </c>
      <c r="AG249" s="4">
        <v>3</v>
      </c>
      <c r="AL249" s="4">
        <v>16</v>
      </c>
      <c r="AN249" s="4">
        <v>16</v>
      </c>
      <c r="AO249" s="4">
        <v>16</v>
      </c>
    </row>
    <row r="250" spans="1:41" hidden="1" x14ac:dyDescent="0.2">
      <c r="A250" t="s">
        <v>706</v>
      </c>
      <c r="B250" t="s">
        <v>707</v>
      </c>
      <c r="C250" s="2">
        <v>45048</v>
      </c>
      <c r="E250" s="3">
        <v>37458</v>
      </c>
      <c r="F250" t="s">
        <v>711</v>
      </c>
      <c r="G250" t="s">
        <v>710</v>
      </c>
      <c r="H250" t="s">
        <v>45</v>
      </c>
      <c r="I250" s="3">
        <v>10025</v>
      </c>
      <c r="J250" s="3">
        <v>1018380039</v>
      </c>
      <c r="K250" s="3">
        <v>1055404</v>
      </c>
      <c r="L250" t="s">
        <v>46</v>
      </c>
      <c r="M250" s="4">
        <v>7</v>
      </c>
      <c r="N250" t="s">
        <v>47</v>
      </c>
      <c r="O250" t="s">
        <v>48</v>
      </c>
      <c r="P250" s="4">
        <v>40.796339000000003</v>
      </c>
      <c r="Q250" s="4">
        <v>-73.962001999999998</v>
      </c>
      <c r="R250" s="4">
        <v>40.796219000000001</v>
      </c>
      <c r="S250" s="4">
        <v>-73.962294</v>
      </c>
      <c r="U250" t="s">
        <v>49</v>
      </c>
      <c r="V250" t="s">
        <v>71</v>
      </c>
      <c r="W250" t="s">
        <v>51</v>
      </c>
      <c r="X250" s="4">
        <v>8</v>
      </c>
      <c r="Y250" s="4">
        <v>2</v>
      </c>
      <c r="AE250" s="4">
        <v>4</v>
      </c>
      <c r="AF250" s="4">
        <v>5</v>
      </c>
      <c r="AG250" s="4">
        <v>1</v>
      </c>
      <c r="AL250" s="4">
        <v>10</v>
      </c>
      <c r="AN250" s="4">
        <v>10</v>
      </c>
      <c r="AO250" s="4">
        <v>10</v>
      </c>
    </row>
    <row r="251" spans="1:41" hidden="1" x14ac:dyDescent="0.2">
      <c r="A251" t="s">
        <v>712</v>
      </c>
      <c r="B251" t="s">
        <v>140</v>
      </c>
      <c r="C251" s="2">
        <v>45044</v>
      </c>
      <c r="D251" s="2">
        <v>45044</v>
      </c>
      <c r="F251" t="s">
        <v>141</v>
      </c>
      <c r="G251" t="s">
        <v>141</v>
      </c>
      <c r="H251" t="s">
        <v>45</v>
      </c>
      <c r="L251" t="s">
        <v>78</v>
      </c>
      <c r="M251" s="4">
        <v>3</v>
      </c>
      <c r="T251" s="2">
        <v>45044</v>
      </c>
      <c r="U251" t="s">
        <v>117</v>
      </c>
      <c r="V251" t="s">
        <v>71</v>
      </c>
      <c r="W251" t="s">
        <v>51</v>
      </c>
      <c r="Z251" s="4">
        <v>1</v>
      </c>
      <c r="AE251" s="4">
        <v>1</v>
      </c>
      <c r="AM251" s="4">
        <v>1</v>
      </c>
      <c r="AN251" s="4">
        <v>1</v>
      </c>
      <c r="AO251" s="4">
        <v>1</v>
      </c>
    </row>
    <row r="252" spans="1:41" hidden="1" x14ac:dyDescent="0.2">
      <c r="A252" t="s">
        <v>713</v>
      </c>
      <c r="B252" t="s">
        <v>714</v>
      </c>
      <c r="C252" s="2">
        <v>45036</v>
      </c>
      <c r="D252" s="2">
        <v>45716</v>
      </c>
      <c r="E252" s="3">
        <v>15977</v>
      </c>
      <c r="F252" t="s">
        <v>213</v>
      </c>
      <c r="G252" t="s">
        <v>715</v>
      </c>
      <c r="H252" t="s">
        <v>45</v>
      </c>
      <c r="I252" s="3">
        <v>10021</v>
      </c>
      <c r="J252" s="3">
        <v>1013880026</v>
      </c>
      <c r="K252" s="3">
        <v>1041499</v>
      </c>
      <c r="L252" t="s">
        <v>107</v>
      </c>
      <c r="M252" s="4">
        <v>4</v>
      </c>
      <c r="N252" t="s">
        <v>716</v>
      </c>
      <c r="O252" t="s">
        <v>129</v>
      </c>
      <c r="P252" s="4">
        <v>40.772280000000002</v>
      </c>
      <c r="Q252" s="4">
        <v>-73.964473999999996</v>
      </c>
      <c r="R252" s="4">
        <v>40.772370000000002</v>
      </c>
      <c r="S252" s="4">
        <v>-73.964117000000002</v>
      </c>
      <c r="T252" s="2">
        <v>45716</v>
      </c>
      <c r="U252" t="s">
        <v>49</v>
      </c>
      <c r="V252" t="s">
        <v>71</v>
      </c>
      <c r="W252" t="s">
        <v>51</v>
      </c>
      <c r="Z252" s="4">
        <v>99</v>
      </c>
      <c r="AD252" s="4">
        <v>88</v>
      </c>
      <c r="AE252" s="4">
        <v>11</v>
      </c>
      <c r="AL252" s="4">
        <v>99</v>
      </c>
      <c r="AN252" s="4">
        <v>99</v>
      </c>
      <c r="AO252" s="4">
        <v>100</v>
      </c>
    </row>
    <row r="253" spans="1:41" hidden="1" x14ac:dyDescent="0.2">
      <c r="A253" t="s">
        <v>717</v>
      </c>
      <c r="B253" t="s">
        <v>140</v>
      </c>
      <c r="C253" s="2">
        <v>45030</v>
      </c>
      <c r="D253" s="2">
        <v>45030</v>
      </c>
      <c r="F253" t="s">
        <v>141</v>
      </c>
      <c r="G253" t="s">
        <v>141</v>
      </c>
      <c r="H253" t="s">
        <v>45</v>
      </c>
      <c r="L253" t="s">
        <v>146</v>
      </c>
      <c r="M253" s="4">
        <v>9</v>
      </c>
      <c r="T253" s="2">
        <v>45030</v>
      </c>
      <c r="U253" t="s">
        <v>117</v>
      </c>
      <c r="V253" t="s">
        <v>71</v>
      </c>
      <c r="W253" t="s">
        <v>51</v>
      </c>
      <c r="Z253" s="4">
        <v>1</v>
      </c>
      <c r="AE253" s="4">
        <v>1</v>
      </c>
      <c r="AM253" s="4">
        <v>1</v>
      </c>
      <c r="AN253" s="4">
        <v>1</v>
      </c>
      <c r="AO253" s="4">
        <v>1</v>
      </c>
    </row>
    <row r="254" spans="1:41" hidden="1" x14ac:dyDescent="0.2">
      <c r="A254" t="s">
        <v>718</v>
      </c>
      <c r="B254" t="s">
        <v>719</v>
      </c>
      <c r="C254" s="2">
        <v>45000</v>
      </c>
      <c r="D254" s="2">
        <v>45091</v>
      </c>
      <c r="E254" s="3">
        <v>5719</v>
      </c>
      <c r="F254" t="s">
        <v>720</v>
      </c>
      <c r="G254" t="s">
        <v>87</v>
      </c>
      <c r="H254" t="s">
        <v>45</v>
      </c>
      <c r="I254" s="3">
        <v>10032</v>
      </c>
      <c r="J254" s="3">
        <v>1021150036</v>
      </c>
      <c r="K254" s="3">
        <v>1062715</v>
      </c>
      <c r="L254" t="s">
        <v>114</v>
      </c>
      <c r="M254" s="4">
        <v>10</v>
      </c>
      <c r="N254" t="s">
        <v>323</v>
      </c>
      <c r="O254" t="s">
        <v>134</v>
      </c>
      <c r="P254" s="4">
        <v>40.832655000000003</v>
      </c>
      <c r="Q254" s="4">
        <v>-73.9422</v>
      </c>
      <c r="R254" s="4">
        <v>40.832776000000003</v>
      </c>
      <c r="S254" s="4">
        <v>-73.942507000000006</v>
      </c>
      <c r="T254" s="2">
        <v>45091</v>
      </c>
      <c r="U254" t="s">
        <v>117</v>
      </c>
      <c r="V254" t="s">
        <v>71</v>
      </c>
      <c r="W254" t="s">
        <v>51</v>
      </c>
      <c r="AB254" s="4">
        <v>5</v>
      </c>
      <c r="AD254" s="4">
        <v>2</v>
      </c>
      <c r="AF254" s="4">
        <v>3</v>
      </c>
      <c r="AL254" s="4">
        <v>5</v>
      </c>
      <c r="AN254" s="4">
        <v>5</v>
      </c>
      <c r="AO254" s="4">
        <v>14</v>
      </c>
    </row>
    <row r="255" spans="1:41" hidden="1" x14ac:dyDescent="0.2">
      <c r="A255" t="s">
        <v>721</v>
      </c>
      <c r="B255" t="s">
        <v>722</v>
      </c>
      <c r="C255" s="2">
        <v>44995</v>
      </c>
      <c r="E255" s="3">
        <v>37677</v>
      </c>
      <c r="F255" t="s">
        <v>319</v>
      </c>
      <c r="G255" t="s">
        <v>475</v>
      </c>
      <c r="H255" t="s">
        <v>45</v>
      </c>
      <c r="I255" s="3">
        <v>10025</v>
      </c>
      <c r="J255" s="3">
        <v>1018790015</v>
      </c>
      <c r="K255" s="3">
        <v>1056651</v>
      </c>
      <c r="L255" t="s">
        <v>46</v>
      </c>
      <c r="M255" s="4">
        <v>7</v>
      </c>
      <c r="N255" t="s">
        <v>59</v>
      </c>
      <c r="O255" t="s">
        <v>48</v>
      </c>
      <c r="P255" s="4">
        <v>40.801811000000001</v>
      </c>
      <c r="Q255" s="4">
        <v>-73.966846000000004</v>
      </c>
      <c r="R255" s="4">
        <v>40.801932000000001</v>
      </c>
      <c r="S255" s="4">
        <v>-73.966586000000007</v>
      </c>
      <c r="U255" t="s">
        <v>49</v>
      </c>
      <c r="V255" t="s">
        <v>71</v>
      </c>
      <c r="W255" t="s">
        <v>51</v>
      </c>
      <c r="X255" s="4">
        <v>54</v>
      </c>
      <c r="Z255" s="4">
        <v>14</v>
      </c>
      <c r="AC255" s="4">
        <v>1</v>
      </c>
      <c r="AD255" s="4">
        <v>68</v>
      </c>
      <c r="AE255" s="4">
        <v>1</v>
      </c>
      <c r="AL255" s="4">
        <v>69</v>
      </c>
      <c r="AN255" s="4">
        <v>69</v>
      </c>
      <c r="AO255" s="4">
        <v>69</v>
      </c>
    </row>
    <row r="256" spans="1:41" hidden="1" x14ac:dyDescent="0.2">
      <c r="A256" t="s">
        <v>723</v>
      </c>
      <c r="B256" t="s">
        <v>724</v>
      </c>
      <c r="C256" s="2">
        <v>44985</v>
      </c>
      <c r="E256" s="3">
        <v>28070</v>
      </c>
      <c r="F256" t="s">
        <v>669</v>
      </c>
      <c r="G256" t="s">
        <v>345</v>
      </c>
      <c r="H256" t="s">
        <v>45</v>
      </c>
      <c r="I256" s="3">
        <v>10027</v>
      </c>
      <c r="J256" s="3">
        <v>1019260008</v>
      </c>
      <c r="K256" s="3">
        <v>1058463</v>
      </c>
      <c r="L256" t="s">
        <v>146</v>
      </c>
      <c r="M256" s="4">
        <v>9</v>
      </c>
      <c r="N256" t="s">
        <v>256</v>
      </c>
      <c r="O256" t="s">
        <v>148</v>
      </c>
      <c r="P256" s="4">
        <v>40.806899999999999</v>
      </c>
      <c r="Q256" s="4">
        <v>-73.952856999999995</v>
      </c>
      <c r="R256" s="4">
        <v>40.806792999999999</v>
      </c>
      <c r="S256" s="4">
        <v>-73.952567999999999</v>
      </c>
      <c r="T256" s="2">
        <v>45643</v>
      </c>
      <c r="U256" t="s">
        <v>49</v>
      </c>
      <c r="V256" t="s">
        <v>71</v>
      </c>
      <c r="W256" t="s">
        <v>51</v>
      </c>
      <c r="X256" s="4">
        <v>6</v>
      </c>
      <c r="Y256" s="4">
        <v>4</v>
      </c>
      <c r="AE256" s="4">
        <v>5</v>
      </c>
      <c r="AF256" s="4">
        <v>5</v>
      </c>
      <c r="AL256" s="4">
        <v>10</v>
      </c>
      <c r="AN256" s="4">
        <v>10</v>
      </c>
      <c r="AO256" s="4">
        <v>10</v>
      </c>
    </row>
    <row r="257" spans="1:41" hidden="1" x14ac:dyDescent="0.2">
      <c r="A257" t="s">
        <v>723</v>
      </c>
      <c r="B257" t="s">
        <v>724</v>
      </c>
      <c r="C257" s="2">
        <v>44985</v>
      </c>
      <c r="E257" s="3">
        <v>28073</v>
      </c>
      <c r="F257" t="s">
        <v>305</v>
      </c>
      <c r="G257" t="s">
        <v>345</v>
      </c>
      <c r="H257" t="s">
        <v>45</v>
      </c>
      <c r="I257" s="3">
        <v>10027</v>
      </c>
      <c r="J257" s="3">
        <v>1019260061</v>
      </c>
      <c r="K257" s="3">
        <v>1058485</v>
      </c>
      <c r="L257" t="s">
        <v>146</v>
      </c>
      <c r="M257" s="4">
        <v>9</v>
      </c>
      <c r="N257" t="s">
        <v>256</v>
      </c>
      <c r="O257" t="s">
        <v>148</v>
      </c>
      <c r="P257" s="4">
        <v>40.807094999999997</v>
      </c>
      <c r="Q257" s="4">
        <v>-73.952866999999998</v>
      </c>
      <c r="R257" s="4">
        <v>40.807198999999997</v>
      </c>
      <c r="S257" s="4">
        <v>-73.952635999999998</v>
      </c>
      <c r="T257" s="2">
        <v>45652</v>
      </c>
      <c r="U257" t="s">
        <v>49</v>
      </c>
      <c r="V257" t="s">
        <v>71</v>
      </c>
      <c r="W257" t="s">
        <v>51</v>
      </c>
      <c r="X257" s="4">
        <v>5</v>
      </c>
      <c r="Y257" s="4">
        <v>12</v>
      </c>
      <c r="AF257" s="4">
        <v>17</v>
      </c>
      <c r="AL257" s="4">
        <v>17</v>
      </c>
      <c r="AN257" s="4">
        <v>17</v>
      </c>
      <c r="AO257" s="4">
        <v>17</v>
      </c>
    </row>
    <row r="258" spans="1:41" hidden="1" x14ac:dyDescent="0.2">
      <c r="A258" t="s">
        <v>723</v>
      </c>
      <c r="B258" t="s">
        <v>724</v>
      </c>
      <c r="C258" s="2">
        <v>44985</v>
      </c>
      <c r="E258" s="3">
        <v>38110</v>
      </c>
      <c r="F258" t="s">
        <v>435</v>
      </c>
      <c r="G258" t="s">
        <v>725</v>
      </c>
      <c r="H258" t="s">
        <v>45</v>
      </c>
      <c r="I258" s="3">
        <v>10026</v>
      </c>
      <c r="J258" s="3">
        <v>1018230037</v>
      </c>
      <c r="K258" s="3">
        <v>1055020</v>
      </c>
      <c r="L258" t="s">
        <v>146</v>
      </c>
      <c r="M258" s="4">
        <v>9</v>
      </c>
      <c r="N258" t="s">
        <v>312</v>
      </c>
      <c r="O258" t="s">
        <v>148</v>
      </c>
      <c r="P258" s="4">
        <v>40.800871999999998</v>
      </c>
      <c r="Q258" s="4">
        <v>-73.951019000000002</v>
      </c>
      <c r="R258" s="4">
        <v>40.800741000000002</v>
      </c>
      <c r="S258" s="4">
        <v>-73.951279</v>
      </c>
      <c r="T258" s="2">
        <v>45587</v>
      </c>
      <c r="U258" t="s">
        <v>49</v>
      </c>
      <c r="V258" t="s">
        <v>71</v>
      </c>
      <c r="W258" t="s">
        <v>51</v>
      </c>
      <c r="Y258" s="4">
        <v>5</v>
      </c>
      <c r="AG258" s="4">
        <v>5</v>
      </c>
      <c r="AL258" s="4">
        <v>5</v>
      </c>
      <c r="AN258" s="4">
        <v>5</v>
      </c>
      <c r="AO258" s="4">
        <v>5</v>
      </c>
    </row>
    <row r="259" spans="1:41" hidden="1" x14ac:dyDescent="0.2">
      <c r="A259" t="s">
        <v>723</v>
      </c>
      <c r="B259" t="s">
        <v>724</v>
      </c>
      <c r="C259" s="2">
        <v>44985</v>
      </c>
      <c r="E259" s="3">
        <v>38111</v>
      </c>
      <c r="F259" t="s">
        <v>726</v>
      </c>
      <c r="G259" t="s">
        <v>725</v>
      </c>
      <c r="H259" t="s">
        <v>45</v>
      </c>
      <c r="I259" s="3">
        <v>10026</v>
      </c>
      <c r="J259" s="3">
        <v>1018230038</v>
      </c>
      <c r="K259" s="3">
        <v>1055021</v>
      </c>
      <c r="L259" t="s">
        <v>146</v>
      </c>
      <c r="M259" s="4">
        <v>9</v>
      </c>
      <c r="N259" t="s">
        <v>312</v>
      </c>
      <c r="O259" t="s">
        <v>148</v>
      </c>
      <c r="P259" s="4">
        <v>40.800910999999999</v>
      </c>
      <c r="Q259" s="4">
        <v>-73.951113000000007</v>
      </c>
      <c r="R259" s="4">
        <v>40.800773999999997</v>
      </c>
      <c r="S259" s="4">
        <v>-73.951357999999999</v>
      </c>
      <c r="T259" s="2">
        <v>45587</v>
      </c>
      <c r="U259" t="s">
        <v>49</v>
      </c>
      <c r="V259" t="s">
        <v>71</v>
      </c>
      <c r="W259" t="s">
        <v>51</v>
      </c>
      <c r="X259" s="4">
        <v>3</v>
      </c>
      <c r="Y259" s="4">
        <v>6</v>
      </c>
      <c r="Z259" s="4">
        <v>1</v>
      </c>
      <c r="AC259" s="4">
        <v>1</v>
      </c>
      <c r="AD259" s="4">
        <v>1</v>
      </c>
      <c r="AE259" s="4">
        <v>1</v>
      </c>
      <c r="AF259" s="4">
        <v>9</v>
      </c>
      <c r="AL259" s="4">
        <v>11</v>
      </c>
      <c r="AN259" s="4">
        <v>11</v>
      </c>
      <c r="AO259" s="4">
        <v>11</v>
      </c>
    </row>
    <row r="260" spans="1:41" hidden="1" x14ac:dyDescent="0.2">
      <c r="A260" t="s">
        <v>723</v>
      </c>
      <c r="B260" t="s">
        <v>724</v>
      </c>
      <c r="C260" s="2">
        <v>44985</v>
      </c>
      <c r="E260" s="3">
        <v>38303</v>
      </c>
      <c r="F260" t="s">
        <v>727</v>
      </c>
      <c r="G260" t="s">
        <v>317</v>
      </c>
      <c r="H260" t="s">
        <v>45</v>
      </c>
      <c r="I260" s="3">
        <v>10026</v>
      </c>
      <c r="J260" s="3">
        <v>1015990001</v>
      </c>
      <c r="K260" s="3">
        <v>1051413</v>
      </c>
      <c r="L260" t="s">
        <v>146</v>
      </c>
      <c r="M260" s="4">
        <v>9</v>
      </c>
      <c r="N260" t="s">
        <v>275</v>
      </c>
      <c r="O260" t="s">
        <v>148</v>
      </c>
      <c r="P260" s="4">
        <v>40.801174000000003</v>
      </c>
      <c r="Q260" s="4">
        <v>-73.949793999999997</v>
      </c>
      <c r="R260" s="4">
        <v>40.801310999999998</v>
      </c>
      <c r="S260" s="4">
        <v>-73.949689000000006</v>
      </c>
      <c r="U260" t="s">
        <v>49</v>
      </c>
      <c r="V260" t="s">
        <v>71</v>
      </c>
      <c r="W260" t="s">
        <v>51</v>
      </c>
      <c r="X260" s="4">
        <v>3</v>
      </c>
      <c r="Y260" s="4">
        <v>15</v>
      </c>
      <c r="Z260" s="4">
        <v>2</v>
      </c>
      <c r="AD260" s="4">
        <v>1</v>
      </c>
      <c r="AF260" s="4">
        <v>16</v>
      </c>
      <c r="AG260" s="4">
        <v>3</v>
      </c>
      <c r="AL260" s="4">
        <v>20</v>
      </c>
      <c r="AN260" s="4">
        <v>20</v>
      </c>
      <c r="AO260" s="4">
        <v>20</v>
      </c>
    </row>
    <row r="261" spans="1:41" hidden="1" x14ac:dyDescent="0.2">
      <c r="A261" t="s">
        <v>723</v>
      </c>
      <c r="B261" t="s">
        <v>724</v>
      </c>
      <c r="C261" s="2">
        <v>44985</v>
      </c>
      <c r="E261" s="3">
        <v>38681</v>
      </c>
      <c r="F261" t="s">
        <v>728</v>
      </c>
      <c r="G261" t="s">
        <v>504</v>
      </c>
      <c r="H261" t="s">
        <v>45</v>
      </c>
      <c r="I261" s="3">
        <v>10026</v>
      </c>
      <c r="J261" s="3">
        <v>1019040006</v>
      </c>
      <c r="K261" s="3">
        <v>1057534</v>
      </c>
      <c r="L261" t="s">
        <v>146</v>
      </c>
      <c r="M261" s="4">
        <v>9</v>
      </c>
      <c r="N261" t="s">
        <v>256</v>
      </c>
      <c r="O261" t="s">
        <v>148</v>
      </c>
      <c r="P261" s="4">
        <v>40.804617999999998</v>
      </c>
      <c r="Q261" s="4">
        <v>-73.949816999999996</v>
      </c>
      <c r="R261" s="4">
        <v>40.805098999999998</v>
      </c>
      <c r="S261" s="4">
        <v>-73.950387000000006</v>
      </c>
      <c r="U261" t="s">
        <v>49</v>
      </c>
      <c r="V261" t="s">
        <v>71</v>
      </c>
      <c r="W261" t="s">
        <v>51</v>
      </c>
      <c r="X261" s="4">
        <v>10</v>
      </c>
      <c r="Y261" s="4">
        <v>5</v>
      </c>
      <c r="AD261" s="4">
        <v>1</v>
      </c>
      <c r="AE261" s="4">
        <v>14</v>
      </c>
      <c r="AL261" s="4">
        <v>15</v>
      </c>
      <c r="AN261" s="4">
        <v>15</v>
      </c>
      <c r="AO261" s="4">
        <v>15</v>
      </c>
    </row>
    <row r="262" spans="1:41" hidden="1" x14ac:dyDescent="0.2">
      <c r="A262" t="s">
        <v>729</v>
      </c>
      <c r="B262" t="s">
        <v>730</v>
      </c>
      <c r="C262" s="2">
        <v>44974</v>
      </c>
      <c r="E262" s="3">
        <v>1002898</v>
      </c>
      <c r="F262" t="s">
        <v>731</v>
      </c>
      <c r="G262" t="s">
        <v>389</v>
      </c>
      <c r="H262" t="s">
        <v>45</v>
      </c>
      <c r="I262" s="3">
        <v>10034</v>
      </c>
      <c r="J262" s="3">
        <v>1022330010</v>
      </c>
      <c r="K262" s="3">
        <v>1000000</v>
      </c>
      <c r="L262" t="s">
        <v>114</v>
      </c>
      <c r="M262" s="4">
        <v>10</v>
      </c>
      <c r="N262" t="s">
        <v>564</v>
      </c>
      <c r="O262" t="s">
        <v>391</v>
      </c>
      <c r="P262" s="4">
        <v>40.865817999999997</v>
      </c>
      <c r="Q262" s="4">
        <v>-73.926444000000004</v>
      </c>
      <c r="R262" s="4">
        <v>40.865578999999997</v>
      </c>
      <c r="S262" s="4">
        <v>-73.926039000000003</v>
      </c>
      <c r="U262" t="s">
        <v>117</v>
      </c>
      <c r="V262" t="s">
        <v>71</v>
      </c>
      <c r="W262" t="s">
        <v>51</v>
      </c>
      <c r="Y262" s="4">
        <v>9</v>
      </c>
      <c r="Z262" s="4">
        <v>9</v>
      </c>
      <c r="AA262" s="4">
        <v>3</v>
      </c>
      <c r="AD262" s="4">
        <v>5</v>
      </c>
      <c r="AE262" s="4">
        <v>9</v>
      </c>
      <c r="AF262" s="4">
        <v>7</v>
      </c>
      <c r="AL262" s="4">
        <v>21</v>
      </c>
      <c r="AN262" s="4">
        <v>21</v>
      </c>
      <c r="AO262" s="4">
        <v>88</v>
      </c>
    </row>
    <row r="263" spans="1:41" hidden="1" x14ac:dyDescent="0.2">
      <c r="A263" t="s">
        <v>732</v>
      </c>
      <c r="B263" t="s">
        <v>733</v>
      </c>
      <c r="C263" s="2">
        <v>44958</v>
      </c>
      <c r="D263" s="2">
        <v>45251</v>
      </c>
      <c r="E263" s="3">
        <v>42644</v>
      </c>
      <c r="F263" t="s">
        <v>734</v>
      </c>
      <c r="G263" t="s">
        <v>735</v>
      </c>
      <c r="H263" t="s">
        <v>45</v>
      </c>
      <c r="I263" s="3">
        <v>10031</v>
      </c>
      <c r="J263" s="3">
        <v>1020990040</v>
      </c>
      <c r="K263" s="3">
        <v>1062471</v>
      </c>
      <c r="L263" t="s">
        <v>169</v>
      </c>
      <c r="M263" s="4">
        <v>7</v>
      </c>
      <c r="N263" t="s">
        <v>736</v>
      </c>
      <c r="O263" t="s">
        <v>232</v>
      </c>
      <c r="P263" s="4">
        <v>40.831783999999999</v>
      </c>
      <c r="Q263" s="4">
        <v>-73.947545000000005</v>
      </c>
      <c r="R263" s="4">
        <v>40.831642000000002</v>
      </c>
      <c r="S263" s="4">
        <v>-73.947768999999994</v>
      </c>
      <c r="T263" s="2">
        <v>45251</v>
      </c>
      <c r="U263" t="s">
        <v>117</v>
      </c>
      <c r="V263" t="s">
        <v>71</v>
      </c>
      <c r="W263" t="s">
        <v>51</v>
      </c>
      <c r="AB263" s="4">
        <v>72</v>
      </c>
      <c r="AD263" s="4">
        <v>18</v>
      </c>
      <c r="AE263" s="4">
        <v>18</v>
      </c>
      <c r="AF263" s="4">
        <v>36</v>
      </c>
      <c r="AL263" s="4">
        <v>72</v>
      </c>
      <c r="AN263" s="4">
        <v>72</v>
      </c>
      <c r="AO263" s="4">
        <v>238</v>
      </c>
    </row>
    <row r="264" spans="1:41" hidden="1" x14ac:dyDescent="0.2">
      <c r="A264" t="s">
        <v>737</v>
      </c>
      <c r="B264" t="s">
        <v>738</v>
      </c>
      <c r="C264" s="2">
        <v>44953</v>
      </c>
      <c r="E264" s="3">
        <v>975739</v>
      </c>
      <c r="F264" t="s">
        <v>739</v>
      </c>
      <c r="G264" t="s">
        <v>740</v>
      </c>
      <c r="H264" t="s">
        <v>45</v>
      </c>
      <c r="I264" s="3">
        <v>10034</v>
      </c>
      <c r="J264" s="3">
        <v>1021880001</v>
      </c>
      <c r="K264" s="3">
        <v>1089192</v>
      </c>
      <c r="L264" t="s">
        <v>114</v>
      </c>
      <c r="M264" s="4">
        <v>10</v>
      </c>
      <c r="N264" t="s">
        <v>612</v>
      </c>
      <c r="O264" t="s">
        <v>391</v>
      </c>
      <c r="P264" s="4">
        <v>40.86403</v>
      </c>
      <c r="Q264" s="4">
        <v>-73.916803999999999</v>
      </c>
      <c r="R264" s="4">
        <v>40.863771999999997</v>
      </c>
      <c r="S264" s="4">
        <v>-73.916077000000001</v>
      </c>
      <c r="U264" t="s">
        <v>117</v>
      </c>
      <c r="V264" t="s">
        <v>71</v>
      </c>
      <c r="W264" t="s">
        <v>51</v>
      </c>
      <c r="X264" s="4">
        <v>155</v>
      </c>
      <c r="Y264" s="4">
        <v>122</v>
      </c>
      <c r="Z264" s="4">
        <v>152</v>
      </c>
      <c r="AA264" s="4">
        <v>180</v>
      </c>
      <c r="AC264" s="4">
        <v>2</v>
      </c>
      <c r="AD264" s="4">
        <v>152</v>
      </c>
      <c r="AE264" s="4">
        <v>273</v>
      </c>
      <c r="AF264" s="4">
        <v>186</v>
      </c>
      <c r="AL264" s="4">
        <v>611</v>
      </c>
      <c r="AN264" s="4">
        <v>611</v>
      </c>
      <c r="AO264" s="4">
        <v>611</v>
      </c>
    </row>
    <row r="265" spans="1:41" hidden="1" x14ac:dyDescent="0.2">
      <c r="A265" t="s">
        <v>741</v>
      </c>
      <c r="B265" t="s">
        <v>742</v>
      </c>
      <c r="C265" s="2">
        <v>44923</v>
      </c>
      <c r="E265" s="3">
        <v>25246</v>
      </c>
      <c r="F265" t="s">
        <v>743</v>
      </c>
      <c r="G265" t="s">
        <v>70</v>
      </c>
      <c r="H265" t="s">
        <v>45</v>
      </c>
      <c r="I265" s="3">
        <v>10026</v>
      </c>
      <c r="J265" s="3">
        <v>1019430018</v>
      </c>
      <c r="K265" s="3">
        <v>1059012</v>
      </c>
      <c r="L265" t="s">
        <v>146</v>
      </c>
      <c r="M265" s="4">
        <v>9</v>
      </c>
      <c r="N265" t="s">
        <v>298</v>
      </c>
      <c r="O265" t="s">
        <v>148</v>
      </c>
      <c r="P265" s="4">
        <v>40.805197</v>
      </c>
      <c r="Q265" s="4">
        <v>-73.956687000000002</v>
      </c>
      <c r="R265" s="4">
        <v>40.805076999999997</v>
      </c>
      <c r="S265" s="4">
        <v>-73.956462999999999</v>
      </c>
      <c r="U265" t="s">
        <v>49</v>
      </c>
      <c r="V265" t="s">
        <v>71</v>
      </c>
      <c r="W265" t="s">
        <v>51</v>
      </c>
      <c r="AA265" s="4">
        <v>9</v>
      </c>
      <c r="AF265" s="4">
        <v>1</v>
      </c>
      <c r="AG265" s="4">
        <v>8</v>
      </c>
      <c r="AM265" s="4">
        <v>9</v>
      </c>
      <c r="AN265" s="4">
        <v>9</v>
      </c>
      <c r="AO265" s="4">
        <v>9</v>
      </c>
    </row>
    <row r="266" spans="1:41" hidden="1" x14ac:dyDescent="0.2">
      <c r="A266" t="s">
        <v>741</v>
      </c>
      <c r="B266" t="s">
        <v>742</v>
      </c>
      <c r="C266" s="2">
        <v>44923</v>
      </c>
      <c r="E266" s="3">
        <v>25300</v>
      </c>
      <c r="F266" t="s">
        <v>744</v>
      </c>
      <c r="G266" t="s">
        <v>70</v>
      </c>
      <c r="H266" t="s">
        <v>45</v>
      </c>
      <c r="I266" s="3">
        <v>10027</v>
      </c>
      <c r="J266" s="3">
        <v>1019470118</v>
      </c>
      <c r="K266" s="3">
        <v>1059167</v>
      </c>
      <c r="L266" t="s">
        <v>146</v>
      </c>
      <c r="M266" s="4">
        <v>9</v>
      </c>
      <c r="N266" t="s">
        <v>745</v>
      </c>
      <c r="O266" t="s">
        <v>148</v>
      </c>
      <c r="P266" s="4">
        <v>40.807946999999999</v>
      </c>
      <c r="Q266" s="4">
        <v>-73.954679999999996</v>
      </c>
      <c r="R266" s="4">
        <v>40.807718999999999</v>
      </c>
      <c r="S266" s="4">
        <v>-73.954560999999998</v>
      </c>
      <c r="U266" t="s">
        <v>49</v>
      </c>
      <c r="V266" t="s">
        <v>71</v>
      </c>
      <c r="W266" t="s">
        <v>51</v>
      </c>
      <c r="AA266" s="4">
        <v>9</v>
      </c>
      <c r="AE266" s="4">
        <v>9</v>
      </c>
      <c r="AM266" s="4">
        <v>9</v>
      </c>
      <c r="AN266" s="4">
        <v>9</v>
      </c>
      <c r="AO266" s="4">
        <v>9</v>
      </c>
    </row>
    <row r="267" spans="1:41" hidden="1" x14ac:dyDescent="0.2">
      <c r="A267" t="s">
        <v>741</v>
      </c>
      <c r="B267" t="s">
        <v>742</v>
      </c>
      <c r="C267" s="2">
        <v>44923</v>
      </c>
      <c r="E267" s="3">
        <v>38272</v>
      </c>
      <c r="F267" t="s">
        <v>76</v>
      </c>
      <c r="G267" t="s">
        <v>317</v>
      </c>
      <c r="H267" t="s">
        <v>45</v>
      </c>
      <c r="I267" s="3">
        <v>10026</v>
      </c>
      <c r="J267" s="3">
        <v>1018490027</v>
      </c>
      <c r="K267" s="3">
        <v>1055870</v>
      </c>
      <c r="L267" t="s">
        <v>146</v>
      </c>
      <c r="M267" s="4">
        <v>9</v>
      </c>
      <c r="N267" t="s">
        <v>298</v>
      </c>
      <c r="O267" t="s">
        <v>148</v>
      </c>
      <c r="P267" s="4">
        <v>40.804481000000003</v>
      </c>
      <c r="Q267" s="4">
        <v>-73.957622999999998</v>
      </c>
      <c r="R267" s="4">
        <v>40.804766999999998</v>
      </c>
      <c r="S267" s="4">
        <v>-73.957701999999998</v>
      </c>
      <c r="U267" t="s">
        <v>49</v>
      </c>
      <c r="V267" t="s">
        <v>71</v>
      </c>
      <c r="W267" t="s">
        <v>51</v>
      </c>
      <c r="AA267" s="4">
        <v>18</v>
      </c>
      <c r="AF267" s="4">
        <v>8</v>
      </c>
      <c r="AG267" s="4">
        <v>10</v>
      </c>
      <c r="AM267" s="4">
        <v>18</v>
      </c>
      <c r="AN267" s="4">
        <v>18</v>
      </c>
      <c r="AO267" s="4">
        <v>18</v>
      </c>
    </row>
    <row r="268" spans="1:41" hidden="1" x14ac:dyDescent="0.2">
      <c r="A268" t="s">
        <v>746</v>
      </c>
      <c r="B268" t="s">
        <v>747</v>
      </c>
      <c r="C268" s="2">
        <v>44915</v>
      </c>
      <c r="D268" s="2">
        <v>45567</v>
      </c>
      <c r="E268" s="3">
        <v>1006138</v>
      </c>
      <c r="F268" t="s">
        <v>313</v>
      </c>
      <c r="G268" t="s">
        <v>748</v>
      </c>
      <c r="H268" t="s">
        <v>45</v>
      </c>
      <c r="I268" s="3">
        <v>10027</v>
      </c>
      <c r="J268" s="3">
        <v>1019290057</v>
      </c>
      <c r="K268" s="3">
        <v>1091647</v>
      </c>
      <c r="L268" t="s">
        <v>146</v>
      </c>
      <c r="M268" s="4">
        <v>9</v>
      </c>
      <c r="N268" t="s">
        <v>147</v>
      </c>
      <c r="O268" t="s">
        <v>148</v>
      </c>
      <c r="P268" s="4">
        <v>40.808594999999997</v>
      </c>
      <c r="Q268" s="4">
        <v>-73.949556999999999</v>
      </c>
      <c r="R268" s="4">
        <v>40.808661000000001</v>
      </c>
      <c r="S268" s="4">
        <v>-73.950282999999999</v>
      </c>
      <c r="T268" s="2">
        <v>45567</v>
      </c>
      <c r="U268" t="s">
        <v>117</v>
      </c>
      <c r="V268" t="s">
        <v>71</v>
      </c>
      <c r="W268" t="s">
        <v>51</v>
      </c>
      <c r="X268" s="4">
        <v>51</v>
      </c>
      <c r="Y268" s="4">
        <v>43</v>
      </c>
      <c r="Z268" s="4">
        <v>74</v>
      </c>
      <c r="AC268" s="4">
        <v>1</v>
      </c>
      <c r="AD268" s="4">
        <v>81</v>
      </c>
      <c r="AE268" s="4">
        <v>43</v>
      </c>
      <c r="AF268" s="4">
        <v>45</v>
      </c>
      <c r="AL268" s="4">
        <v>169</v>
      </c>
      <c r="AN268" s="4">
        <v>169</v>
      </c>
      <c r="AO268" s="4">
        <v>169</v>
      </c>
    </row>
    <row r="269" spans="1:41" hidden="1" x14ac:dyDescent="0.2">
      <c r="A269" t="s">
        <v>749</v>
      </c>
      <c r="B269" t="s">
        <v>140</v>
      </c>
      <c r="C269" s="2">
        <v>44914</v>
      </c>
      <c r="D269" s="2">
        <v>44914</v>
      </c>
      <c r="F269" t="s">
        <v>141</v>
      </c>
      <c r="G269" t="s">
        <v>141</v>
      </c>
      <c r="H269" t="s">
        <v>45</v>
      </c>
      <c r="L269" t="s">
        <v>169</v>
      </c>
      <c r="M269" s="4">
        <v>7</v>
      </c>
      <c r="T269" s="2">
        <v>44914</v>
      </c>
      <c r="U269" t="s">
        <v>117</v>
      </c>
      <c r="V269" t="s">
        <v>71</v>
      </c>
      <c r="W269" t="s">
        <v>51</v>
      </c>
      <c r="Z269" s="4">
        <v>1</v>
      </c>
      <c r="AG269" s="4">
        <v>1</v>
      </c>
      <c r="AM269" s="4">
        <v>1</v>
      </c>
      <c r="AN269" s="4">
        <v>1</v>
      </c>
      <c r="AO269" s="4">
        <v>1</v>
      </c>
    </row>
    <row r="270" spans="1:41" hidden="1" x14ac:dyDescent="0.2">
      <c r="A270" t="s">
        <v>750</v>
      </c>
      <c r="B270" t="s">
        <v>140</v>
      </c>
      <c r="C270" s="2">
        <v>44911</v>
      </c>
      <c r="D270" s="2">
        <v>44911</v>
      </c>
      <c r="F270" t="s">
        <v>141</v>
      </c>
      <c r="G270" t="s">
        <v>141</v>
      </c>
      <c r="H270" t="s">
        <v>45</v>
      </c>
      <c r="L270" t="s">
        <v>114</v>
      </c>
      <c r="M270" s="4">
        <v>10</v>
      </c>
      <c r="T270" s="2">
        <v>44911</v>
      </c>
      <c r="U270" t="s">
        <v>117</v>
      </c>
      <c r="V270" t="s">
        <v>71</v>
      </c>
      <c r="W270" t="s">
        <v>51</v>
      </c>
      <c r="Z270" s="4">
        <v>1</v>
      </c>
      <c r="AF270" s="4">
        <v>1</v>
      </c>
      <c r="AM270" s="4">
        <v>1</v>
      </c>
      <c r="AN270" s="4">
        <v>1</v>
      </c>
      <c r="AO270" s="4">
        <v>1</v>
      </c>
    </row>
    <row r="271" spans="1:41" hidden="1" x14ac:dyDescent="0.2">
      <c r="A271" t="s">
        <v>751</v>
      </c>
      <c r="B271" t="s">
        <v>752</v>
      </c>
      <c r="C271" s="2">
        <v>44910</v>
      </c>
      <c r="E271" s="3">
        <v>18423</v>
      </c>
      <c r="F271" t="s">
        <v>231</v>
      </c>
      <c r="G271" t="s">
        <v>753</v>
      </c>
      <c r="H271" t="s">
        <v>45</v>
      </c>
      <c r="I271" s="3">
        <v>10128</v>
      </c>
      <c r="J271" s="3">
        <v>1015390010</v>
      </c>
      <c r="K271" s="3">
        <v>1048917</v>
      </c>
      <c r="L271" t="s">
        <v>107</v>
      </c>
      <c r="M271" s="4">
        <v>5</v>
      </c>
      <c r="N271" t="s">
        <v>754</v>
      </c>
      <c r="O271" t="s">
        <v>109</v>
      </c>
      <c r="P271" s="4">
        <v>40.782781</v>
      </c>
      <c r="Q271" s="4">
        <v>-73.949577000000005</v>
      </c>
      <c r="R271" s="4">
        <v>40.782980999999999</v>
      </c>
      <c r="S271" s="4">
        <v>-73.949472</v>
      </c>
      <c r="U271" t="s">
        <v>49</v>
      </c>
      <c r="V271" t="s">
        <v>50</v>
      </c>
      <c r="W271" t="s">
        <v>51</v>
      </c>
      <c r="X271" s="4">
        <v>128</v>
      </c>
      <c r="Y271" s="4">
        <v>2</v>
      </c>
      <c r="Z271" s="4">
        <v>1</v>
      </c>
      <c r="AC271" s="4">
        <v>1</v>
      </c>
      <c r="AD271" s="4">
        <v>32</v>
      </c>
      <c r="AE271" s="4">
        <v>99</v>
      </c>
      <c r="AF271" s="4">
        <v>1</v>
      </c>
      <c r="AL271" s="4">
        <v>132</v>
      </c>
      <c r="AN271" s="4">
        <v>132</v>
      </c>
      <c r="AO271" s="4">
        <v>132</v>
      </c>
    </row>
    <row r="272" spans="1:41" hidden="1" x14ac:dyDescent="0.2">
      <c r="A272" t="s">
        <v>755</v>
      </c>
      <c r="B272" t="s">
        <v>756</v>
      </c>
      <c r="C272" s="2">
        <v>44909</v>
      </c>
      <c r="D272" s="2">
        <v>45175</v>
      </c>
      <c r="E272" s="3">
        <v>1007285</v>
      </c>
      <c r="F272" t="s">
        <v>757</v>
      </c>
      <c r="G272" t="s">
        <v>758</v>
      </c>
      <c r="H272" t="s">
        <v>45</v>
      </c>
      <c r="I272" s="3">
        <v>10029</v>
      </c>
      <c r="J272" s="3">
        <v>1017080033</v>
      </c>
      <c r="K272" s="3">
        <v>1090220</v>
      </c>
      <c r="L272" t="s">
        <v>153</v>
      </c>
      <c r="M272" s="4">
        <v>8</v>
      </c>
      <c r="N272" t="s">
        <v>364</v>
      </c>
      <c r="O272" t="s">
        <v>155</v>
      </c>
      <c r="P272" s="4">
        <v>40.794896999999999</v>
      </c>
      <c r="Q272" s="4">
        <v>-73.934929999999994</v>
      </c>
      <c r="R272" s="4">
        <v>40.79457</v>
      </c>
      <c r="S272" s="4">
        <v>-73.934685000000002</v>
      </c>
      <c r="T272" s="2">
        <v>45175</v>
      </c>
      <c r="U272" t="s">
        <v>117</v>
      </c>
      <c r="V272" t="s">
        <v>71</v>
      </c>
      <c r="W272" t="s">
        <v>51</v>
      </c>
      <c r="AB272" s="4">
        <v>5</v>
      </c>
      <c r="AD272" s="4">
        <v>1</v>
      </c>
      <c r="AE272" s="4">
        <v>1</v>
      </c>
      <c r="AF272" s="4">
        <v>3</v>
      </c>
      <c r="AL272" s="4">
        <v>5</v>
      </c>
      <c r="AN272" s="4">
        <v>5</v>
      </c>
      <c r="AO272" s="4">
        <v>15</v>
      </c>
    </row>
    <row r="273" spans="1:41" hidden="1" x14ac:dyDescent="0.2">
      <c r="A273" t="s">
        <v>759</v>
      </c>
      <c r="B273" t="s">
        <v>760</v>
      </c>
      <c r="C273" s="2">
        <v>44908</v>
      </c>
      <c r="E273" s="3">
        <v>8168</v>
      </c>
      <c r="F273" t="s">
        <v>761</v>
      </c>
      <c r="G273" t="s">
        <v>389</v>
      </c>
      <c r="H273" t="s">
        <v>45</v>
      </c>
      <c r="I273" s="3">
        <v>10032</v>
      </c>
      <c r="J273" s="3">
        <v>1021220077</v>
      </c>
      <c r="K273" s="3">
        <v>1062928</v>
      </c>
      <c r="L273" t="s">
        <v>114</v>
      </c>
      <c r="M273" s="4">
        <v>10</v>
      </c>
      <c r="N273" t="s">
        <v>762</v>
      </c>
      <c r="O273" t="s">
        <v>134</v>
      </c>
      <c r="P273" s="4">
        <v>40.838712000000001</v>
      </c>
      <c r="Q273" s="4">
        <v>-73.941468</v>
      </c>
      <c r="R273" s="4">
        <v>40.838766999999997</v>
      </c>
      <c r="S273" s="4">
        <v>-73.940929999999994</v>
      </c>
      <c r="U273" t="s">
        <v>49</v>
      </c>
      <c r="V273" t="s">
        <v>71</v>
      </c>
      <c r="W273" t="s">
        <v>51</v>
      </c>
      <c r="X273" s="4">
        <v>119</v>
      </c>
      <c r="Y273" s="4">
        <v>20</v>
      </c>
      <c r="Z273" s="4">
        <v>7</v>
      </c>
      <c r="AD273" s="4">
        <v>128</v>
      </c>
      <c r="AE273" s="4">
        <v>10</v>
      </c>
      <c r="AF273" s="4">
        <v>4</v>
      </c>
      <c r="AG273" s="4">
        <v>4</v>
      </c>
      <c r="AL273" s="4">
        <v>146</v>
      </c>
      <c r="AN273" s="4">
        <v>146</v>
      </c>
      <c r="AO273" s="4">
        <v>146</v>
      </c>
    </row>
    <row r="274" spans="1:41" hidden="1" x14ac:dyDescent="0.2">
      <c r="A274" t="s">
        <v>763</v>
      </c>
      <c r="B274" t="s">
        <v>764</v>
      </c>
      <c r="C274" s="2">
        <v>44902</v>
      </c>
      <c r="E274" s="3">
        <v>1006861</v>
      </c>
      <c r="F274" t="s">
        <v>765</v>
      </c>
      <c r="G274" t="s">
        <v>127</v>
      </c>
      <c r="H274" t="s">
        <v>45</v>
      </c>
      <c r="I274" s="3">
        <v>10028</v>
      </c>
      <c r="J274" s="3">
        <v>1015280028</v>
      </c>
      <c r="K274" s="3">
        <v>1000000</v>
      </c>
      <c r="L274" t="s">
        <v>107</v>
      </c>
      <c r="M274" s="4">
        <v>5</v>
      </c>
      <c r="N274" t="s">
        <v>431</v>
      </c>
      <c r="O274" t="s">
        <v>109</v>
      </c>
      <c r="P274" s="4">
        <v>40.776381999999998</v>
      </c>
      <c r="Q274" s="4">
        <v>-73.954275999999993</v>
      </c>
      <c r="R274" s="4">
        <v>40.775863000000001</v>
      </c>
      <c r="S274" s="4">
        <v>-73.953619000000003</v>
      </c>
      <c r="U274" t="s">
        <v>117</v>
      </c>
      <c r="V274" t="s">
        <v>71</v>
      </c>
      <c r="W274" t="s">
        <v>51</v>
      </c>
      <c r="Z274" s="4">
        <v>9</v>
      </c>
      <c r="AF274" s="4">
        <v>9</v>
      </c>
      <c r="AL274" s="4">
        <v>9</v>
      </c>
      <c r="AN274" s="4">
        <v>9</v>
      </c>
      <c r="AO274" s="4">
        <v>128</v>
      </c>
    </row>
    <row r="275" spans="1:41" hidden="1" x14ac:dyDescent="0.2">
      <c r="A275" t="s">
        <v>766</v>
      </c>
      <c r="B275" t="s">
        <v>767</v>
      </c>
      <c r="C275" s="2">
        <v>44897</v>
      </c>
      <c r="E275" s="3">
        <v>35067</v>
      </c>
      <c r="F275" t="s">
        <v>768</v>
      </c>
      <c r="G275" t="s">
        <v>769</v>
      </c>
      <c r="H275" t="s">
        <v>45</v>
      </c>
      <c r="I275" s="3">
        <v>10023</v>
      </c>
      <c r="J275" s="3">
        <v>1011450012</v>
      </c>
      <c r="K275" s="3">
        <v>1030011</v>
      </c>
      <c r="L275" t="s">
        <v>46</v>
      </c>
      <c r="M275" s="4">
        <v>6</v>
      </c>
      <c r="N275" t="s">
        <v>728</v>
      </c>
      <c r="O275" t="s">
        <v>770</v>
      </c>
      <c r="P275" s="4">
        <v>40.778624000000001</v>
      </c>
      <c r="Q275" s="4">
        <v>-73.979527000000004</v>
      </c>
      <c r="R275" s="4">
        <v>40.778956000000001</v>
      </c>
      <c r="S275" s="4">
        <v>-73.979747000000003</v>
      </c>
      <c r="U275" t="s">
        <v>49</v>
      </c>
      <c r="V275" t="s">
        <v>71</v>
      </c>
      <c r="W275" t="s">
        <v>51</v>
      </c>
      <c r="Z275" s="4">
        <v>173</v>
      </c>
      <c r="AD275" s="4">
        <v>68</v>
      </c>
      <c r="AE275" s="4">
        <v>88</v>
      </c>
      <c r="AF275" s="4">
        <v>17</v>
      </c>
      <c r="AL275" s="4">
        <v>173</v>
      </c>
      <c r="AN275" s="4">
        <v>173</v>
      </c>
      <c r="AO275" s="4">
        <v>174</v>
      </c>
    </row>
    <row r="276" spans="1:41" hidden="1" x14ac:dyDescent="0.2">
      <c r="A276" t="s">
        <v>771</v>
      </c>
      <c r="B276" t="s">
        <v>772</v>
      </c>
      <c r="C276" s="2">
        <v>44873</v>
      </c>
      <c r="D276" s="2">
        <v>45232</v>
      </c>
      <c r="E276" s="3">
        <v>1009040</v>
      </c>
      <c r="F276" t="s">
        <v>773</v>
      </c>
      <c r="G276" t="s">
        <v>191</v>
      </c>
      <c r="H276" t="s">
        <v>45</v>
      </c>
      <c r="I276" s="3">
        <v>10029</v>
      </c>
      <c r="J276" s="3">
        <v>1016160052</v>
      </c>
      <c r="K276" s="3">
        <v>1091690</v>
      </c>
      <c r="L276" t="s">
        <v>153</v>
      </c>
      <c r="M276" s="4">
        <v>8</v>
      </c>
      <c r="N276" t="s">
        <v>774</v>
      </c>
      <c r="O276" t="s">
        <v>267</v>
      </c>
      <c r="P276" s="4">
        <v>40.796517000000001</v>
      </c>
      <c r="Q276" s="4">
        <v>-73.947367</v>
      </c>
      <c r="R276" s="4">
        <v>40.796456999999997</v>
      </c>
      <c r="S276" s="4">
        <v>-73.947070999999994</v>
      </c>
      <c r="T276" s="2">
        <v>45232</v>
      </c>
      <c r="U276" t="s">
        <v>117</v>
      </c>
      <c r="V276" t="s">
        <v>71</v>
      </c>
      <c r="W276" t="s">
        <v>51</v>
      </c>
      <c r="AB276" s="4">
        <v>5</v>
      </c>
      <c r="AE276" s="4">
        <v>5</v>
      </c>
      <c r="AL276" s="4">
        <v>5</v>
      </c>
      <c r="AN276" s="4">
        <v>5</v>
      </c>
      <c r="AO276" s="4">
        <v>14</v>
      </c>
    </row>
    <row r="277" spans="1:41" hidden="1" x14ac:dyDescent="0.2">
      <c r="A277" t="s">
        <v>775</v>
      </c>
      <c r="B277" t="s">
        <v>140</v>
      </c>
      <c r="C277" s="2">
        <v>44869</v>
      </c>
      <c r="D277" s="2">
        <v>44869</v>
      </c>
      <c r="F277" t="s">
        <v>141</v>
      </c>
      <c r="G277" t="s">
        <v>141</v>
      </c>
      <c r="H277" t="s">
        <v>45</v>
      </c>
      <c r="L277" t="s">
        <v>46</v>
      </c>
      <c r="M277" s="4">
        <v>7</v>
      </c>
      <c r="T277" s="2">
        <v>44869</v>
      </c>
      <c r="U277" t="s">
        <v>117</v>
      </c>
      <c r="V277" t="s">
        <v>71</v>
      </c>
      <c r="W277" t="s">
        <v>51</v>
      </c>
      <c r="Z277" s="4">
        <v>1</v>
      </c>
      <c r="AE277" s="4">
        <v>1</v>
      </c>
      <c r="AM277" s="4">
        <v>1</v>
      </c>
      <c r="AN277" s="4">
        <v>1</v>
      </c>
      <c r="AO277" s="4">
        <v>1</v>
      </c>
    </row>
    <row r="278" spans="1:41" hidden="1" x14ac:dyDescent="0.2">
      <c r="A278" t="s">
        <v>776</v>
      </c>
      <c r="B278" t="s">
        <v>777</v>
      </c>
      <c r="C278" s="2">
        <v>44868</v>
      </c>
      <c r="D278" s="2">
        <v>45643</v>
      </c>
      <c r="E278" s="3">
        <v>5064</v>
      </c>
      <c r="F278" t="s">
        <v>778</v>
      </c>
      <c r="G278" t="s">
        <v>779</v>
      </c>
      <c r="H278" t="s">
        <v>45</v>
      </c>
      <c r="I278" s="3">
        <v>10018</v>
      </c>
      <c r="J278" s="3">
        <v>1007077501</v>
      </c>
      <c r="K278" s="3">
        <v>1091604</v>
      </c>
      <c r="L278" t="s">
        <v>78</v>
      </c>
      <c r="M278" s="4">
        <v>3</v>
      </c>
      <c r="N278" t="s">
        <v>780</v>
      </c>
      <c r="O278" t="s">
        <v>183</v>
      </c>
      <c r="P278" s="4">
        <v>40.755302999999998</v>
      </c>
      <c r="Q278" s="4">
        <v>-73.998636000000005</v>
      </c>
      <c r="R278" s="4">
        <v>40.755619000000003</v>
      </c>
      <c r="S278" s="4">
        <v>-73.998891999999998</v>
      </c>
      <c r="T278" s="2">
        <v>45643</v>
      </c>
      <c r="U278" t="s">
        <v>117</v>
      </c>
      <c r="V278" t="s">
        <v>71</v>
      </c>
      <c r="W278" t="s">
        <v>51</v>
      </c>
      <c r="Y278" s="4">
        <v>54</v>
      </c>
      <c r="Z278" s="4">
        <v>54</v>
      </c>
      <c r="AA278" s="4">
        <v>27</v>
      </c>
      <c r="AD278" s="4">
        <v>64</v>
      </c>
      <c r="AE278" s="4">
        <v>60</v>
      </c>
      <c r="AF278" s="4">
        <v>11</v>
      </c>
      <c r="AL278" s="4">
        <v>135</v>
      </c>
      <c r="AN278" s="4">
        <v>135</v>
      </c>
      <c r="AO278" s="4">
        <v>532</v>
      </c>
    </row>
    <row r="279" spans="1:41" hidden="1" x14ac:dyDescent="0.2">
      <c r="A279" t="s">
        <v>781</v>
      </c>
      <c r="B279" t="s">
        <v>782</v>
      </c>
      <c r="C279" s="2">
        <v>44868</v>
      </c>
      <c r="D279" s="2">
        <v>45532</v>
      </c>
      <c r="E279" s="3">
        <v>991290</v>
      </c>
      <c r="F279" t="s">
        <v>783</v>
      </c>
      <c r="G279" t="s">
        <v>784</v>
      </c>
      <c r="H279" t="s">
        <v>45</v>
      </c>
      <c r="I279" s="3">
        <v>10002</v>
      </c>
      <c r="J279" s="3">
        <v>1004180051</v>
      </c>
      <c r="K279" s="3">
        <v>1000000</v>
      </c>
      <c r="L279" t="s">
        <v>64</v>
      </c>
      <c r="M279" s="4">
        <v>1</v>
      </c>
      <c r="N279" t="s">
        <v>785</v>
      </c>
      <c r="O279" t="s">
        <v>66</v>
      </c>
      <c r="P279" s="4">
        <v>40.717725000000002</v>
      </c>
      <c r="Q279" s="4">
        <v>-73.992417000000003</v>
      </c>
      <c r="R279" s="4">
        <v>40.717933000000002</v>
      </c>
      <c r="S279" s="4">
        <v>-73.992369999999994</v>
      </c>
      <c r="T279" s="2">
        <v>45532</v>
      </c>
      <c r="U279" t="s">
        <v>117</v>
      </c>
      <c r="V279" t="s">
        <v>71</v>
      </c>
      <c r="W279" t="s">
        <v>51</v>
      </c>
      <c r="Z279" s="4">
        <v>3</v>
      </c>
      <c r="AB279" s="4">
        <v>5</v>
      </c>
      <c r="AE279" s="4">
        <v>8</v>
      </c>
      <c r="AL279" s="4">
        <v>8</v>
      </c>
      <c r="AN279" s="4">
        <v>8</v>
      </c>
      <c r="AO279" s="4">
        <v>25</v>
      </c>
    </row>
    <row r="280" spans="1:41" hidden="1" x14ac:dyDescent="0.2">
      <c r="A280" t="s">
        <v>786</v>
      </c>
      <c r="B280" t="s">
        <v>787</v>
      </c>
      <c r="C280" s="2">
        <v>44862</v>
      </c>
      <c r="D280" s="2">
        <v>45770</v>
      </c>
      <c r="E280" s="3">
        <v>1006419</v>
      </c>
      <c r="F280" t="s">
        <v>788</v>
      </c>
      <c r="G280" t="s">
        <v>265</v>
      </c>
      <c r="H280" t="s">
        <v>45</v>
      </c>
      <c r="I280" s="3">
        <v>10029</v>
      </c>
      <c r="J280" s="3">
        <v>1016220033</v>
      </c>
      <c r="K280" s="3">
        <v>1000000</v>
      </c>
      <c r="L280" t="s">
        <v>153</v>
      </c>
      <c r="M280" s="4">
        <v>8</v>
      </c>
      <c r="N280" t="s">
        <v>789</v>
      </c>
      <c r="O280" t="s">
        <v>155</v>
      </c>
      <c r="P280" s="4">
        <v>40.799208</v>
      </c>
      <c r="Q280" s="4">
        <v>-73.94332</v>
      </c>
      <c r="R280" s="4">
        <v>40.799605999999997</v>
      </c>
      <c r="S280" s="4">
        <v>-73.943489</v>
      </c>
      <c r="T280" s="2">
        <v>45770</v>
      </c>
      <c r="U280" t="s">
        <v>117</v>
      </c>
      <c r="V280" t="s">
        <v>71</v>
      </c>
      <c r="W280" t="s">
        <v>51</v>
      </c>
      <c r="Y280" s="4">
        <v>3</v>
      </c>
      <c r="Z280" s="4">
        <v>3</v>
      </c>
      <c r="AD280" s="4">
        <v>2</v>
      </c>
      <c r="AE280" s="4">
        <v>2</v>
      </c>
      <c r="AF280" s="4">
        <v>2</v>
      </c>
      <c r="AL280" s="4">
        <v>6</v>
      </c>
      <c r="AN280" s="4">
        <v>6</v>
      </c>
      <c r="AO280" s="4">
        <v>24</v>
      </c>
    </row>
    <row r="281" spans="1:41" hidden="1" x14ac:dyDescent="0.2">
      <c r="A281" t="s">
        <v>790</v>
      </c>
      <c r="B281" t="s">
        <v>791</v>
      </c>
      <c r="C281" s="2">
        <v>44846</v>
      </c>
      <c r="D281" s="2">
        <v>45626</v>
      </c>
      <c r="E281" s="3">
        <v>9801</v>
      </c>
      <c r="F281" t="s">
        <v>792</v>
      </c>
      <c r="G281" t="s">
        <v>445</v>
      </c>
      <c r="H281" t="s">
        <v>45</v>
      </c>
      <c r="I281" s="3">
        <v>10025</v>
      </c>
      <c r="J281" s="3">
        <v>1012220029</v>
      </c>
      <c r="K281" s="3">
        <v>1032499</v>
      </c>
      <c r="L281" t="s">
        <v>46</v>
      </c>
      <c r="M281" s="4">
        <v>6</v>
      </c>
      <c r="N281" t="s">
        <v>793</v>
      </c>
      <c r="O281" t="s">
        <v>285</v>
      </c>
      <c r="P281" s="4">
        <v>40.790446000000003</v>
      </c>
      <c r="Q281" s="4">
        <v>-73.969766000000007</v>
      </c>
      <c r="R281" s="4">
        <v>40.790149999999997</v>
      </c>
      <c r="S281" s="4">
        <v>-73.970029999999994</v>
      </c>
      <c r="T281" s="2">
        <v>45626</v>
      </c>
      <c r="U281" t="s">
        <v>49</v>
      </c>
      <c r="V281" t="s">
        <v>71</v>
      </c>
      <c r="W281" t="s">
        <v>51</v>
      </c>
      <c r="X281" s="4">
        <v>30</v>
      </c>
      <c r="Y281" s="4">
        <v>121</v>
      </c>
      <c r="AA281" s="4">
        <v>9</v>
      </c>
      <c r="AC281" s="4">
        <v>1</v>
      </c>
      <c r="AD281" s="4">
        <v>33</v>
      </c>
      <c r="AE281" s="4">
        <v>58</v>
      </c>
      <c r="AF281" s="4">
        <v>47</v>
      </c>
      <c r="AG281" s="4">
        <v>23</v>
      </c>
      <c r="AL281" s="4">
        <v>161</v>
      </c>
      <c r="AN281" s="4">
        <v>161</v>
      </c>
      <c r="AO281" s="4">
        <v>200</v>
      </c>
    </row>
    <row r="282" spans="1:41" hidden="1" x14ac:dyDescent="0.2">
      <c r="A282" t="s">
        <v>794</v>
      </c>
      <c r="B282" t="s">
        <v>140</v>
      </c>
      <c r="C282" s="2">
        <v>44841</v>
      </c>
      <c r="D282" s="2">
        <v>44841</v>
      </c>
      <c r="F282" t="s">
        <v>141</v>
      </c>
      <c r="G282" t="s">
        <v>141</v>
      </c>
      <c r="H282" t="s">
        <v>45</v>
      </c>
      <c r="L282" t="s">
        <v>107</v>
      </c>
      <c r="M282" s="4">
        <v>5</v>
      </c>
      <c r="T282" s="2">
        <v>44841</v>
      </c>
      <c r="U282" t="s">
        <v>117</v>
      </c>
      <c r="V282" t="s">
        <v>71</v>
      </c>
      <c r="W282" t="s">
        <v>51</v>
      </c>
      <c r="Z282" s="4">
        <v>1</v>
      </c>
      <c r="AD282" s="4">
        <v>1</v>
      </c>
      <c r="AM282" s="4">
        <v>1</v>
      </c>
      <c r="AN282" s="4">
        <v>1</v>
      </c>
      <c r="AO282" s="4">
        <v>1</v>
      </c>
    </row>
    <row r="283" spans="1:41" hidden="1" x14ac:dyDescent="0.2">
      <c r="A283" t="s">
        <v>795</v>
      </c>
      <c r="B283" t="s">
        <v>140</v>
      </c>
      <c r="C283" s="2">
        <v>44825</v>
      </c>
      <c r="D283" s="2">
        <v>44825</v>
      </c>
      <c r="F283" t="s">
        <v>141</v>
      </c>
      <c r="G283" t="s">
        <v>141</v>
      </c>
      <c r="H283" t="s">
        <v>45</v>
      </c>
      <c r="L283" t="s">
        <v>169</v>
      </c>
      <c r="M283" s="4">
        <v>7</v>
      </c>
      <c r="T283" s="2">
        <v>44825</v>
      </c>
      <c r="U283" t="s">
        <v>117</v>
      </c>
      <c r="V283" t="s">
        <v>71</v>
      </c>
      <c r="W283" t="s">
        <v>51</v>
      </c>
      <c r="Z283" s="4">
        <v>1</v>
      </c>
      <c r="AF283" s="4">
        <v>1</v>
      </c>
      <c r="AM283" s="4">
        <v>1</v>
      </c>
      <c r="AN283" s="4">
        <v>1</v>
      </c>
      <c r="AO283" s="4">
        <v>1</v>
      </c>
    </row>
    <row r="284" spans="1:41" hidden="1" x14ac:dyDescent="0.2">
      <c r="A284" t="s">
        <v>796</v>
      </c>
      <c r="B284" t="s">
        <v>140</v>
      </c>
      <c r="C284" s="2">
        <v>44785</v>
      </c>
      <c r="D284" s="2">
        <v>44785</v>
      </c>
      <c r="F284" t="s">
        <v>141</v>
      </c>
      <c r="G284" t="s">
        <v>141</v>
      </c>
      <c r="H284" t="s">
        <v>45</v>
      </c>
      <c r="L284" t="s">
        <v>146</v>
      </c>
      <c r="M284" s="4">
        <v>9</v>
      </c>
      <c r="T284" s="2">
        <v>44785</v>
      </c>
      <c r="U284" t="s">
        <v>117</v>
      </c>
      <c r="V284" t="s">
        <v>71</v>
      </c>
      <c r="W284" t="s">
        <v>51</v>
      </c>
      <c r="Z284" s="4">
        <v>1</v>
      </c>
      <c r="AF284" s="4">
        <v>1</v>
      </c>
      <c r="AM284" s="4">
        <v>1</v>
      </c>
      <c r="AN284" s="4">
        <v>1</v>
      </c>
      <c r="AO284" s="4">
        <v>1</v>
      </c>
    </row>
    <row r="285" spans="1:41" hidden="1" x14ac:dyDescent="0.2">
      <c r="A285" t="s">
        <v>797</v>
      </c>
      <c r="B285" t="s">
        <v>798</v>
      </c>
      <c r="C285" s="2">
        <v>44777</v>
      </c>
      <c r="E285" s="3">
        <v>1002401</v>
      </c>
      <c r="F285" t="s">
        <v>799</v>
      </c>
      <c r="G285" t="s">
        <v>800</v>
      </c>
      <c r="H285" t="s">
        <v>45</v>
      </c>
      <c r="I285" s="3">
        <v>10034</v>
      </c>
      <c r="J285" s="3">
        <v>1022030021</v>
      </c>
      <c r="K285" s="3">
        <v>1000000</v>
      </c>
      <c r="L285" t="s">
        <v>114</v>
      </c>
      <c r="M285" s="4">
        <v>10</v>
      </c>
      <c r="N285" t="s">
        <v>612</v>
      </c>
      <c r="O285" t="s">
        <v>391</v>
      </c>
      <c r="P285" s="4">
        <v>40.863166999999997</v>
      </c>
      <c r="Q285" s="4">
        <v>-73.917885999999996</v>
      </c>
      <c r="R285" s="4">
        <v>40.863446000000003</v>
      </c>
      <c r="S285" s="4">
        <v>-73.917603</v>
      </c>
      <c r="U285" t="s">
        <v>117</v>
      </c>
      <c r="V285" t="s">
        <v>71</v>
      </c>
      <c r="W285" t="s">
        <v>51</v>
      </c>
      <c r="Y285" s="4">
        <v>34</v>
      </c>
      <c r="Z285" s="4">
        <v>56</v>
      </c>
      <c r="AA285" s="4">
        <v>22</v>
      </c>
      <c r="AD285" s="4">
        <v>19</v>
      </c>
      <c r="AE285" s="4">
        <v>66</v>
      </c>
      <c r="AF285" s="4">
        <v>25</v>
      </c>
      <c r="AG285" s="4">
        <v>2</v>
      </c>
      <c r="AL285" s="4">
        <v>112</v>
      </c>
      <c r="AN285" s="4">
        <v>112</v>
      </c>
      <c r="AO285" s="4">
        <v>224</v>
      </c>
    </row>
    <row r="286" spans="1:41" hidden="1" x14ac:dyDescent="0.2">
      <c r="A286" t="s">
        <v>801</v>
      </c>
      <c r="B286" t="s">
        <v>802</v>
      </c>
      <c r="C286" s="2">
        <v>44777</v>
      </c>
      <c r="E286" s="3">
        <v>1002399</v>
      </c>
      <c r="F286" t="s">
        <v>803</v>
      </c>
      <c r="G286" t="s">
        <v>800</v>
      </c>
      <c r="H286" t="s">
        <v>45</v>
      </c>
      <c r="I286" s="3">
        <v>10034</v>
      </c>
      <c r="J286" s="3">
        <v>1022030009</v>
      </c>
      <c r="K286" s="3">
        <v>1000000</v>
      </c>
      <c r="L286" t="s">
        <v>114</v>
      </c>
      <c r="M286" s="4">
        <v>10</v>
      </c>
      <c r="N286" t="s">
        <v>612</v>
      </c>
      <c r="O286" t="s">
        <v>391</v>
      </c>
      <c r="P286" s="4">
        <v>40.863177999999998</v>
      </c>
      <c r="Q286" s="4">
        <v>-73.917911000000004</v>
      </c>
      <c r="R286" s="4">
        <v>40.863712999999997</v>
      </c>
      <c r="S286" s="4">
        <v>-73.918239</v>
      </c>
      <c r="U286" t="s">
        <v>117</v>
      </c>
      <c r="V286" t="s">
        <v>71</v>
      </c>
      <c r="W286" t="s">
        <v>51</v>
      </c>
      <c r="Y286" s="4">
        <v>74</v>
      </c>
      <c r="Z286" s="4">
        <v>117</v>
      </c>
      <c r="AA286" s="4">
        <v>47</v>
      </c>
      <c r="AD286" s="4">
        <v>29</v>
      </c>
      <c r="AE286" s="4">
        <v>140</v>
      </c>
      <c r="AF286" s="4">
        <v>65</v>
      </c>
      <c r="AG286" s="4">
        <v>4</v>
      </c>
      <c r="AL286" s="4">
        <v>238</v>
      </c>
      <c r="AN286" s="4">
        <v>238</v>
      </c>
      <c r="AO286" s="4">
        <v>474</v>
      </c>
    </row>
    <row r="287" spans="1:41" hidden="1" x14ac:dyDescent="0.2">
      <c r="A287" t="s">
        <v>804</v>
      </c>
      <c r="B287" t="s">
        <v>805</v>
      </c>
      <c r="C287" s="2">
        <v>44742</v>
      </c>
      <c r="E287" s="3">
        <v>3691</v>
      </c>
      <c r="F287" t="s">
        <v>694</v>
      </c>
      <c r="G287" t="s">
        <v>546</v>
      </c>
      <c r="H287" t="s">
        <v>45</v>
      </c>
      <c r="I287" s="3">
        <v>10011</v>
      </c>
      <c r="J287" s="3">
        <v>1007970080</v>
      </c>
      <c r="K287" s="3">
        <v>1000000</v>
      </c>
      <c r="L287" t="s">
        <v>78</v>
      </c>
      <c r="M287" s="4">
        <v>3</v>
      </c>
      <c r="N287" t="s">
        <v>806</v>
      </c>
      <c r="O287" t="s">
        <v>183</v>
      </c>
      <c r="P287" s="4">
        <v>40.743333999999997</v>
      </c>
      <c r="Q287" s="4">
        <v>-73.996185999999994</v>
      </c>
      <c r="R287" s="4">
        <v>40.743177000000003</v>
      </c>
      <c r="S287" s="4">
        <v>-73.996011999999993</v>
      </c>
      <c r="U287" t="s">
        <v>117</v>
      </c>
      <c r="V287" t="s">
        <v>71</v>
      </c>
      <c r="W287" t="s">
        <v>51</v>
      </c>
      <c r="AB287" s="4">
        <v>26</v>
      </c>
      <c r="AD287" s="4">
        <v>9</v>
      </c>
      <c r="AE287" s="4">
        <v>10</v>
      </c>
      <c r="AF287" s="4">
        <v>5</v>
      </c>
      <c r="AG287" s="4">
        <v>2</v>
      </c>
      <c r="AM287" s="4">
        <v>26</v>
      </c>
      <c r="AN287" s="4">
        <v>26</v>
      </c>
      <c r="AO287" s="4">
        <v>26</v>
      </c>
    </row>
    <row r="288" spans="1:41" hidden="1" x14ac:dyDescent="0.2">
      <c r="A288" t="s">
        <v>807</v>
      </c>
      <c r="B288" t="s">
        <v>808</v>
      </c>
      <c r="C288" s="2">
        <v>44742</v>
      </c>
      <c r="D288" s="2">
        <v>45419</v>
      </c>
      <c r="E288" s="3">
        <v>4187</v>
      </c>
      <c r="F288" t="s">
        <v>809</v>
      </c>
      <c r="G288" t="s">
        <v>175</v>
      </c>
      <c r="H288" t="s">
        <v>45</v>
      </c>
      <c r="I288" s="3">
        <v>10039</v>
      </c>
      <c r="J288" s="3">
        <v>1020460056</v>
      </c>
      <c r="K288" s="3">
        <v>1060874</v>
      </c>
      <c r="L288" t="s">
        <v>146</v>
      </c>
      <c r="M288" s="4">
        <v>9</v>
      </c>
      <c r="N288" t="s">
        <v>176</v>
      </c>
      <c r="O288" t="s">
        <v>177</v>
      </c>
      <c r="P288" s="4">
        <v>40.827350000000003</v>
      </c>
      <c r="Q288" s="4">
        <v>-73.938633999999993</v>
      </c>
      <c r="R288" s="4">
        <v>40.827497999999999</v>
      </c>
      <c r="S288" s="4">
        <v>-73.938916000000006</v>
      </c>
      <c r="T288" s="2">
        <v>45419</v>
      </c>
      <c r="U288" t="s">
        <v>49</v>
      </c>
      <c r="V288" t="s">
        <v>71</v>
      </c>
      <c r="W288" t="s">
        <v>51</v>
      </c>
      <c r="X288" s="4">
        <v>6</v>
      </c>
      <c r="Y288" s="4">
        <v>12</v>
      </c>
      <c r="Z288" s="4">
        <v>2</v>
      </c>
      <c r="AE288" s="4">
        <v>7</v>
      </c>
      <c r="AF288" s="4">
        <v>11</v>
      </c>
      <c r="AG288" s="4">
        <v>2</v>
      </c>
      <c r="AL288" s="4">
        <v>20</v>
      </c>
      <c r="AN288" s="4">
        <v>20</v>
      </c>
      <c r="AO288" s="4">
        <v>20</v>
      </c>
    </row>
    <row r="289" spans="1:41" hidden="1" x14ac:dyDescent="0.2">
      <c r="A289" t="s">
        <v>807</v>
      </c>
      <c r="B289" t="s">
        <v>808</v>
      </c>
      <c r="C289" s="2">
        <v>44742</v>
      </c>
      <c r="D289" s="2">
        <v>45419</v>
      </c>
      <c r="E289" s="3">
        <v>7465</v>
      </c>
      <c r="F289" t="s">
        <v>789</v>
      </c>
      <c r="G289" t="s">
        <v>810</v>
      </c>
      <c r="H289" t="s">
        <v>45</v>
      </c>
      <c r="I289" s="3">
        <v>10039</v>
      </c>
      <c r="J289" s="3">
        <v>1020460022</v>
      </c>
      <c r="K289" s="3">
        <v>1060857</v>
      </c>
      <c r="L289" t="s">
        <v>146</v>
      </c>
      <c r="M289" s="4">
        <v>9</v>
      </c>
      <c r="N289" t="s">
        <v>176</v>
      </c>
      <c r="O289" t="s">
        <v>177</v>
      </c>
      <c r="P289" s="4">
        <v>40.826839999999997</v>
      </c>
      <c r="Q289" s="4">
        <v>-73.940271999999993</v>
      </c>
      <c r="R289" s="4">
        <v>40.826684</v>
      </c>
      <c r="S289" s="4">
        <v>-73.940072999999998</v>
      </c>
      <c r="T289" s="2">
        <v>45419</v>
      </c>
      <c r="U289" t="s">
        <v>49</v>
      </c>
      <c r="V289" t="s">
        <v>71</v>
      </c>
      <c r="W289" t="s">
        <v>51</v>
      </c>
      <c r="X289" s="4">
        <v>4</v>
      </c>
      <c r="Y289" s="4">
        <v>11</v>
      </c>
      <c r="Z289" s="4">
        <v>1</v>
      </c>
      <c r="AC289" s="4">
        <v>1</v>
      </c>
      <c r="AD289" s="4">
        <v>2</v>
      </c>
      <c r="AE289" s="4">
        <v>6</v>
      </c>
      <c r="AF289" s="4">
        <v>2</v>
      </c>
      <c r="AG289" s="4">
        <v>6</v>
      </c>
      <c r="AH289" s="4">
        <v>1</v>
      </c>
      <c r="AL289" s="4">
        <v>17</v>
      </c>
      <c r="AN289" s="4">
        <v>17</v>
      </c>
      <c r="AO289" s="4">
        <v>17</v>
      </c>
    </row>
    <row r="290" spans="1:41" hidden="1" x14ac:dyDescent="0.2">
      <c r="A290" t="s">
        <v>807</v>
      </c>
      <c r="B290" t="s">
        <v>808</v>
      </c>
      <c r="C290" s="2">
        <v>44742</v>
      </c>
      <c r="D290" s="2">
        <v>45419</v>
      </c>
      <c r="E290" s="3">
        <v>7477</v>
      </c>
      <c r="F290" t="s">
        <v>309</v>
      </c>
      <c r="G290" t="s">
        <v>810</v>
      </c>
      <c r="H290" t="s">
        <v>45</v>
      </c>
      <c r="I290" s="3">
        <v>10039</v>
      </c>
      <c r="J290" s="3">
        <v>1020470003</v>
      </c>
      <c r="K290" s="3">
        <v>1060881</v>
      </c>
      <c r="L290" t="s">
        <v>146</v>
      </c>
      <c r="M290" s="4">
        <v>9</v>
      </c>
      <c r="N290" t="s">
        <v>176</v>
      </c>
      <c r="O290" t="s">
        <v>177</v>
      </c>
      <c r="P290" s="4">
        <v>40.828467000000003</v>
      </c>
      <c r="Q290" s="4">
        <v>-73.939165000000003</v>
      </c>
      <c r="R290" s="4">
        <v>40.828415</v>
      </c>
      <c r="S290" s="4">
        <v>-73.938883000000004</v>
      </c>
      <c r="T290" s="2">
        <v>45419</v>
      </c>
      <c r="U290" t="s">
        <v>49</v>
      </c>
      <c r="V290" t="s">
        <v>71</v>
      </c>
      <c r="W290" t="s">
        <v>51</v>
      </c>
      <c r="X290" s="4">
        <v>1</v>
      </c>
      <c r="Y290" s="4">
        <v>10</v>
      </c>
      <c r="AD290" s="4">
        <v>1</v>
      </c>
      <c r="AE290" s="4">
        <v>1</v>
      </c>
      <c r="AF290" s="4">
        <v>5</v>
      </c>
      <c r="AG290" s="4">
        <v>4</v>
      </c>
      <c r="AL290" s="4">
        <v>11</v>
      </c>
      <c r="AN290" s="4">
        <v>11</v>
      </c>
      <c r="AO290" s="4">
        <v>11</v>
      </c>
    </row>
    <row r="291" spans="1:41" hidden="1" x14ac:dyDescent="0.2">
      <c r="A291" t="s">
        <v>807</v>
      </c>
      <c r="B291" t="s">
        <v>808</v>
      </c>
      <c r="C291" s="2">
        <v>44742</v>
      </c>
      <c r="D291" s="2">
        <v>45419</v>
      </c>
      <c r="E291" s="3">
        <v>7478</v>
      </c>
      <c r="F291" t="s">
        <v>222</v>
      </c>
      <c r="G291" t="s">
        <v>810</v>
      </c>
      <c r="H291" t="s">
        <v>45</v>
      </c>
      <c r="I291" s="3">
        <v>10039</v>
      </c>
      <c r="J291" s="3">
        <v>1020470004</v>
      </c>
      <c r="K291" s="3">
        <v>1060882</v>
      </c>
      <c r="L291" t="s">
        <v>146</v>
      </c>
      <c r="M291" s="4">
        <v>9</v>
      </c>
      <c r="N291" t="s">
        <v>176</v>
      </c>
      <c r="O291" t="s">
        <v>177</v>
      </c>
      <c r="P291" s="4">
        <v>40.828605000000003</v>
      </c>
      <c r="Q291" s="4">
        <v>-73.939107000000007</v>
      </c>
      <c r="R291" s="4">
        <v>40.828496999999999</v>
      </c>
      <c r="S291" s="4">
        <v>-73.938839000000002</v>
      </c>
      <c r="T291" s="2">
        <v>45419</v>
      </c>
      <c r="U291" t="s">
        <v>49</v>
      </c>
      <c r="V291" t="s">
        <v>71</v>
      </c>
      <c r="W291" t="s">
        <v>51</v>
      </c>
      <c r="X291" s="4">
        <v>2</v>
      </c>
      <c r="Y291" s="4">
        <v>7</v>
      </c>
      <c r="Z291" s="4">
        <v>1</v>
      </c>
      <c r="AE291" s="4">
        <v>4</v>
      </c>
      <c r="AF291" s="4">
        <v>4</v>
      </c>
      <c r="AG291" s="4">
        <v>2</v>
      </c>
      <c r="AL291" s="4">
        <v>10</v>
      </c>
      <c r="AN291" s="4">
        <v>10</v>
      </c>
      <c r="AO291" s="4">
        <v>10</v>
      </c>
    </row>
    <row r="292" spans="1:41" hidden="1" x14ac:dyDescent="0.2">
      <c r="A292" t="s">
        <v>807</v>
      </c>
      <c r="B292" t="s">
        <v>808</v>
      </c>
      <c r="C292" s="2">
        <v>44742</v>
      </c>
      <c r="D292" s="2">
        <v>45419</v>
      </c>
      <c r="E292" s="3">
        <v>25515</v>
      </c>
      <c r="F292" t="s">
        <v>811</v>
      </c>
      <c r="G292" t="s">
        <v>297</v>
      </c>
      <c r="H292" t="s">
        <v>45</v>
      </c>
      <c r="I292" s="3">
        <v>10027</v>
      </c>
      <c r="J292" s="3">
        <v>1019500064</v>
      </c>
      <c r="K292" s="3">
        <v>1059285</v>
      </c>
      <c r="L292" t="s">
        <v>169</v>
      </c>
      <c r="M292" s="4">
        <v>9</v>
      </c>
      <c r="N292" t="s">
        <v>250</v>
      </c>
      <c r="O292" t="s">
        <v>251</v>
      </c>
      <c r="P292" s="4">
        <v>40.810423</v>
      </c>
      <c r="Q292" s="4">
        <v>-73.954693000000006</v>
      </c>
      <c r="R292" s="4">
        <v>40.810282000000001</v>
      </c>
      <c r="S292" s="4">
        <v>-73.954425999999998</v>
      </c>
      <c r="T292" s="2">
        <v>45419</v>
      </c>
      <c r="U292" t="s">
        <v>49</v>
      </c>
      <c r="V292" t="s">
        <v>71</v>
      </c>
      <c r="W292" t="s">
        <v>51</v>
      </c>
      <c r="X292" s="4">
        <v>4</v>
      </c>
      <c r="Y292" s="4">
        <v>3</v>
      </c>
      <c r="Z292" s="4">
        <v>3</v>
      </c>
      <c r="AD292" s="4">
        <v>1</v>
      </c>
      <c r="AF292" s="4">
        <v>9</v>
      </c>
      <c r="AL292" s="4">
        <v>10</v>
      </c>
      <c r="AN292" s="4">
        <v>10</v>
      </c>
      <c r="AO292" s="4">
        <v>10</v>
      </c>
    </row>
    <row r="293" spans="1:41" hidden="1" x14ac:dyDescent="0.2">
      <c r="A293" t="s">
        <v>807</v>
      </c>
      <c r="B293" t="s">
        <v>808</v>
      </c>
      <c r="C293" s="2">
        <v>44742</v>
      </c>
      <c r="D293" s="2">
        <v>45419</v>
      </c>
      <c r="E293" s="3">
        <v>25516</v>
      </c>
      <c r="F293" t="s">
        <v>812</v>
      </c>
      <c r="G293" t="s">
        <v>297</v>
      </c>
      <c r="H293" t="s">
        <v>45</v>
      </c>
      <c r="I293" s="3">
        <v>10027</v>
      </c>
      <c r="J293" s="3">
        <v>1019500063</v>
      </c>
      <c r="K293" s="3">
        <v>1059284</v>
      </c>
      <c r="L293" t="s">
        <v>169</v>
      </c>
      <c r="M293" s="4">
        <v>9</v>
      </c>
      <c r="N293" t="s">
        <v>250</v>
      </c>
      <c r="O293" t="s">
        <v>251</v>
      </c>
      <c r="P293" s="4">
        <v>40.810460999999997</v>
      </c>
      <c r="Q293" s="4">
        <v>-73.954663999999994</v>
      </c>
      <c r="R293" s="4">
        <v>40.810343000000003</v>
      </c>
      <c r="S293" s="4">
        <v>-73.954381999999995</v>
      </c>
      <c r="T293" s="2">
        <v>45419</v>
      </c>
      <c r="U293" t="s">
        <v>49</v>
      </c>
      <c r="V293" t="s">
        <v>71</v>
      </c>
      <c r="W293" t="s">
        <v>51</v>
      </c>
      <c r="X293" s="4">
        <v>5</v>
      </c>
      <c r="Y293" s="4">
        <v>3</v>
      </c>
      <c r="Z293" s="4">
        <v>2</v>
      </c>
      <c r="AD293" s="4">
        <v>1</v>
      </c>
      <c r="AF293" s="4">
        <v>9</v>
      </c>
      <c r="AL293" s="4">
        <v>10</v>
      </c>
      <c r="AN293" s="4">
        <v>10</v>
      </c>
      <c r="AO293" s="4">
        <v>10</v>
      </c>
    </row>
    <row r="294" spans="1:41" hidden="1" x14ac:dyDescent="0.2">
      <c r="A294" t="s">
        <v>807</v>
      </c>
      <c r="B294" t="s">
        <v>808</v>
      </c>
      <c r="C294" s="2">
        <v>44742</v>
      </c>
      <c r="D294" s="2">
        <v>45419</v>
      </c>
      <c r="E294" s="3">
        <v>25517</v>
      </c>
      <c r="F294" t="s">
        <v>813</v>
      </c>
      <c r="G294" t="s">
        <v>297</v>
      </c>
      <c r="H294" t="s">
        <v>45</v>
      </c>
      <c r="I294" s="3">
        <v>10027</v>
      </c>
      <c r="J294" s="3">
        <v>1019500062</v>
      </c>
      <c r="K294" s="3">
        <v>1059283</v>
      </c>
      <c r="L294" t="s">
        <v>169</v>
      </c>
      <c r="M294" s="4">
        <v>9</v>
      </c>
      <c r="N294" t="s">
        <v>250</v>
      </c>
      <c r="O294" t="s">
        <v>251</v>
      </c>
      <c r="P294" s="4">
        <v>40.810499</v>
      </c>
      <c r="Q294" s="4">
        <v>-73.954634999999996</v>
      </c>
      <c r="R294" s="4">
        <v>40.810400000000001</v>
      </c>
      <c r="S294" s="4">
        <v>-73.954341999999997</v>
      </c>
      <c r="T294" s="2">
        <v>45419</v>
      </c>
      <c r="U294" t="s">
        <v>49</v>
      </c>
      <c r="V294" t="s">
        <v>71</v>
      </c>
      <c r="W294" t="s">
        <v>51</v>
      </c>
      <c r="X294" s="4">
        <v>4</v>
      </c>
      <c r="Y294" s="4">
        <v>3</v>
      </c>
      <c r="Z294" s="4">
        <v>3</v>
      </c>
      <c r="AD294" s="4">
        <v>1</v>
      </c>
      <c r="AF294" s="4">
        <v>9</v>
      </c>
      <c r="AL294" s="4">
        <v>10</v>
      </c>
      <c r="AN294" s="4">
        <v>10</v>
      </c>
      <c r="AO294" s="4">
        <v>10</v>
      </c>
    </row>
    <row r="295" spans="1:41" hidden="1" x14ac:dyDescent="0.2">
      <c r="A295" t="s">
        <v>807</v>
      </c>
      <c r="B295" t="s">
        <v>808</v>
      </c>
      <c r="C295" s="2">
        <v>44742</v>
      </c>
      <c r="D295" s="2">
        <v>45419</v>
      </c>
      <c r="E295" s="3">
        <v>42491</v>
      </c>
      <c r="F295" t="s">
        <v>814</v>
      </c>
      <c r="G295" t="s">
        <v>815</v>
      </c>
      <c r="H295" t="s">
        <v>45</v>
      </c>
      <c r="I295" s="3">
        <v>10039</v>
      </c>
      <c r="J295" s="3">
        <v>1020460020</v>
      </c>
      <c r="K295" s="3">
        <v>1060856</v>
      </c>
      <c r="L295" t="s">
        <v>146</v>
      </c>
      <c r="M295" s="4">
        <v>9</v>
      </c>
      <c r="N295" t="s">
        <v>176</v>
      </c>
      <c r="O295" t="s">
        <v>177</v>
      </c>
      <c r="P295" s="4">
        <v>40.826704999999997</v>
      </c>
      <c r="Q295" s="4">
        <v>-73.939361000000005</v>
      </c>
      <c r="R295" s="4">
        <v>40.826805</v>
      </c>
      <c r="S295" s="4">
        <v>-73.939982999999998</v>
      </c>
      <c r="T295" s="2">
        <v>45419</v>
      </c>
      <c r="U295" t="s">
        <v>49</v>
      </c>
      <c r="V295" t="s">
        <v>71</v>
      </c>
      <c r="W295" t="s">
        <v>51</v>
      </c>
      <c r="X295" s="4">
        <v>8</v>
      </c>
      <c r="Y295" s="4">
        <v>9</v>
      </c>
      <c r="Z295" s="4">
        <v>1</v>
      </c>
      <c r="AE295" s="4">
        <v>2</v>
      </c>
      <c r="AF295" s="4">
        <v>10</v>
      </c>
      <c r="AG295" s="4">
        <v>6</v>
      </c>
      <c r="AL295" s="4">
        <v>18</v>
      </c>
      <c r="AN295" s="4">
        <v>18</v>
      </c>
      <c r="AO295" s="4">
        <v>18</v>
      </c>
    </row>
    <row r="296" spans="1:41" hidden="1" x14ac:dyDescent="0.2">
      <c r="A296" t="s">
        <v>807</v>
      </c>
      <c r="B296" t="s">
        <v>808</v>
      </c>
      <c r="C296" s="2">
        <v>44742</v>
      </c>
      <c r="D296" s="2">
        <v>45419</v>
      </c>
      <c r="E296" s="3">
        <v>42526</v>
      </c>
      <c r="F296" t="s">
        <v>816</v>
      </c>
      <c r="G296" t="s">
        <v>817</v>
      </c>
      <c r="H296" t="s">
        <v>45</v>
      </c>
      <c r="I296" s="3">
        <v>10039</v>
      </c>
      <c r="J296" s="3">
        <v>1020460039</v>
      </c>
      <c r="K296" s="3">
        <v>1060867</v>
      </c>
      <c r="L296" t="s">
        <v>146</v>
      </c>
      <c r="M296" s="4">
        <v>9</v>
      </c>
      <c r="N296" t="s">
        <v>176</v>
      </c>
      <c r="O296" t="s">
        <v>177</v>
      </c>
      <c r="P296" s="4">
        <v>40.827328000000001</v>
      </c>
      <c r="Q296" s="4">
        <v>-73.938905000000005</v>
      </c>
      <c r="R296" s="4">
        <v>40.827243000000003</v>
      </c>
      <c r="S296" s="4">
        <v>-73.939280999999994</v>
      </c>
      <c r="T296" s="2">
        <v>45419</v>
      </c>
      <c r="U296" t="s">
        <v>49</v>
      </c>
      <c r="V296" t="s">
        <v>71</v>
      </c>
      <c r="W296" t="s">
        <v>51</v>
      </c>
      <c r="X296" s="4">
        <v>1</v>
      </c>
      <c r="Y296" s="4">
        <v>8</v>
      </c>
      <c r="Z296" s="4">
        <v>1</v>
      </c>
      <c r="AD296" s="4">
        <v>1</v>
      </c>
      <c r="AE296" s="4">
        <v>9</v>
      </c>
      <c r="AL296" s="4">
        <v>10</v>
      </c>
      <c r="AN296" s="4">
        <v>10</v>
      </c>
      <c r="AO296" s="4">
        <v>10</v>
      </c>
    </row>
    <row r="297" spans="1:41" hidden="1" x14ac:dyDescent="0.2">
      <c r="A297" t="s">
        <v>818</v>
      </c>
      <c r="B297" t="s">
        <v>819</v>
      </c>
      <c r="C297" s="2">
        <v>44742</v>
      </c>
      <c r="D297" s="2">
        <v>44742</v>
      </c>
      <c r="E297" s="3">
        <v>929104</v>
      </c>
      <c r="F297" t="s">
        <v>820</v>
      </c>
      <c r="G297" t="s">
        <v>389</v>
      </c>
      <c r="H297" t="s">
        <v>45</v>
      </c>
      <c r="I297" s="3">
        <v>10031</v>
      </c>
      <c r="J297" s="3">
        <v>1020019005</v>
      </c>
      <c r="K297" s="3">
        <v>1085412</v>
      </c>
      <c r="L297" t="s">
        <v>169</v>
      </c>
      <c r="M297" s="4">
        <v>7</v>
      </c>
      <c r="N297" t="s">
        <v>821</v>
      </c>
      <c r="O297" t="s">
        <v>171</v>
      </c>
      <c r="P297" s="4">
        <v>40.818857999999999</v>
      </c>
      <c r="Q297" s="4">
        <v>-73.955990999999997</v>
      </c>
      <c r="T297" s="2">
        <v>44742</v>
      </c>
      <c r="U297" t="s">
        <v>49</v>
      </c>
      <c r="V297" t="s">
        <v>71</v>
      </c>
      <c r="W297" t="s">
        <v>51</v>
      </c>
      <c r="Z297" s="4">
        <v>226</v>
      </c>
      <c r="AA297" s="4">
        <v>339</v>
      </c>
      <c r="AD297" s="4">
        <v>113</v>
      </c>
      <c r="AE297" s="4">
        <v>170</v>
      </c>
      <c r="AF297" s="4">
        <v>192</v>
      </c>
      <c r="AG297" s="4">
        <v>85</v>
      </c>
      <c r="AH297" s="4">
        <v>5</v>
      </c>
      <c r="AL297" s="4">
        <v>565</v>
      </c>
      <c r="AN297" s="4">
        <v>565</v>
      </c>
      <c r="AO297" s="4">
        <v>565</v>
      </c>
    </row>
    <row r="298" spans="1:41" hidden="1" x14ac:dyDescent="0.2">
      <c r="A298" t="s">
        <v>822</v>
      </c>
      <c r="B298" t="s">
        <v>823</v>
      </c>
      <c r="C298" s="2">
        <v>44741</v>
      </c>
      <c r="D298" s="2">
        <v>45399</v>
      </c>
      <c r="E298" s="3">
        <v>41770</v>
      </c>
      <c r="F298" t="s">
        <v>726</v>
      </c>
      <c r="G298" t="s">
        <v>539</v>
      </c>
      <c r="H298" t="s">
        <v>45</v>
      </c>
      <c r="I298" s="3">
        <v>10030</v>
      </c>
      <c r="J298" s="3">
        <v>1020120039</v>
      </c>
      <c r="K298" s="3">
        <v>1060144</v>
      </c>
      <c r="L298" t="s">
        <v>146</v>
      </c>
      <c r="M298" s="4">
        <v>9</v>
      </c>
      <c r="N298" t="s">
        <v>425</v>
      </c>
      <c r="O298" t="s">
        <v>177</v>
      </c>
      <c r="P298" s="4">
        <v>40.819896999999997</v>
      </c>
      <c r="Q298" s="4">
        <v>-73.937044</v>
      </c>
      <c r="R298" s="4">
        <v>40.819865</v>
      </c>
      <c r="S298" s="4">
        <v>-73.937556999999998</v>
      </c>
      <c r="T298" s="2">
        <v>45399</v>
      </c>
      <c r="U298" t="s">
        <v>49</v>
      </c>
      <c r="V298" t="s">
        <v>50</v>
      </c>
      <c r="W298" t="s">
        <v>51</v>
      </c>
      <c r="X298" s="4">
        <v>12</v>
      </c>
      <c r="Y298" s="4">
        <v>2</v>
      </c>
      <c r="AC298" s="4">
        <v>1</v>
      </c>
      <c r="AF298" s="4">
        <v>15</v>
      </c>
      <c r="AL298" s="4">
        <v>15</v>
      </c>
      <c r="AN298" s="4">
        <v>15</v>
      </c>
      <c r="AO298" s="4">
        <v>15</v>
      </c>
    </row>
    <row r="299" spans="1:41" hidden="1" x14ac:dyDescent="0.2">
      <c r="A299" t="s">
        <v>822</v>
      </c>
      <c r="B299" t="s">
        <v>823</v>
      </c>
      <c r="C299" s="2">
        <v>44741</v>
      </c>
      <c r="D299" s="2">
        <v>45399</v>
      </c>
      <c r="E299" s="3">
        <v>41771</v>
      </c>
      <c r="F299" t="s">
        <v>43</v>
      </c>
      <c r="G299" t="s">
        <v>539</v>
      </c>
      <c r="H299" t="s">
        <v>45</v>
      </c>
      <c r="I299" s="3">
        <v>10030</v>
      </c>
      <c r="J299" s="3">
        <v>1020120041</v>
      </c>
      <c r="K299" s="3">
        <v>1060145</v>
      </c>
      <c r="L299" t="s">
        <v>146</v>
      </c>
      <c r="M299" s="4">
        <v>9</v>
      </c>
      <c r="N299" t="s">
        <v>425</v>
      </c>
      <c r="O299" t="s">
        <v>177</v>
      </c>
      <c r="P299" s="4">
        <v>40.819935999999998</v>
      </c>
      <c r="Q299" s="4">
        <v>-73.937138000000004</v>
      </c>
      <c r="R299" s="4">
        <v>40.819913999999997</v>
      </c>
      <c r="S299" s="4">
        <v>-73.937676999999994</v>
      </c>
      <c r="T299" s="2">
        <v>44741</v>
      </c>
      <c r="U299" t="s">
        <v>49</v>
      </c>
      <c r="V299" t="s">
        <v>50</v>
      </c>
      <c r="W299" t="s">
        <v>51</v>
      </c>
      <c r="X299" s="4">
        <v>13</v>
      </c>
      <c r="Y299" s="4">
        <v>2</v>
      </c>
      <c r="AF299" s="4">
        <v>15</v>
      </c>
      <c r="AL299" s="4">
        <v>15</v>
      </c>
      <c r="AN299" s="4">
        <v>15</v>
      </c>
      <c r="AO299" s="4">
        <v>15</v>
      </c>
    </row>
    <row r="300" spans="1:41" hidden="1" x14ac:dyDescent="0.2">
      <c r="A300" t="s">
        <v>822</v>
      </c>
      <c r="B300" t="s">
        <v>823</v>
      </c>
      <c r="C300" s="2">
        <v>44741</v>
      </c>
      <c r="D300" s="2">
        <v>45399</v>
      </c>
      <c r="E300" s="3">
        <v>41772</v>
      </c>
      <c r="F300" t="s">
        <v>824</v>
      </c>
      <c r="G300" t="s">
        <v>539</v>
      </c>
      <c r="H300" t="s">
        <v>45</v>
      </c>
      <c r="I300" s="3">
        <v>10030</v>
      </c>
      <c r="J300" s="3">
        <v>1020120042</v>
      </c>
      <c r="K300" s="3">
        <v>1060146</v>
      </c>
      <c r="L300" t="s">
        <v>146</v>
      </c>
      <c r="M300" s="4">
        <v>9</v>
      </c>
      <c r="N300" t="s">
        <v>425</v>
      </c>
      <c r="O300" t="s">
        <v>177</v>
      </c>
      <c r="P300" s="4">
        <v>40.819982000000003</v>
      </c>
      <c r="Q300" s="4">
        <v>-73.937246999999999</v>
      </c>
      <c r="R300" s="4">
        <v>40.819963999999999</v>
      </c>
      <c r="S300" s="4">
        <v>-73.937792000000002</v>
      </c>
      <c r="T300" s="2">
        <v>44741</v>
      </c>
      <c r="U300" t="s">
        <v>49</v>
      </c>
      <c r="V300" t="s">
        <v>50</v>
      </c>
      <c r="W300" t="s">
        <v>51</v>
      </c>
      <c r="X300" s="4">
        <v>13</v>
      </c>
      <c r="Y300" s="4">
        <v>1</v>
      </c>
      <c r="AA300" s="4">
        <v>1</v>
      </c>
      <c r="AF300" s="4">
        <v>15</v>
      </c>
      <c r="AL300" s="4">
        <v>15</v>
      </c>
      <c r="AN300" s="4">
        <v>15</v>
      </c>
      <c r="AO300" s="4">
        <v>15</v>
      </c>
    </row>
    <row r="301" spans="1:41" hidden="1" x14ac:dyDescent="0.2">
      <c r="A301" t="s">
        <v>822</v>
      </c>
      <c r="B301" t="s">
        <v>823</v>
      </c>
      <c r="C301" s="2">
        <v>44741</v>
      </c>
      <c r="D301" s="2">
        <v>45399</v>
      </c>
      <c r="E301" s="3">
        <v>41774</v>
      </c>
      <c r="F301" t="s">
        <v>623</v>
      </c>
      <c r="G301" t="s">
        <v>539</v>
      </c>
      <c r="H301" t="s">
        <v>45</v>
      </c>
      <c r="I301" s="3">
        <v>10030</v>
      </c>
      <c r="J301" s="3">
        <v>1020120044</v>
      </c>
      <c r="K301" s="3">
        <v>1060147</v>
      </c>
      <c r="L301" t="s">
        <v>146</v>
      </c>
      <c r="M301" s="4">
        <v>9</v>
      </c>
      <c r="N301" t="s">
        <v>425</v>
      </c>
      <c r="O301" t="s">
        <v>177</v>
      </c>
      <c r="P301" s="4">
        <v>40.820014999999998</v>
      </c>
      <c r="Q301" s="4">
        <v>-73.937325999999999</v>
      </c>
      <c r="R301" s="4">
        <v>40.820013000000003</v>
      </c>
      <c r="S301" s="4">
        <v>-73.937911</v>
      </c>
      <c r="T301" s="2">
        <v>44741</v>
      </c>
      <c r="U301" t="s">
        <v>49</v>
      </c>
      <c r="V301" t="s">
        <v>50</v>
      </c>
      <c r="W301" t="s">
        <v>51</v>
      </c>
      <c r="X301" s="4">
        <v>13</v>
      </c>
      <c r="Y301" s="4">
        <v>1</v>
      </c>
      <c r="Z301" s="4">
        <v>1</v>
      </c>
      <c r="AF301" s="4">
        <v>15</v>
      </c>
      <c r="AL301" s="4">
        <v>15</v>
      </c>
      <c r="AN301" s="4">
        <v>15</v>
      </c>
      <c r="AO301" s="4">
        <v>15</v>
      </c>
    </row>
    <row r="302" spans="1:41" hidden="1" x14ac:dyDescent="0.2">
      <c r="A302" t="s">
        <v>825</v>
      </c>
      <c r="B302" t="s">
        <v>826</v>
      </c>
      <c r="C302" s="2">
        <v>44740</v>
      </c>
      <c r="D302" s="2">
        <v>45548</v>
      </c>
      <c r="E302" s="3">
        <v>1003757</v>
      </c>
      <c r="F302" t="s">
        <v>93</v>
      </c>
      <c r="G302" t="s">
        <v>121</v>
      </c>
      <c r="H302" t="s">
        <v>45</v>
      </c>
      <c r="I302" s="3">
        <v>10002</v>
      </c>
      <c r="J302" s="3">
        <v>1003410060</v>
      </c>
      <c r="K302" s="3">
        <v>1000000</v>
      </c>
      <c r="L302" t="s">
        <v>64</v>
      </c>
      <c r="M302" s="4">
        <v>1</v>
      </c>
      <c r="N302" t="s">
        <v>122</v>
      </c>
      <c r="O302" t="s">
        <v>66</v>
      </c>
      <c r="P302" s="4">
        <v>40.716720000000002</v>
      </c>
      <c r="Q302" s="4">
        <v>-73.985646000000003</v>
      </c>
      <c r="R302" s="4">
        <v>40.716495000000002</v>
      </c>
      <c r="S302" s="4">
        <v>-73.985870000000006</v>
      </c>
      <c r="T302" s="2">
        <v>45548</v>
      </c>
      <c r="U302" t="s">
        <v>117</v>
      </c>
      <c r="V302" t="s">
        <v>71</v>
      </c>
      <c r="W302" t="s">
        <v>51</v>
      </c>
      <c r="X302" s="4">
        <v>70</v>
      </c>
      <c r="Y302" s="4">
        <v>46</v>
      </c>
      <c r="Z302" s="4">
        <v>115</v>
      </c>
      <c r="AC302" s="4">
        <v>1</v>
      </c>
      <c r="AD302" s="4">
        <v>26</v>
      </c>
      <c r="AE302" s="4">
        <v>103</v>
      </c>
      <c r="AF302" s="4">
        <v>77</v>
      </c>
      <c r="AG302" s="4">
        <v>26</v>
      </c>
      <c r="AL302" s="4">
        <v>232</v>
      </c>
      <c r="AN302" s="4">
        <v>232</v>
      </c>
      <c r="AO302" s="4">
        <v>232</v>
      </c>
    </row>
    <row r="303" spans="1:41" hidden="1" x14ac:dyDescent="0.2">
      <c r="A303" t="s">
        <v>827</v>
      </c>
      <c r="B303" t="s">
        <v>828</v>
      </c>
      <c r="C303" s="2">
        <v>44732</v>
      </c>
      <c r="D303" s="2">
        <v>45125</v>
      </c>
      <c r="E303" s="3">
        <v>1004683</v>
      </c>
      <c r="F303" t="s">
        <v>623</v>
      </c>
      <c r="G303" t="s">
        <v>145</v>
      </c>
      <c r="H303" t="s">
        <v>45</v>
      </c>
      <c r="I303" s="3">
        <v>10027</v>
      </c>
      <c r="J303" s="3">
        <v>1019070040</v>
      </c>
      <c r="K303" s="3">
        <v>1057739</v>
      </c>
      <c r="L303" t="s">
        <v>146</v>
      </c>
      <c r="M303" s="4">
        <v>9</v>
      </c>
      <c r="N303" t="s">
        <v>147</v>
      </c>
      <c r="O303" t="s">
        <v>148</v>
      </c>
      <c r="P303" s="4">
        <v>40.806744000000002</v>
      </c>
      <c r="Q303" s="4">
        <v>-73.947102000000001</v>
      </c>
      <c r="R303" s="4">
        <v>40.806604</v>
      </c>
      <c r="S303" s="4">
        <v>-73.947351999999995</v>
      </c>
      <c r="T303" s="2">
        <v>45125</v>
      </c>
      <c r="U303" t="s">
        <v>117</v>
      </c>
      <c r="V303" t="s">
        <v>71</v>
      </c>
      <c r="W303" t="s">
        <v>51</v>
      </c>
      <c r="AB303" s="4">
        <v>2</v>
      </c>
      <c r="AF303" s="4">
        <v>2</v>
      </c>
      <c r="AL303" s="4">
        <v>2</v>
      </c>
      <c r="AN303" s="4">
        <v>2</v>
      </c>
      <c r="AO303" s="4">
        <v>6</v>
      </c>
    </row>
    <row r="304" spans="1:41" hidden="1" x14ac:dyDescent="0.2">
      <c r="A304" t="s">
        <v>829</v>
      </c>
      <c r="B304" t="s">
        <v>830</v>
      </c>
      <c r="C304" s="2">
        <v>44729</v>
      </c>
      <c r="E304" s="3">
        <v>998761</v>
      </c>
      <c r="F304" t="s">
        <v>831</v>
      </c>
      <c r="G304" t="s">
        <v>832</v>
      </c>
      <c r="H304" t="s">
        <v>45</v>
      </c>
      <c r="I304" s="3">
        <v>10035</v>
      </c>
      <c r="J304" s="3">
        <v>1017500001</v>
      </c>
      <c r="K304" s="3">
        <v>1000000</v>
      </c>
      <c r="L304" t="s">
        <v>153</v>
      </c>
      <c r="M304" s="4">
        <v>9</v>
      </c>
      <c r="N304" t="s">
        <v>833</v>
      </c>
      <c r="O304" t="s">
        <v>155</v>
      </c>
      <c r="P304" s="4">
        <v>40.806868000000001</v>
      </c>
      <c r="Q304" s="4">
        <v>-73.941922000000005</v>
      </c>
      <c r="R304" s="4">
        <v>40.806654000000002</v>
      </c>
      <c r="S304" s="4">
        <v>-73.941712999999993</v>
      </c>
      <c r="U304" t="s">
        <v>117</v>
      </c>
      <c r="V304" t="s">
        <v>71</v>
      </c>
      <c r="W304" t="s">
        <v>51</v>
      </c>
      <c r="Y304" s="4">
        <v>23</v>
      </c>
      <c r="Z304" s="4">
        <v>22</v>
      </c>
      <c r="AB304" s="4">
        <v>8</v>
      </c>
      <c r="AD304" s="4">
        <v>23</v>
      </c>
      <c r="AE304" s="4">
        <v>24</v>
      </c>
      <c r="AF304" s="4">
        <v>6</v>
      </c>
      <c r="AL304" s="4">
        <v>53</v>
      </c>
      <c r="AN304" s="4">
        <v>53</v>
      </c>
      <c r="AO304" s="4">
        <v>222</v>
      </c>
    </row>
    <row r="305" spans="1:41" hidden="1" x14ac:dyDescent="0.2">
      <c r="A305" t="s">
        <v>834</v>
      </c>
      <c r="B305" t="s">
        <v>835</v>
      </c>
      <c r="C305" s="2">
        <v>44728</v>
      </c>
      <c r="D305" s="2">
        <v>45505</v>
      </c>
      <c r="E305" s="3">
        <v>19849</v>
      </c>
      <c r="F305" t="s">
        <v>836</v>
      </c>
      <c r="G305" t="s">
        <v>289</v>
      </c>
      <c r="H305" t="s">
        <v>45</v>
      </c>
      <c r="I305" s="3">
        <v>10035</v>
      </c>
      <c r="J305" s="3">
        <v>1016670011</v>
      </c>
      <c r="K305" s="3">
        <v>1091581</v>
      </c>
      <c r="L305" t="s">
        <v>153</v>
      </c>
      <c r="M305" s="4">
        <v>8</v>
      </c>
      <c r="N305" t="s">
        <v>290</v>
      </c>
      <c r="O305" t="s">
        <v>155</v>
      </c>
      <c r="P305" s="4">
        <v>40.798358</v>
      </c>
      <c r="Q305" s="4">
        <v>-73.938860000000005</v>
      </c>
      <c r="R305" s="4">
        <v>40.798395999999997</v>
      </c>
      <c r="S305" s="4">
        <v>-73.938400999999999</v>
      </c>
      <c r="T305" s="2">
        <v>45505</v>
      </c>
      <c r="U305" t="s">
        <v>117</v>
      </c>
      <c r="V305" t="s">
        <v>71</v>
      </c>
      <c r="W305" t="s">
        <v>51</v>
      </c>
      <c r="AB305" s="4">
        <v>4</v>
      </c>
      <c r="AE305" s="4">
        <v>4</v>
      </c>
      <c r="AL305" s="4">
        <v>4</v>
      </c>
      <c r="AN305" s="4">
        <v>4</v>
      </c>
      <c r="AO305" s="4">
        <v>12</v>
      </c>
    </row>
    <row r="306" spans="1:41" hidden="1" x14ac:dyDescent="0.2">
      <c r="A306" t="s">
        <v>837</v>
      </c>
      <c r="B306" t="s">
        <v>838</v>
      </c>
      <c r="C306" s="2">
        <v>44722</v>
      </c>
      <c r="E306" s="3">
        <v>1004173</v>
      </c>
      <c r="F306" t="s">
        <v>591</v>
      </c>
      <c r="G306" t="s">
        <v>127</v>
      </c>
      <c r="H306" t="s">
        <v>45</v>
      </c>
      <c r="I306" s="3">
        <v>10028</v>
      </c>
      <c r="J306" s="3">
        <v>1015450049</v>
      </c>
      <c r="K306" s="3">
        <v>1000000</v>
      </c>
      <c r="L306" t="s">
        <v>107</v>
      </c>
      <c r="M306" s="4">
        <v>5</v>
      </c>
      <c r="N306" t="s">
        <v>431</v>
      </c>
      <c r="O306" t="s">
        <v>109</v>
      </c>
      <c r="P306" s="4">
        <v>40.775767000000002</v>
      </c>
      <c r="Q306" s="4">
        <v>-73.952816999999996</v>
      </c>
      <c r="R306" s="4">
        <v>40.775646000000002</v>
      </c>
      <c r="S306" s="4">
        <v>-73.953016000000005</v>
      </c>
      <c r="U306" t="s">
        <v>117</v>
      </c>
      <c r="V306" t="s">
        <v>71</v>
      </c>
      <c r="W306" t="s">
        <v>51</v>
      </c>
      <c r="Z306" s="4">
        <v>5</v>
      </c>
      <c r="AE306" s="4">
        <v>1</v>
      </c>
      <c r="AF306" s="4">
        <v>4</v>
      </c>
      <c r="AL306" s="4">
        <v>5</v>
      </c>
      <c r="AN306" s="4">
        <v>5</v>
      </c>
      <c r="AO306" s="4">
        <v>70</v>
      </c>
    </row>
    <row r="307" spans="1:41" hidden="1" x14ac:dyDescent="0.2">
      <c r="A307" t="s">
        <v>839</v>
      </c>
      <c r="B307" t="s">
        <v>840</v>
      </c>
      <c r="C307" s="2">
        <v>44722</v>
      </c>
      <c r="D307" s="2">
        <v>45051</v>
      </c>
      <c r="E307" s="3">
        <v>1006360</v>
      </c>
      <c r="F307" t="s">
        <v>841</v>
      </c>
      <c r="G307" t="s">
        <v>842</v>
      </c>
      <c r="H307" t="s">
        <v>45</v>
      </c>
      <c r="I307" s="3">
        <v>10039</v>
      </c>
      <c r="J307" s="3">
        <v>1020320001</v>
      </c>
      <c r="K307" s="3">
        <v>1060495</v>
      </c>
      <c r="L307" t="s">
        <v>146</v>
      </c>
      <c r="M307" s="4">
        <v>9</v>
      </c>
      <c r="N307" t="s">
        <v>544</v>
      </c>
      <c r="O307" t="s">
        <v>177</v>
      </c>
      <c r="P307" s="4">
        <v>40.823599000000002</v>
      </c>
      <c r="Q307" s="4">
        <v>-73.941348000000005</v>
      </c>
      <c r="R307" s="4">
        <v>40.823473</v>
      </c>
      <c r="S307" s="4">
        <v>-73.941051999999999</v>
      </c>
      <c r="T307" s="2">
        <v>45012</v>
      </c>
      <c r="U307" t="s">
        <v>117</v>
      </c>
      <c r="V307" t="s">
        <v>71</v>
      </c>
      <c r="W307" t="s">
        <v>51</v>
      </c>
      <c r="AB307" s="4">
        <v>5</v>
      </c>
      <c r="AE307" s="4">
        <v>3</v>
      </c>
      <c r="AF307" s="4">
        <v>2</v>
      </c>
      <c r="AL307" s="4">
        <v>5</v>
      </c>
      <c r="AN307" s="4">
        <v>5</v>
      </c>
      <c r="AO307" s="4">
        <v>14</v>
      </c>
    </row>
    <row r="308" spans="1:41" hidden="1" x14ac:dyDescent="0.2">
      <c r="A308" t="s">
        <v>839</v>
      </c>
      <c r="B308" t="s">
        <v>840</v>
      </c>
      <c r="C308" s="2">
        <v>44722</v>
      </c>
      <c r="D308" s="2">
        <v>45051</v>
      </c>
      <c r="E308" s="3">
        <v>1006805</v>
      </c>
      <c r="F308" t="s">
        <v>843</v>
      </c>
      <c r="G308" t="s">
        <v>842</v>
      </c>
      <c r="H308" t="s">
        <v>45</v>
      </c>
      <c r="I308" s="3">
        <v>10039</v>
      </c>
      <c r="J308" s="3">
        <v>1020320003</v>
      </c>
      <c r="K308" s="3">
        <v>1091005</v>
      </c>
      <c r="L308" t="s">
        <v>146</v>
      </c>
      <c r="M308" s="4">
        <v>9</v>
      </c>
      <c r="N308" t="s">
        <v>544</v>
      </c>
      <c r="O308" t="s">
        <v>177</v>
      </c>
      <c r="P308" s="4">
        <v>40.823706000000001</v>
      </c>
      <c r="Q308" s="4">
        <v>-73.941267999999994</v>
      </c>
      <c r="R308" s="4">
        <v>40.823599000000002</v>
      </c>
      <c r="S308" s="4">
        <v>-73.940956999999997</v>
      </c>
      <c r="T308" s="2">
        <v>45051</v>
      </c>
      <c r="U308" t="s">
        <v>117</v>
      </c>
      <c r="V308" t="s">
        <v>71</v>
      </c>
      <c r="W308" t="s">
        <v>51</v>
      </c>
      <c r="AB308" s="4">
        <v>4</v>
      </c>
      <c r="AE308" s="4">
        <v>4</v>
      </c>
      <c r="AL308" s="4">
        <v>4</v>
      </c>
      <c r="AN308" s="4">
        <v>4</v>
      </c>
      <c r="AO308" s="4">
        <v>13</v>
      </c>
    </row>
    <row r="309" spans="1:41" hidden="1" x14ac:dyDescent="0.2">
      <c r="A309" t="s">
        <v>844</v>
      </c>
      <c r="B309" t="s">
        <v>845</v>
      </c>
      <c r="C309" s="2">
        <v>44706</v>
      </c>
      <c r="E309" s="3">
        <v>32665</v>
      </c>
      <c r="F309" t="s">
        <v>846</v>
      </c>
      <c r="G309" t="s">
        <v>847</v>
      </c>
      <c r="H309" t="s">
        <v>45</v>
      </c>
      <c r="I309" s="3">
        <v>10018</v>
      </c>
      <c r="J309" s="3">
        <v>1007620011</v>
      </c>
      <c r="K309" s="3">
        <v>1013637</v>
      </c>
      <c r="L309" t="s">
        <v>78</v>
      </c>
      <c r="M309" s="4">
        <v>3</v>
      </c>
      <c r="N309" t="s">
        <v>427</v>
      </c>
      <c r="O309" t="s">
        <v>80</v>
      </c>
      <c r="P309" s="4">
        <v>40.755237000000001</v>
      </c>
      <c r="Q309" s="4">
        <v>-73.992863999999997</v>
      </c>
      <c r="R309" s="4">
        <v>40.755679000000001</v>
      </c>
      <c r="S309" s="4">
        <v>-73.993343999999993</v>
      </c>
      <c r="U309" t="s">
        <v>117</v>
      </c>
      <c r="V309" t="s">
        <v>71</v>
      </c>
      <c r="W309" t="s">
        <v>51</v>
      </c>
      <c r="Y309" s="4">
        <v>12</v>
      </c>
      <c r="Z309" s="4">
        <v>12</v>
      </c>
      <c r="AB309" s="4">
        <v>6</v>
      </c>
      <c r="AD309" s="4">
        <v>15</v>
      </c>
      <c r="AE309" s="4">
        <v>12</v>
      </c>
      <c r="AF309" s="4">
        <v>3</v>
      </c>
      <c r="AL309" s="4">
        <v>30</v>
      </c>
      <c r="AN309" s="4">
        <v>30</v>
      </c>
      <c r="AO309" s="4">
        <v>117</v>
      </c>
    </row>
    <row r="310" spans="1:41" hidden="1" x14ac:dyDescent="0.2">
      <c r="A310" t="s">
        <v>848</v>
      </c>
      <c r="B310" t="s">
        <v>849</v>
      </c>
      <c r="C310" s="2">
        <v>44701</v>
      </c>
      <c r="D310" s="2">
        <v>45069</v>
      </c>
      <c r="E310" s="3">
        <v>42808</v>
      </c>
      <c r="F310" t="s">
        <v>850</v>
      </c>
      <c r="G310" t="s">
        <v>851</v>
      </c>
      <c r="H310" t="s">
        <v>45</v>
      </c>
      <c r="I310" s="3">
        <v>10032</v>
      </c>
      <c r="J310" s="3">
        <v>1021170031</v>
      </c>
      <c r="K310" s="3">
        <v>1062762</v>
      </c>
      <c r="L310" t="s">
        <v>114</v>
      </c>
      <c r="M310" s="4">
        <v>10</v>
      </c>
      <c r="N310" t="s">
        <v>762</v>
      </c>
      <c r="O310" t="s">
        <v>134</v>
      </c>
      <c r="P310" s="4">
        <v>40.834304000000003</v>
      </c>
      <c r="Q310" s="4">
        <v>-73.941595000000007</v>
      </c>
      <c r="R310" s="4">
        <v>40.834200000000003</v>
      </c>
      <c r="S310" s="4">
        <v>-73.941913</v>
      </c>
      <c r="T310" s="2">
        <v>45069</v>
      </c>
      <c r="U310" t="s">
        <v>49</v>
      </c>
      <c r="V310" t="s">
        <v>71</v>
      </c>
      <c r="W310" t="s">
        <v>51</v>
      </c>
      <c r="Z310" s="4">
        <v>2</v>
      </c>
      <c r="AD310" s="4">
        <v>1</v>
      </c>
      <c r="AF310" s="4">
        <v>1</v>
      </c>
      <c r="AL310" s="4">
        <v>2</v>
      </c>
      <c r="AN310" s="4">
        <v>2</v>
      </c>
      <c r="AO310" s="4">
        <v>2</v>
      </c>
    </row>
    <row r="311" spans="1:41" hidden="1" x14ac:dyDescent="0.2">
      <c r="A311" t="s">
        <v>848</v>
      </c>
      <c r="B311" t="s">
        <v>849</v>
      </c>
      <c r="C311" s="2">
        <v>44701</v>
      </c>
      <c r="D311" s="2">
        <v>45069</v>
      </c>
      <c r="E311" s="3">
        <v>42830</v>
      </c>
      <c r="F311" t="s">
        <v>625</v>
      </c>
      <c r="G311" t="s">
        <v>851</v>
      </c>
      <c r="H311" t="s">
        <v>45</v>
      </c>
      <c r="I311" s="3">
        <v>10032</v>
      </c>
      <c r="J311" s="3">
        <v>1021170014</v>
      </c>
      <c r="K311" s="3">
        <v>1062750</v>
      </c>
      <c r="L311" t="s">
        <v>114</v>
      </c>
      <c r="M311" s="4">
        <v>10</v>
      </c>
      <c r="N311" t="s">
        <v>762</v>
      </c>
      <c r="O311" t="s">
        <v>134</v>
      </c>
      <c r="P311" s="4">
        <v>40.834614000000002</v>
      </c>
      <c r="Q311" s="4">
        <v>-73.942331999999993</v>
      </c>
      <c r="R311" s="4">
        <v>40.834727000000001</v>
      </c>
      <c r="S311" s="4">
        <v>-73.943177000000006</v>
      </c>
      <c r="T311" s="2">
        <v>45069</v>
      </c>
      <c r="U311" t="s">
        <v>49</v>
      </c>
      <c r="V311" t="s">
        <v>71</v>
      </c>
      <c r="W311" t="s">
        <v>51</v>
      </c>
      <c r="X311" s="4">
        <v>5</v>
      </c>
      <c r="Y311" s="4">
        <v>7</v>
      </c>
      <c r="Z311" s="4">
        <v>2</v>
      </c>
      <c r="AC311" s="4">
        <v>1</v>
      </c>
      <c r="AE311" s="4">
        <v>2</v>
      </c>
      <c r="AF311" s="4">
        <v>13</v>
      </c>
      <c r="AL311" s="4">
        <v>15</v>
      </c>
      <c r="AN311" s="4">
        <v>15</v>
      </c>
      <c r="AO311" s="4">
        <v>15</v>
      </c>
    </row>
    <row r="312" spans="1:41" hidden="1" x14ac:dyDescent="0.2">
      <c r="A312" t="s">
        <v>848</v>
      </c>
      <c r="B312" t="s">
        <v>849</v>
      </c>
      <c r="C312" s="2">
        <v>44701</v>
      </c>
      <c r="D312" s="2">
        <v>45069</v>
      </c>
      <c r="E312" s="3">
        <v>43021</v>
      </c>
      <c r="F312" t="s">
        <v>852</v>
      </c>
      <c r="G312" t="s">
        <v>853</v>
      </c>
      <c r="H312" t="s">
        <v>45</v>
      </c>
      <c r="I312" s="3">
        <v>10032</v>
      </c>
      <c r="J312" s="3">
        <v>1021100078</v>
      </c>
      <c r="K312" s="3">
        <v>1062627</v>
      </c>
      <c r="L312" t="s">
        <v>114</v>
      </c>
      <c r="M312" s="4">
        <v>10</v>
      </c>
      <c r="N312" t="s">
        <v>133</v>
      </c>
      <c r="O312" t="s">
        <v>134</v>
      </c>
      <c r="P312" s="4">
        <v>40.836779999999997</v>
      </c>
      <c r="Q312" s="4">
        <v>-73.937791000000004</v>
      </c>
      <c r="R312" s="4">
        <v>40.836489</v>
      </c>
      <c r="S312" s="4">
        <v>-73.937725999999998</v>
      </c>
      <c r="T312" s="2">
        <v>45069</v>
      </c>
      <c r="U312" t="s">
        <v>49</v>
      </c>
      <c r="V312" t="s">
        <v>71</v>
      </c>
      <c r="W312" t="s">
        <v>51</v>
      </c>
      <c r="X312" s="4">
        <v>9</v>
      </c>
      <c r="Y312" s="4">
        <v>6</v>
      </c>
      <c r="Z312" s="4">
        <v>4</v>
      </c>
      <c r="AC312" s="4">
        <v>1</v>
      </c>
      <c r="AE312" s="4">
        <v>2</v>
      </c>
      <c r="AF312" s="4">
        <v>5</v>
      </c>
      <c r="AG312" s="4">
        <v>13</v>
      </c>
      <c r="AL312" s="4">
        <v>20</v>
      </c>
      <c r="AN312" s="4">
        <v>20</v>
      </c>
      <c r="AO312" s="4">
        <v>20</v>
      </c>
    </row>
    <row r="313" spans="1:41" hidden="1" x14ac:dyDescent="0.2">
      <c r="A313" t="s">
        <v>848</v>
      </c>
      <c r="B313" t="s">
        <v>849</v>
      </c>
      <c r="C313" s="2">
        <v>44701</v>
      </c>
      <c r="D313" s="2">
        <v>45069</v>
      </c>
      <c r="E313" s="3">
        <v>43027</v>
      </c>
      <c r="F313" t="s">
        <v>854</v>
      </c>
      <c r="G313" t="s">
        <v>853</v>
      </c>
      <c r="H313" t="s">
        <v>45</v>
      </c>
      <c r="I313" s="3">
        <v>10032</v>
      </c>
      <c r="J313" s="3">
        <v>1021110036</v>
      </c>
      <c r="K313" s="3">
        <v>1062637</v>
      </c>
      <c r="L313" t="s">
        <v>114</v>
      </c>
      <c r="M313" s="4">
        <v>10</v>
      </c>
      <c r="N313" t="s">
        <v>133</v>
      </c>
      <c r="O313" t="s">
        <v>134</v>
      </c>
      <c r="P313" s="4">
        <v>40.836893000000003</v>
      </c>
      <c r="Q313" s="4">
        <v>-73.938011000000003</v>
      </c>
      <c r="R313" s="4">
        <v>40.837007999999997</v>
      </c>
      <c r="S313" s="4">
        <v>-73.937595999999999</v>
      </c>
      <c r="T313" s="2">
        <v>45069</v>
      </c>
      <c r="U313" t="s">
        <v>49</v>
      </c>
      <c r="V313" t="s">
        <v>71</v>
      </c>
      <c r="W313" t="s">
        <v>51</v>
      </c>
      <c r="X313" s="4">
        <v>2</v>
      </c>
      <c r="Y313" s="4">
        <v>7</v>
      </c>
      <c r="Z313" s="4">
        <v>5</v>
      </c>
      <c r="AE313" s="4">
        <v>9</v>
      </c>
      <c r="AF313" s="4">
        <v>4</v>
      </c>
      <c r="AG313" s="4">
        <v>1</v>
      </c>
      <c r="AL313" s="4">
        <v>14</v>
      </c>
      <c r="AN313" s="4">
        <v>14</v>
      </c>
      <c r="AO313" s="4">
        <v>14</v>
      </c>
    </row>
    <row r="314" spans="1:41" hidden="1" x14ac:dyDescent="0.2">
      <c r="A314" t="s">
        <v>848</v>
      </c>
      <c r="B314" t="s">
        <v>849</v>
      </c>
      <c r="C314" s="2">
        <v>44701</v>
      </c>
      <c r="D314" s="2">
        <v>45069</v>
      </c>
      <c r="E314" s="3">
        <v>43099</v>
      </c>
      <c r="F314" t="s">
        <v>850</v>
      </c>
      <c r="G314" t="s">
        <v>855</v>
      </c>
      <c r="H314" t="s">
        <v>45</v>
      </c>
      <c r="I314" s="3">
        <v>10032</v>
      </c>
      <c r="J314" s="3">
        <v>1021230090</v>
      </c>
      <c r="K314" s="3">
        <v>1062979</v>
      </c>
      <c r="L314" t="s">
        <v>114</v>
      </c>
      <c r="M314" s="4">
        <v>10</v>
      </c>
      <c r="N314" t="s">
        <v>137</v>
      </c>
      <c r="O314" t="s">
        <v>134</v>
      </c>
      <c r="P314" s="4">
        <v>40.840049</v>
      </c>
      <c r="Q314" s="4">
        <v>-73.937360999999996</v>
      </c>
      <c r="R314" s="4">
        <v>40.839942000000001</v>
      </c>
      <c r="S314" s="4">
        <v>-73.937719000000001</v>
      </c>
      <c r="T314" s="2">
        <v>45069</v>
      </c>
      <c r="U314" t="s">
        <v>49</v>
      </c>
      <c r="V314" t="s">
        <v>71</v>
      </c>
      <c r="W314" t="s">
        <v>51</v>
      </c>
      <c r="Y314" s="4">
        <v>4</v>
      </c>
      <c r="AE314" s="4">
        <v>3</v>
      </c>
      <c r="AF314" s="4">
        <v>1</v>
      </c>
      <c r="AL314" s="4">
        <v>4</v>
      </c>
      <c r="AN314" s="4">
        <v>4</v>
      </c>
      <c r="AO314" s="4">
        <v>4</v>
      </c>
    </row>
    <row r="315" spans="1:41" hidden="1" x14ac:dyDescent="0.2">
      <c r="A315" t="s">
        <v>856</v>
      </c>
      <c r="B315" t="s">
        <v>857</v>
      </c>
      <c r="C315" s="2">
        <v>44692</v>
      </c>
      <c r="D315" s="2">
        <v>44692</v>
      </c>
      <c r="E315" s="3">
        <v>881106</v>
      </c>
      <c r="F315" t="s">
        <v>858</v>
      </c>
      <c r="G315" t="s">
        <v>300</v>
      </c>
      <c r="H315" t="s">
        <v>45</v>
      </c>
      <c r="I315" s="3">
        <v>10026</v>
      </c>
      <c r="J315" s="3">
        <v>1018310056</v>
      </c>
      <c r="K315" s="3">
        <v>1087744</v>
      </c>
      <c r="L315" t="s">
        <v>146</v>
      </c>
      <c r="M315" s="4">
        <v>9</v>
      </c>
      <c r="N315" t="s">
        <v>318</v>
      </c>
      <c r="O315" t="s">
        <v>148</v>
      </c>
      <c r="P315" s="4">
        <v>40.803983000000002</v>
      </c>
      <c r="Q315" s="4">
        <v>-73.954353999999995</v>
      </c>
      <c r="R315" s="4">
        <v>40.803865000000002</v>
      </c>
      <c r="S315" s="4">
        <v>-73.954795000000004</v>
      </c>
      <c r="T315" s="2">
        <v>44692</v>
      </c>
      <c r="U315" t="s">
        <v>49</v>
      </c>
      <c r="V315" t="s">
        <v>71</v>
      </c>
      <c r="W315" t="s">
        <v>51</v>
      </c>
      <c r="X315" s="4">
        <v>1</v>
      </c>
      <c r="Y315" s="4">
        <v>4</v>
      </c>
      <c r="Z315" s="4">
        <v>21</v>
      </c>
      <c r="AA315" s="4">
        <v>6</v>
      </c>
      <c r="AE315" s="4">
        <v>6</v>
      </c>
      <c r="AF315" s="4">
        <v>26</v>
      </c>
      <c r="AL315" s="4">
        <v>32</v>
      </c>
      <c r="AN315" s="4">
        <v>32</v>
      </c>
      <c r="AO315" s="4">
        <v>32</v>
      </c>
    </row>
    <row r="316" spans="1:41" hidden="1" x14ac:dyDescent="0.2">
      <c r="A316" t="s">
        <v>859</v>
      </c>
      <c r="B316" t="s">
        <v>860</v>
      </c>
      <c r="C316" s="2">
        <v>44692</v>
      </c>
      <c r="E316" s="3">
        <v>998765</v>
      </c>
      <c r="F316" t="s">
        <v>861</v>
      </c>
      <c r="G316" t="s">
        <v>862</v>
      </c>
      <c r="H316" t="s">
        <v>45</v>
      </c>
      <c r="I316" s="3">
        <v>10036</v>
      </c>
      <c r="J316" s="3">
        <v>1010330025</v>
      </c>
      <c r="K316" s="3">
        <v>1024945</v>
      </c>
      <c r="L316" t="s">
        <v>78</v>
      </c>
      <c r="M316" s="4">
        <v>3</v>
      </c>
      <c r="N316" t="s">
        <v>79</v>
      </c>
      <c r="O316" t="s">
        <v>80</v>
      </c>
      <c r="P316" s="4">
        <v>40.758181999999998</v>
      </c>
      <c r="Q316" s="4">
        <v>-73.989973000000006</v>
      </c>
      <c r="R316" s="4">
        <v>40.757930000000002</v>
      </c>
      <c r="S316" s="4">
        <v>-73.990296999999998</v>
      </c>
      <c r="U316" t="s">
        <v>117</v>
      </c>
      <c r="V316" t="s">
        <v>71</v>
      </c>
      <c r="W316" t="s">
        <v>51</v>
      </c>
      <c r="Y316" s="4">
        <v>33</v>
      </c>
      <c r="Z316" s="4">
        <v>33</v>
      </c>
      <c r="AA316" s="4">
        <v>17</v>
      </c>
      <c r="AD316" s="4">
        <v>10</v>
      </c>
      <c r="AE316" s="4">
        <v>60</v>
      </c>
      <c r="AF316" s="4">
        <v>13</v>
      </c>
      <c r="AL316" s="4">
        <v>83</v>
      </c>
      <c r="AN316" s="4">
        <v>83</v>
      </c>
      <c r="AO316" s="4">
        <v>330</v>
      </c>
    </row>
    <row r="317" spans="1:41" hidden="1" x14ac:dyDescent="0.2">
      <c r="A317" t="s">
        <v>863</v>
      </c>
      <c r="B317" t="s">
        <v>140</v>
      </c>
      <c r="C317" s="2">
        <v>44687</v>
      </c>
      <c r="D317" s="2">
        <v>44687</v>
      </c>
      <c r="F317" t="s">
        <v>141</v>
      </c>
      <c r="G317" t="s">
        <v>141</v>
      </c>
      <c r="H317" t="s">
        <v>45</v>
      </c>
      <c r="L317" t="s">
        <v>169</v>
      </c>
      <c r="M317" s="4">
        <v>9</v>
      </c>
      <c r="T317" s="2">
        <v>44687</v>
      </c>
      <c r="U317" t="s">
        <v>117</v>
      </c>
      <c r="V317" t="s">
        <v>71</v>
      </c>
      <c r="W317" t="s">
        <v>51</v>
      </c>
      <c r="Z317" s="4">
        <v>1</v>
      </c>
      <c r="AF317" s="4">
        <v>1</v>
      </c>
      <c r="AM317" s="4">
        <v>1</v>
      </c>
      <c r="AN317" s="4">
        <v>1</v>
      </c>
      <c r="AO317" s="4">
        <v>1</v>
      </c>
    </row>
    <row r="318" spans="1:41" hidden="1" x14ac:dyDescent="0.2">
      <c r="A318" t="s">
        <v>864</v>
      </c>
      <c r="B318" t="s">
        <v>140</v>
      </c>
      <c r="C318" s="2">
        <v>44680</v>
      </c>
      <c r="D318" s="2">
        <v>44680</v>
      </c>
      <c r="F318" t="s">
        <v>141</v>
      </c>
      <c r="G318" t="s">
        <v>141</v>
      </c>
      <c r="H318" t="s">
        <v>45</v>
      </c>
      <c r="L318" t="s">
        <v>78</v>
      </c>
      <c r="M318" s="4">
        <v>3</v>
      </c>
      <c r="T318" s="2">
        <v>44680</v>
      </c>
      <c r="U318" t="s">
        <v>117</v>
      </c>
      <c r="V318" t="s">
        <v>71</v>
      </c>
      <c r="W318" t="s">
        <v>51</v>
      </c>
      <c r="Z318" s="4">
        <v>1</v>
      </c>
      <c r="AE318" s="4">
        <v>1</v>
      </c>
      <c r="AM318" s="4">
        <v>1</v>
      </c>
      <c r="AN318" s="4">
        <v>1</v>
      </c>
      <c r="AO318" s="4">
        <v>1</v>
      </c>
    </row>
    <row r="319" spans="1:41" hidden="1" x14ac:dyDescent="0.2">
      <c r="A319" t="s">
        <v>865</v>
      </c>
      <c r="B319" t="s">
        <v>866</v>
      </c>
      <c r="C319" s="2">
        <v>44648</v>
      </c>
      <c r="D319" s="2">
        <v>44946</v>
      </c>
      <c r="E319" s="3">
        <v>26903</v>
      </c>
      <c r="F319" t="s">
        <v>867</v>
      </c>
      <c r="G319" t="s">
        <v>868</v>
      </c>
      <c r="H319" t="s">
        <v>45</v>
      </c>
      <c r="I319" s="3">
        <v>10002</v>
      </c>
      <c r="J319" s="3">
        <v>1003430062</v>
      </c>
      <c r="K319" s="3">
        <v>1004083</v>
      </c>
      <c r="L319" t="s">
        <v>64</v>
      </c>
      <c r="M319" s="4">
        <v>2</v>
      </c>
      <c r="N319" t="s">
        <v>869</v>
      </c>
      <c r="O319" t="s">
        <v>66</v>
      </c>
      <c r="P319" s="4">
        <v>40.717877000000001</v>
      </c>
      <c r="Q319" s="4">
        <v>-73.982724000000005</v>
      </c>
      <c r="R319" s="4">
        <v>40.717877999999999</v>
      </c>
      <c r="S319" s="4">
        <v>-73.983069999999998</v>
      </c>
      <c r="T319" s="2">
        <v>44946</v>
      </c>
      <c r="U319" t="s">
        <v>117</v>
      </c>
      <c r="V319" t="s">
        <v>71</v>
      </c>
      <c r="W319" t="s">
        <v>51</v>
      </c>
      <c r="Z319" s="4">
        <v>6</v>
      </c>
      <c r="AB319" s="4">
        <v>12</v>
      </c>
      <c r="AD319" s="4">
        <v>3</v>
      </c>
      <c r="AE319" s="4">
        <v>12</v>
      </c>
      <c r="AF319" s="4">
        <v>3</v>
      </c>
      <c r="AL319" s="4">
        <v>18</v>
      </c>
      <c r="AN319" s="4">
        <v>18</v>
      </c>
      <c r="AO319" s="4">
        <v>59</v>
      </c>
    </row>
    <row r="320" spans="1:41" hidden="1" x14ac:dyDescent="0.2">
      <c r="A320" t="s">
        <v>870</v>
      </c>
      <c r="B320" t="s">
        <v>871</v>
      </c>
      <c r="C320" s="2">
        <v>44642</v>
      </c>
      <c r="D320" s="2">
        <v>45733</v>
      </c>
      <c r="E320" s="3">
        <v>40677</v>
      </c>
      <c r="F320" t="s">
        <v>872</v>
      </c>
      <c r="G320" t="s">
        <v>321</v>
      </c>
      <c r="H320" t="s">
        <v>45</v>
      </c>
      <c r="I320" s="3">
        <v>10031</v>
      </c>
      <c r="J320" s="3">
        <v>1019880027</v>
      </c>
      <c r="K320" s="3">
        <v>1059763</v>
      </c>
      <c r="L320" t="s">
        <v>169</v>
      </c>
      <c r="M320" s="4">
        <v>7</v>
      </c>
      <c r="N320" t="s">
        <v>412</v>
      </c>
      <c r="O320" t="s">
        <v>171</v>
      </c>
      <c r="P320" s="4">
        <v>40.818420000000003</v>
      </c>
      <c r="Q320" s="4">
        <v>-73.953141000000002</v>
      </c>
      <c r="R320" s="4">
        <v>40.818648000000003</v>
      </c>
      <c r="S320" s="4">
        <v>-73.953119000000001</v>
      </c>
      <c r="T320" s="2">
        <v>45460</v>
      </c>
      <c r="U320" t="s">
        <v>49</v>
      </c>
      <c r="V320" t="s">
        <v>71</v>
      </c>
      <c r="W320" t="s">
        <v>51</v>
      </c>
      <c r="Y320" s="4">
        <v>10</v>
      </c>
      <c r="AA320" s="4">
        <v>9</v>
      </c>
      <c r="AF320" s="4">
        <v>18</v>
      </c>
      <c r="AG320" s="4">
        <v>1</v>
      </c>
      <c r="AM320" s="4">
        <v>19</v>
      </c>
      <c r="AN320" s="4">
        <v>19</v>
      </c>
      <c r="AO320" s="4">
        <v>19</v>
      </c>
    </row>
    <row r="321" spans="1:41" hidden="1" x14ac:dyDescent="0.2">
      <c r="A321" t="s">
        <v>870</v>
      </c>
      <c r="B321" t="s">
        <v>871</v>
      </c>
      <c r="C321" s="2">
        <v>44642</v>
      </c>
      <c r="D321" s="2">
        <v>45733</v>
      </c>
      <c r="E321" s="3">
        <v>40693</v>
      </c>
      <c r="F321" t="s">
        <v>873</v>
      </c>
      <c r="G321" t="s">
        <v>321</v>
      </c>
      <c r="H321" t="s">
        <v>45</v>
      </c>
      <c r="I321" s="3">
        <v>10031</v>
      </c>
      <c r="J321" s="3">
        <v>1019880012</v>
      </c>
      <c r="K321" s="3">
        <v>1059754</v>
      </c>
      <c r="L321" t="s">
        <v>169</v>
      </c>
      <c r="M321" s="4">
        <v>7</v>
      </c>
      <c r="N321" t="s">
        <v>412</v>
      </c>
      <c r="O321" t="s">
        <v>171</v>
      </c>
      <c r="P321" s="4">
        <v>40.818868000000002</v>
      </c>
      <c r="Q321" s="4">
        <v>-73.954213999999993</v>
      </c>
      <c r="R321" s="4">
        <v>40.819147999999998</v>
      </c>
      <c r="S321" s="4">
        <v>-73.954307999999997</v>
      </c>
      <c r="T321" s="2">
        <v>45460</v>
      </c>
      <c r="U321" t="s">
        <v>49</v>
      </c>
      <c r="V321" t="s">
        <v>71</v>
      </c>
      <c r="W321" t="s">
        <v>51</v>
      </c>
      <c r="Y321" s="4">
        <v>17</v>
      </c>
      <c r="AA321" s="4">
        <v>8</v>
      </c>
      <c r="AE321" s="4">
        <v>1</v>
      </c>
      <c r="AF321" s="4">
        <v>16</v>
      </c>
      <c r="AG321" s="4">
        <v>8</v>
      </c>
      <c r="AM321" s="4">
        <v>25</v>
      </c>
      <c r="AN321" s="4">
        <v>25</v>
      </c>
      <c r="AO321" s="4">
        <v>25</v>
      </c>
    </row>
    <row r="322" spans="1:41" hidden="1" x14ac:dyDescent="0.2">
      <c r="A322" t="s">
        <v>870</v>
      </c>
      <c r="B322" t="s">
        <v>871</v>
      </c>
      <c r="C322" s="2">
        <v>44642</v>
      </c>
      <c r="D322" s="2">
        <v>45733</v>
      </c>
      <c r="E322" s="3">
        <v>40696</v>
      </c>
      <c r="F322" t="s">
        <v>874</v>
      </c>
      <c r="G322" t="s">
        <v>321</v>
      </c>
      <c r="H322" t="s">
        <v>45</v>
      </c>
      <c r="I322" s="3">
        <v>10031</v>
      </c>
      <c r="J322" s="3">
        <v>1019880008</v>
      </c>
      <c r="K322" s="3">
        <v>1059752</v>
      </c>
      <c r="L322" t="s">
        <v>169</v>
      </c>
      <c r="M322" s="4">
        <v>7</v>
      </c>
      <c r="N322" t="s">
        <v>412</v>
      </c>
      <c r="O322" t="s">
        <v>171</v>
      </c>
      <c r="P322" s="4">
        <v>40.818894999999998</v>
      </c>
      <c r="Q322" s="4">
        <v>-73.954272000000003</v>
      </c>
      <c r="R322" s="4">
        <v>40.819274</v>
      </c>
      <c r="S322" s="4">
        <v>-73.954611</v>
      </c>
      <c r="T322" s="2">
        <v>45733</v>
      </c>
      <c r="U322" t="s">
        <v>49</v>
      </c>
      <c r="V322" t="s">
        <v>71</v>
      </c>
      <c r="W322" t="s">
        <v>51</v>
      </c>
      <c r="Y322" s="4">
        <v>16</v>
      </c>
      <c r="AA322" s="4">
        <v>9</v>
      </c>
      <c r="AE322" s="4">
        <v>3</v>
      </c>
      <c r="AF322" s="4">
        <v>16</v>
      </c>
      <c r="AG322" s="4">
        <v>6</v>
      </c>
      <c r="AM322" s="4">
        <v>25</v>
      </c>
      <c r="AN322" s="4">
        <v>25</v>
      </c>
      <c r="AO322" s="4">
        <v>25</v>
      </c>
    </row>
    <row r="323" spans="1:41" hidden="1" x14ac:dyDescent="0.2">
      <c r="A323" t="s">
        <v>875</v>
      </c>
      <c r="B323" t="s">
        <v>876</v>
      </c>
      <c r="C323" s="2">
        <v>44631</v>
      </c>
      <c r="E323" s="3">
        <v>9798</v>
      </c>
      <c r="F323" t="s">
        <v>519</v>
      </c>
      <c r="G323" t="s">
        <v>558</v>
      </c>
      <c r="H323" t="s">
        <v>45</v>
      </c>
      <c r="I323" s="3">
        <v>10024</v>
      </c>
      <c r="J323" s="3">
        <v>1012030001</v>
      </c>
      <c r="K323" s="3">
        <v>1031543</v>
      </c>
      <c r="L323" t="s">
        <v>46</v>
      </c>
      <c r="M323" s="4">
        <v>6</v>
      </c>
      <c r="N323" t="s">
        <v>877</v>
      </c>
      <c r="O323" t="s">
        <v>285</v>
      </c>
      <c r="P323" s="4">
        <v>40.788758000000001</v>
      </c>
      <c r="Q323" s="4">
        <v>-73.970502999999994</v>
      </c>
      <c r="R323" s="4">
        <v>40.788603999999999</v>
      </c>
      <c r="S323" s="4">
        <v>-73.970128000000003</v>
      </c>
      <c r="U323" t="s">
        <v>49</v>
      </c>
      <c r="V323" t="s">
        <v>71</v>
      </c>
      <c r="W323" t="s">
        <v>51</v>
      </c>
      <c r="Y323" s="4">
        <v>188</v>
      </c>
      <c r="AC323" s="4">
        <v>1</v>
      </c>
      <c r="AD323" s="4">
        <v>9</v>
      </c>
      <c r="AE323" s="4">
        <v>45</v>
      </c>
      <c r="AF323" s="4">
        <v>90</v>
      </c>
      <c r="AG323" s="4">
        <v>36</v>
      </c>
      <c r="AH323" s="4">
        <v>9</v>
      </c>
      <c r="AM323" s="4">
        <v>189</v>
      </c>
      <c r="AN323" s="4">
        <v>189</v>
      </c>
      <c r="AO323" s="4">
        <v>189</v>
      </c>
    </row>
    <row r="324" spans="1:41" hidden="1" x14ac:dyDescent="0.2">
      <c r="A324" t="s">
        <v>878</v>
      </c>
      <c r="B324" t="s">
        <v>879</v>
      </c>
      <c r="C324" s="2">
        <v>44631</v>
      </c>
      <c r="E324" s="3">
        <v>32654</v>
      </c>
      <c r="F324" t="s">
        <v>880</v>
      </c>
      <c r="G324" t="s">
        <v>847</v>
      </c>
      <c r="H324" t="s">
        <v>45</v>
      </c>
      <c r="I324" s="3">
        <v>10018</v>
      </c>
      <c r="J324" s="3">
        <v>1007620023</v>
      </c>
      <c r="K324" s="3">
        <v>1083616</v>
      </c>
      <c r="L324" t="s">
        <v>78</v>
      </c>
      <c r="M324" s="4">
        <v>3</v>
      </c>
      <c r="N324" t="s">
        <v>427</v>
      </c>
      <c r="O324" t="s">
        <v>80</v>
      </c>
      <c r="P324" s="4">
        <v>40.755051000000002</v>
      </c>
      <c r="Q324" s="4">
        <v>-73.992417000000003</v>
      </c>
      <c r="R324" s="4">
        <v>40.755330999999998</v>
      </c>
      <c r="S324" s="4">
        <v>-73.992514</v>
      </c>
      <c r="U324" t="s">
        <v>117</v>
      </c>
      <c r="V324" t="s">
        <v>50</v>
      </c>
      <c r="W324" t="s">
        <v>51</v>
      </c>
      <c r="AA324" s="4">
        <v>6</v>
      </c>
      <c r="AB324" s="4">
        <v>5</v>
      </c>
      <c r="AD324" s="4">
        <v>8</v>
      </c>
      <c r="AE324" s="4">
        <v>2</v>
      </c>
      <c r="AF324" s="4">
        <v>1</v>
      </c>
      <c r="AL324" s="4">
        <v>11</v>
      </c>
      <c r="AN324" s="4">
        <v>11</v>
      </c>
      <c r="AO324" s="4">
        <v>11</v>
      </c>
    </row>
    <row r="325" spans="1:41" hidden="1" x14ac:dyDescent="0.2">
      <c r="A325" t="s">
        <v>881</v>
      </c>
      <c r="B325" t="s">
        <v>140</v>
      </c>
      <c r="C325" s="2">
        <v>44631</v>
      </c>
      <c r="D325" s="2">
        <v>44631</v>
      </c>
      <c r="F325" t="s">
        <v>141</v>
      </c>
      <c r="G325" t="s">
        <v>141</v>
      </c>
      <c r="H325" t="s">
        <v>45</v>
      </c>
      <c r="L325" t="s">
        <v>169</v>
      </c>
      <c r="M325" s="4">
        <v>7</v>
      </c>
      <c r="T325" s="2">
        <v>44631</v>
      </c>
      <c r="U325" t="s">
        <v>117</v>
      </c>
      <c r="V325" t="s">
        <v>71</v>
      </c>
      <c r="W325" t="s">
        <v>51</v>
      </c>
      <c r="Z325" s="4">
        <v>1</v>
      </c>
      <c r="AF325" s="4">
        <v>1</v>
      </c>
      <c r="AM325" s="4">
        <v>1</v>
      </c>
      <c r="AN325" s="4">
        <v>1</v>
      </c>
      <c r="AO325" s="4">
        <v>1</v>
      </c>
    </row>
    <row r="326" spans="1:41" hidden="1" x14ac:dyDescent="0.2">
      <c r="A326" t="s">
        <v>882</v>
      </c>
      <c r="B326" t="s">
        <v>883</v>
      </c>
      <c r="C326" s="2">
        <v>44627</v>
      </c>
      <c r="D326" s="2">
        <v>45383</v>
      </c>
      <c r="E326" s="3">
        <v>1140</v>
      </c>
      <c r="F326" t="s">
        <v>884</v>
      </c>
      <c r="G326" t="s">
        <v>106</v>
      </c>
      <c r="H326" t="s">
        <v>45</v>
      </c>
      <c r="I326" s="3">
        <v>10029</v>
      </c>
      <c r="J326" s="3">
        <v>1016740049</v>
      </c>
      <c r="K326" s="3">
        <v>1052673</v>
      </c>
      <c r="L326" t="s">
        <v>153</v>
      </c>
      <c r="M326" s="4">
        <v>8</v>
      </c>
      <c r="N326" t="s">
        <v>368</v>
      </c>
      <c r="O326" t="s">
        <v>267</v>
      </c>
      <c r="P326" s="4">
        <v>40.788615999999998</v>
      </c>
      <c r="Q326" s="4">
        <v>-73.943899000000002</v>
      </c>
      <c r="R326" s="4">
        <v>40.788297999999998</v>
      </c>
      <c r="S326" s="4">
        <v>-73.943743999999995</v>
      </c>
      <c r="T326" s="2">
        <v>45383</v>
      </c>
      <c r="U326" t="s">
        <v>117</v>
      </c>
      <c r="V326" t="s">
        <v>71</v>
      </c>
      <c r="W326" t="s">
        <v>51</v>
      </c>
      <c r="AB326" s="4">
        <v>51</v>
      </c>
      <c r="AD326" s="4">
        <v>13</v>
      </c>
      <c r="AE326" s="4">
        <v>25</v>
      </c>
      <c r="AF326" s="4">
        <v>10</v>
      </c>
      <c r="AG326" s="4">
        <v>3</v>
      </c>
      <c r="AL326" s="4">
        <v>51</v>
      </c>
      <c r="AN326" s="4">
        <v>51</v>
      </c>
      <c r="AO326" s="4">
        <v>164</v>
      </c>
    </row>
    <row r="327" spans="1:41" hidden="1" x14ac:dyDescent="0.2">
      <c r="A327" t="s">
        <v>885</v>
      </c>
      <c r="B327" t="s">
        <v>886</v>
      </c>
      <c r="C327" s="2">
        <v>44614</v>
      </c>
      <c r="D327" s="2">
        <v>44757</v>
      </c>
      <c r="E327" s="3">
        <v>1002206</v>
      </c>
      <c r="F327" t="s">
        <v>887</v>
      </c>
      <c r="G327" t="s">
        <v>324</v>
      </c>
      <c r="H327" t="s">
        <v>45</v>
      </c>
      <c r="I327" s="3">
        <v>10030</v>
      </c>
      <c r="J327" s="3">
        <v>1019590054</v>
      </c>
      <c r="K327" s="3">
        <v>1089809</v>
      </c>
      <c r="L327" t="s">
        <v>146</v>
      </c>
      <c r="M327" s="4">
        <v>9</v>
      </c>
      <c r="N327" t="s">
        <v>888</v>
      </c>
      <c r="O327" t="s">
        <v>177</v>
      </c>
      <c r="P327" s="4">
        <v>40.816771000000003</v>
      </c>
      <c r="Q327" s="4">
        <v>-73.947209999999998</v>
      </c>
      <c r="R327" s="4">
        <v>40.816828999999998</v>
      </c>
      <c r="S327" s="4">
        <v>-73.947766000000001</v>
      </c>
      <c r="T327" s="2">
        <v>44757</v>
      </c>
      <c r="U327" t="s">
        <v>117</v>
      </c>
      <c r="V327" t="s">
        <v>71</v>
      </c>
      <c r="W327" t="s">
        <v>51</v>
      </c>
      <c r="AB327" s="4">
        <v>6</v>
      </c>
      <c r="AE327" s="4">
        <v>3</v>
      </c>
      <c r="AF327" s="4">
        <v>3</v>
      </c>
      <c r="AL327" s="4">
        <v>6</v>
      </c>
      <c r="AN327" s="4">
        <v>6</v>
      </c>
      <c r="AO327" s="4">
        <v>17</v>
      </c>
    </row>
    <row r="328" spans="1:41" hidden="1" x14ac:dyDescent="0.2">
      <c r="A328" t="s">
        <v>889</v>
      </c>
      <c r="B328" t="s">
        <v>140</v>
      </c>
      <c r="C328" s="2">
        <v>44599</v>
      </c>
      <c r="D328" s="2">
        <v>45386</v>
      </c>
      <c r="F328" t="s">
        <v>141</v>
      </c>
      <c r="G328" t="s">
        <v>141</v>
      </c>
      <c r="H328" t="s">
        <v>45</v>
      </c>
      <c r="L328" t="s">
        <v>169</v>
      </c>
      <c r="M328" s="4">
        <v>7</v>
      </c>
      <c r="T328" s="2">
        <v>45386</v>
      </c>
      <c r="U328" t="s">
        <v>49</v>
      </c>
      <c r="V328" t="s">
        <v>71</v>
      </c>
      <c r="W328" t="s">
        <v>51</v>
      </c>
      <c r="AA328" s="4">
        <v>3</v>
      </c>
      <c r="AK328" s="4">
        <v>3</v>
      </c>
      <c r="AM328" s="4">
        <v>3</v>
      </c>
      <c r="AN328" s="4">
        <v>3</v>
      </c>
      <c r="AO328" s="4">
        <v>3</v>
      </c>
    </row>
    <row r="329" spans="1:41" hidden="1" x14ac:dyDescent="0.2">
      <c r="A329" t="s">
        <v>890</v>
      </c>
      <c r="B329" t="s">
        <v>891</v>
      </c>
      <c r="C329" s="2">
        <v>44595</v>
      </c>
      <c r="D329" s="2">
        <v>45344</v>
      </c>
      <c r="E329" s="3">
        <v>991167</v>
      </c>
      <c r="F329" t="s">
        <v>358</v>
      </c>
      <c r="G329" t="s">
        <v>892</v>
      </c>
      <c r="H329" t="s">
        <v>45</v>
      </c>
      <c r="I329" s="3">
        <v>10035</v>
      </c>
      <c r="L329" t="s">
        <v>153</v>
      </c>
      <c r="M329" s="4">
        <v>9</v>
      </c>
      <c r="N329" t="s">
        <v>833</v>
      </c>
      <c r="O329" t="s">
        <v>155</v>
      </c>
      <c r="P329" s="4">
        <v>40.805954999999997</v>
      </c>
      <c r="Q329" s="4">
        <v>-73.939105999999995</v>
      </c>
      <c r="T329" s="2">
        <v>45344</v>
      </c>
      <c r="U329" t="s">
        <v>117</v>
      </c>
      <c r="V329" t="s">
        <v>71</v>
      </c>
      <c r="W329" t="s">
        <v>51</v>
      </c>
      <c r="Y329" s="4">
        <v>32</v>
      </c>
      <c r="AB329" s="4">
        <v>8</v>
      </c>
      <c r="AD329" s="4">
        <v>15</v>
      </c>
      <c r="AE329" s="4">
        <v>9</v>
      </c>
      <c r="AF329" s="4">
        <v>16</v>
      </c>
      <c r="AL329" s="4">
        <v>40</v>
      </c>
      <c r="AN329" s="4">
        <v>40</v>
      </c>
      <c r="AO329" s="4">
        <v>160</v>
      </c>
    </row>
    <row r="330" spans="1:41" hidden="1" x14ac:dyDescent="0.2">
      <c r="A330" t="s">
        <v>893</v>
      </c>
      <c r="B330" t="s">
        <v>894</v>
      </c>
      <c r="C330" s="2">
        <v>44589</v>
      </c>
      <c r="E330" s="3">
        <v>10014</v>
      </c>
      <c r="F330" t="s">
        <v>895</v>
      </c>
      <c r="G330" t="s">
        <v>896</v>
      </c>
      <c r="H330" t="s">
        <v>45</v>
      </c>
      <c r="I330" s="3">
        <v>10031</v>
      </c>
      <c r="J330" s="3">
        <v>1020650019</v>
      </c>
      <c r="K330" s="3">
        <v>1000000</v>
      </c>
      <c r="L330" t="s">
        <v>169</v>
      </c>
      <c r="M330" s="4">
        <v>9</v>
      </c>
      <c r="N330" t="s">
        <v>897</v>
      </c>
      <c r="O330" t="s">
        <v>232</v>
      </c>
      <c r="P330" s="4">
        <v>40.827846999999998</v>
      </c>
      <c r="Q330" s="4">
        <v>-73.943837000000002</v>
      </c>
      <c r="R330" s="4">
        <v>40.827866</v>
      </c>
      <c r="S330" s="4">
        <v>-73.943577000000005</v>
      </c>
      <c r="U330" t="s">
        <v>117</v>
      </c>
      <c r="V330" t="s">
        <v>71</v>
      </c>
      <c r="W330" t="s">
        <v>51</v>
      </c>
      <c r="AB330" s="4">
        <v>6</v>
      </c>
      <c r="AD330" s="4">
        <v>3</v>
      </c>
      <c r="AE330" s="4">
        <v>3</v>
      </c>
      <c r="AL330" s="4">
        <v>6</v>
      </c>
      <c r="AN330" s="4">
        <v>6</v>
      </c>
      <c r="AO330" s="4">
        <v>20</v>
      </c>
    </row>
    <row r="331" spans="1:41" hidden="1" x14ac:dyDescent="0.2">
      <c r="A331" t="s">
        <v>898</v>
      </c>
      <c r="B331" t="s">
        <v>899</v>
      </c>
      <c r="C331" s="2">
        <v>44560</v>
      </c>
      <c r="D331" s="2">
        <v>45098</v>
      </c>
      <c r="E331" s="3">
        <v>842019</v>
      </c>
      <c r="F331" t="s">
        <v>900</v>
      </c>
      <c r="G331" t="s">
        <v>274</v>
      </c>
      <c r="H331" t="s">
        <v>45</v>
      </c>
      <c r="I331" s="3">
        <v>10026</v>
      </c>
      <c r="J331" s="3">
        <v>1018240016</v>
      </c>
      <c r="K331" s="3">
        <v>1055038</v>
      </c>
      <c r="L331" t="s">
        <v>146</v>
      </c>
      <c r="M331" s="4">
        <v>9</v>
      </c>
      <c r="N331" t="s">
        <v>318</v>
      </c>
      <c r="O331" t="s">
        <v>148</v>
      </c>
      <c r="P331" s="4">
        <v>40.801226</v>
      </c>
      <c r="Q331" s="4">
        <v>-73.950277999999997</v>
      </c>
      <c r="R331" s="4">
        <v>40.801302999999997</v>
      </c>
      <c r="S331" s="4">
        <v>-73.951043999999996</v>
      </c>
      <c r="T331" s="2">
        <v>45098</v>
      </c>
      <c r="U331" t="s">
        <v>49</v>
      </c>
      <c r="V331" t="s">
        <v>71</v>
      </c>
      <c r="W331" t="s">
        <v>51</v>
      </c>
      <c r="X331" s="4">
        <v>127</v>
      </c>
      <c r="Y331" s="4">
        <v>11</v>
      </c>
      <c r="Z331" s="4">
        <v>12</v>
      </c>
      <c r="AB331" s="4">
        <v>10</v>
      </c>
      <c r="AC331" s="4">
        <v>1</v>
      </c>
      <c r="AE331" s="4">
        <v>63</v>
      </c>
      <c r="AF331" s="4">
        <v>89</v>
      </c>
      <c r="AG331" s="4">
        <v>9</v>
      </c>
      <c r="AL331" s="4">
        <v>161</v>
      </c>
      <c r="AN331" s="4">
        <v>161</v>
      </c>
      <c r="AO331" s="4">
        <v>161</v>
      </c>
    </row>
    <row r="332" spans="1:41" hidden="1" x14ac:dyDescent="0.2">
      <c r="A332" t="s">
        <v>901</v>
      </c>
      <c r="B332" t="s">
        <v>902</v>
      </c>
      <c r="C332" s="2">
        <v>44560</v>
      </c>
      <c r="E332" s="3">
        <v>5318</v>
      </c>
      <c r="F332" t="s">
        <v>903</v>
      </c>
      <c r="G332" t="s">
        <v>904</v>
      </c>
      <c r="H332" t="s">
        <v>45</v>
      </c>
      <c r="I332" s="3">
        <v>10019</v>
      </c>
      <c r="J332" s="3">
        <v>1010830001</v>
      </c>
      <c r="K332" s="3">
        <v>1086807</v>
      </c>
      <c r="L332" t="s">
        <v>78</v>
      </c>
      <c r="M332" s="4">
        <v>6</v>
      </c>
      <c r="N332" t="s">
        <v>905</v>
      </c>
      <c r="O332" t="s">
        <v>80</v>
      </c>
      <c r="P332" s="4">
        <v>40.768614999999997</v>
      </c>
      <c r="Q332" s="4">
        <v>-73.991439999999997</v>
      </c>
      <c r="R332" s="4">
        <v>40.768470000000001</v>
      </c>
      <c r="S332" s="4">
        <v>-73.991985</v>
      </c>
      <c r="U332" t="s">
        <v>49</v>
      </c>
      <c r="V332" t="s">
        <v>71</v>
      </c>
      <c r="W332" t="s">
        <v>51</v>
      </c>
      <c r="Y332" s="4">
        <v>396</v>
      </c>
      <c r="AD332" s="4">
        <v>38</v>
      </c>
      <c r="AE332" s="4">
        <v>130</v>
      </c>
      <c r="AF332" s="4">
        <v>146</v>
      </c>
      <c r="AG332" s="4">
        <v>76</v>
      </c>
      <c r="AH332" s="4">
        <v>6</v>
      </c>
      <c r="AM332" s="4">
        <v>396</v>
      </c>
      <c r="AN332" s="4">
        <v>396</v>
      </c>
      <c r="AO332" s="4">
        <v>396</v>
      </c>
    </row>
    <row r="333" spans="1:41" hidden="1" x14ac:dyDescent="0.2">
      <c r="A333" t="s">
        <v>906</v>
      </c>
      <c r="B333" t="s">
        <v>907</v>
      </c>
      <c r="C333" s="2">
        <v>44552</v>
      </c>
      <c r="D333" s="2">
        <v>45776</v>
      </c>
      <c r="E333" s="3">
        <v>994120</v>
      </c>
      <c r="F333" t="s">
        <v>694</v>
      </c>
      <c r="G333" t="s">
        <v>626</v>
      </c>
      <c r="H333" t="s">
        <v>45</v>
      </c>
      <c r="I333" s="3">
        <v>10030</v>
      </c>
      <c r="J333" s="3">
        <v>1020260024</v>
      </c>
      <c r="K333" s="3">
        <v>1000000</v>
      </c>
      <c r="L333" t="s">
        <v>146</v>
      </c>
      <c r="M333" s="4">
        <v>9</v>
      </c>
      <c r="N333" t="s">
        <v>222</v>
      </c>
      <c r="O333" t="s">
        <v>177</v>
      </c>
      <c r="P333" s="4">
        <v>40.818736000000001</v>
      </c>
      <c r="Q333" s="4">
        <v>-73.941995000000006</v>
      </c>
      <c r="R333" s="4">
        <v>40.819007999999997</v>
      </c>
      <c r="S333" s="4">
        <v>-73.942070999999999</v>
      </c>
      <c r="T333" s="2">
        <v>45429</v>
      </c>
      <c r="U333" t="s">
        <v>117</v>
      </c>
      <c r="V333" t="s">
        <v>71</v>
      </c>
      <c r="W333" t="s">
        <v>51</v>
      </c>
      <c r="AA333" s="4">
        <v>21</v>
      </c>
      <c r="AE333" s="4">
        <v>10</v>
      </c>
      <c r="AF333" s="4">
        <v>11</v>
      </c>
      <c r="AM333" s="4">
        <v>21</v>
      </c>
      <c r="AN333" s="4">
        <v>21</v>
      </c>
      <c r="AO333" s="4">
        <v>21</v>
      </c>
    </row>
    <row r="334" spans="1:41" hidden="1" x14ac:dyDescent="0.2">
      <c r="A334" t="s">
        <v>906</v>
      </c>
      <c r="B334" t="s">
        <v>907</v>
      </c>
      <c r="C334" s="2">
        <v>44552</v>
      </c>
      <c r="D334" s="2">
        <v>45776</v>
      </c>
      <c r="E334" s="3">
        <v>994121</v>
      </c>
      <c r="F334" t="s">
        <v>908</v>
      </c>
      <c r="G334" t="s">
        <v>549</v>
      </c>
      <c r="H334" t="s">
        <v>45</v>
      </c>
      <c r="I334" s="3">
        <v>10039</v>
      </c>
      <c r="J334" s="3">
        <v>1020450098</v>
      </c>
      <c r="K334" s="3">
        <v>1000000</v>
      </c>
      <c r="L334" t="s">
        <v>146</v>
      </c>
      <c r="M334" s="4">
        <v>9</v>
      </c>
      <c r="N334" t="s">
        <v>909</v>
      </c>
      <c r="O334" t="s">
        <v>177</v>
      </c>
      <c r="P334" s="4">
        <v>40.826068999999997</v>
      </c>
      <c r="Q334" s="4">
        <v>-73.939785000000001</v>
      </c>
      <c r="R334" s="4">
        <v>40.826047000000003</v>
      </c>
      <c r="S334" s="4">
        <v>-73.940297999999999</v>
      </c>
      <c r="T334" s="2">
        <v>45776</v>
      </c>
      <c r="U334" t="s">
        <v>117</v>
      </c>
      <c r="V334" t="s">
        <v>71</v>
      </c>
      <c r="W334" t="s">
        <v>51</v>
      </c>
      <c r="AA334" s="4">
        <v>31</v>
      </c>
      <c r="AD334" s="4">
        <v>1</v>
      </c>
      <c r="AE334" s="4">
        <v>11</v>
      </c>
      <c r="AF334" s="4">
        <v>8</v>
      </c>
      <c r="AG334" s="4">
        <v>11</v>
      </c>
      <c r="AM334" s="4">
        <v>31</v>
      </c>
      <c r="AN334" s="4">
        <v>31</v>
      </c>
      <c r="AO334" s="4">
        <v>31</v>
      </c>
    </row>
    <row r="335" spans="1:41" hidden="1" x14ac:dyDescent="0.2">
      <c r="A335" t="s">
        <v>910</v>
      </c>
      <c r="B335" t="s">
        <v>911</v>
      </c>
      <c r="C335" s="2">
        <v>44551</v>
      </c>
      <c r="D335" s="2">
        <v>45441</v>
      </c>
      <c r="E335" s="3">
        <v>1003181</v>
      </c>
      <c r="F335" t="s">
        <v>912</v>
      </c>
      <c r="G335" t="s">
        <v>847</v>
      </c>
      <c r="H335" t="s">
        <v>45</v>
      </c>
      <c r="I335" s="3">
        <v>10018</v>
      </c>
      <c r="J335" s="3">
        <v>1007100001</v>
      </c>
      <c r="K335" s="3">
        <v>1091000</v>
      </c>
      <c r="L335" t="s">
        <v>78</v>
      </c>
      <c r="M335" s="4">
        <v>3</v>
      </c>
      <c r="N335" t="s">
        <v>913</v>
      </c>
      <c r="O335" t="s">
        <v>183</v>
      </c>
      <c r="P335" s="4">
        <v>40.758062000000002</v>
      </c>
      <c r="Q335" s="4">
        <v>-73.999527</v>
      </c>
      <c r="R335" s="4">
        <v>40.758474</v>
      </c>
      <c r="S335" s="4">
        <v>-73.999643000000006</v>
      </c>
      <c r="T335" s="2">
        <v>45441</v>
      </c>
      <c r="U335" t="s">
        <v>117</v>
      </c>
      <c r="V335" t="s">
        <v>71</v>
      </c>
      <c r="W335" t="s">
        <v>51</v>
      </c>
      <c r="Z335" s="4">
        <v>59</v>
      </c>
      <c r="AB335" s="4">
        <v>118</v>
      </c>
      <c r="AD335" s="4">
        <v>80</v>
      </c>
      <c r="AE335" s="4">
        <v>78</v>
      </c>
      <c r="AF335" s="4">
        <v>19</v>
      </c>
      <c r="AL335" s="4">
        <v>177</v>
      </c>
      <c r="AN335" s="4">
        <v>177</v>
      </c>
      <c r="AO335" s="4">
        <v>590</v>
      </c>
    </row>
    <row r="336" spans="1:41" hidden="1" x14ac:dyDescent="0.2">
      <c r="A336" t="s">
        <v>914</v>
      </c>
      <c r="B336" t="s">
        <v>915</v>
      </c>
      <c r="C336" s="2">
        <v>44546</v>
      </c>
      <c r="D336" s="2">
        <v>45443</v>
      </c>
      <c r="E336" s="3">
        <v>1001362</v>
      </c>
      <c r="F336" t="s">
        <v>916</v>
      </c>
      <c r="G336" t="s">
        <v>917</v>
      </c>
      <c r="H336" t="s">
        <v>45</v>
      </c>
      <c r="I336" s="3">
        <v>10025</v>
      </c>
      <c r="J336" s="3">
        <v>1012437503</v>
      </c>
      <c r="K336" s="3">
        <v>1091038</v>
      </c>
      <c r="L336" t="s">
        <v>46</v>
      </c>
      <c r="M336" s="4">
        <v>7</v>
      </c>
      <c r="N336" t="s">
        <v>284</v>
      </c>
      <c r="O336" t="s">
        <v>285</v>
      </c>
      <c r="P336" s="4">
        <v>40.794981</v>
      </c>
      <c r="Q336" s="4">
        <v>-73.972583999999998</v>
      </c>
      <c r="R336" s="4">
        <v>40.794756</v>
      </c>
      <c r="S336" s="4">
        <v>-73.972761000000006</v>
      </c>
      <c r="T336" s="2">
        <v>45443</v>
      </c>
      <c r="U336" t="s">
        <v>117</v>
      </c>
      <c r="V336" t="s">
        <v>71</v>
      </c>
      <c r="W336" t="s">
        <v>51</v>
      </c>
      <c r="X336" s="4">
        <v>11</v>
      </c>
      <c r="Z336" s="4">
        <v>21</v>
      </c>
      <c r="AA336" s="4">
        <v>35</v>
      </c>
      <c r="AC336" s="4">
        <v>1</v>
      </c>
      <c r="AD336" s="4">
        <v>35</v>
      </c>
      <c r="AE336" s="4">
        <v>14</v>
      </c>
      <c r="AF336" s="4">
        <v>17</v>
      </c>
      <c r="AG336" s="4">
        <v>2</v>
      </c>
      <c r="AL336" s="4">
        <v>68</v>
      </c>
      <c r="AN336" s="4">
        <v>68</v>
      </c>
      <c r="AO336" s="4">
        <v>171</v>
      </c>
    </row>
    <row r="337" spans="1:41" hidden="1" x14ac:dyDescent="0.2">
      <c r="A337" t="s">
        <v>918</v>
      </c>
      <c r="B337" t="s">
        <v>919</v>
      </c>
      <c r="C337" s="2">
        <v>44532</v>
      </c>
      <c r="D337" s="2">
        <v>44532</v>
      </c>
      <c r="E337" s="3">
        <v>18930</v>
      </c>
      <c r="F337" t="s">
        <v>920</v>
      </c>
      <c r="G337" t="s">
        <v>921</v>
      </c>
      <c r="H337" t="s">
        <v>45</v>
      </c>
      <c r="I337" s="3">
        <v>10029</v>
      </c>
      <c r="J337" s="3">
        <v>1016300041</v>
      </c>
      <c r="K337" s="3">
        <v>1083441</v>
      </c>
      <c r="L337" t="s">
        <v>153</v>
      </c>
      <c r="M337" s="4">
        <v>8</v>
      </c>
      <c r="N337" t="s">
        <v>468</v>
      </c>
      <c r="O337" t="s">
        <v>267</v>
      </c>
      <c r="P337" s="4">
        <v>40.790081000000001</v>
      </c>
      <c r="Q337" s="4">
        <v>-73.947145000000006</v>
      </c>
      <c r="R337" s="4">
        <v>40.789831</v>
      </c>
      <c r="S337" s="4">
        <v>-73.947130000000001</v>
      </c>
      <c r="T337" s="2">
        <v>44532</v>
      </c>
      <c r="U337" t="s">
        <v>49</v>
      </c>
      <c r="V337" t="s">
        <v>50</v>
      </c>
      <c r="W337" t="s">
        <v>51</v>
      </c>
      <c r="X337" s="4">
        <v>48</v>
      </c>
      <c r="Y337" s="4">
        <v>7</v>
      </c>
      <c r="Z337" s="4">
        <v>3</v>
      </c>
      <c r="AA337" s="4">
        <v>1</v>
      </c>
      <c r="AC337" s="4">
        <v>1</v>
      </c>
      <c r="AD337" s="4">
        <v>10</v>
      </c>
      <c r="AE337" s="4">
        <v>30</v>
      </c>
      <c r="AF337" s="4">
        <v>10</v>
      </c>
      <c r="AG337" s="4">
        <v>10</v>
      </c>
      <c r="AL337" s="4">
        <v>60</v>
      </c>
      <c r="AN337" s="4">
        <v>60</v>
      </c>
      <c r="AO337" s="4">
        <v>60</v>
      </c>
    </row>
    <row r="338" spans="1:41" hidden="1" x14ac:dyDescent="0.2">
      <c r="A338" t="s">
        <v>922</v>
      </c>
      <c r="B338" t="s">
        <v>923</v>
      </c>
      <c r="C338" s="2">
        <v>44519</v>
      </c>
      <c r="D338" s="2">
        <v>44519</v>
      </c>
      <c r="E338" s="3">
        <v>27685</v>
      </c>
      <c r="F338" t="s">
        <v>924</v>
      </c>
      <c r="G338" t="s">
        <v>925</v>
      </c>
      <c r="H338" t="s">
        <v>45</v>
      </c>
      <c r="I338" s="3">
        <v>10012</v>
      </c>
      <c r="J338" s="3">
        <v>1004930041</v>
      </c>
      <c r="K338" s="3">
        <v>1007484</v>
      </c>
      <c r="L338" t="s">
        <v>161</v>
      </c>
      <c r="M338" s="4">
        <v>1</v>
      </c>
      <c r="N338" t="s">
        <v>926</v>
      </c>
      <c r="O338" t="s">
        <v>927</v>
      </c>
      <c r="P338" s="4">
        <v>40.721364999999999</v>
      </c>
      <c r="Q338" s="4">
        <v>-73.994811999999996</v>
      </c>
      <c r="R338" s="4">
        <v>40.721778999999998</v>
      </c>
      <c r="S338" s="4">
        <v>-73.994956999999999</v>
      </c>
      <c r="T338" s="2">
        <v>44519</v>
      </c>
      <c r="U338" t="s">
        <v>49</v>
      </c>
      <c r="V338" t="s">
        <v>50</v>
      </c>
      <c r="W338" t="s">
        <v>51</v>
      </c>
      <c r="X338" s="4">
        <v>128</v>
      </c>
      <c r="Y338" s="4">
        <v>11</v>
      </c>
      <c r="Z338" s="4">
        <v>8</v>
      </c>
      <c r="AA338" s="4">
        <v>2</v>
      </c>
      <c r="AC338" s="4">
        <v>3</v>
      </c>
      <c r="AE338" s="4">
        <v>34</v>
      </c>
      <c r="AF338" s="4">
        <v>118</v>
      </c>
      <c r="AL338" s="4">
        <v>152</v>
      </c>
      <c r="AN338" s="4">
        <v>152</v>
      </c>
      <c r="AO338" s="4">
        <v>152</v>
      </c>
    </row>
    <row r="339" spans="1:41" hidden="1" x14ac:dyDescent="0.2">
      <c r="A339" t="s">
        <v>928</v>
      </c>
      <c r="B339" t="s">
        <v>929</v>
      </c>
      <c r="C339" s="2">
        <v>44519</v>
      </c>
      <c r="D339" s="2">
        <v>44519</v>
      </c>
      <c r="E339" s="3">
        <v>20862</v>
      </c>
      <c r="F339" t="s">
        <v>930</v>
      </c>
      <c r="G339" t="s">
        <v>931</v>
      </c>
      <c r="H339" t="s">
        <v>45</v>
      </c>
      <c r="I339" s="3">
        <v>10037</v>
      </c>
      <c r="J339" s="3">
        <v>1017550020</v>
      </c>
      <c r="K339" s="3">
        <v>1054277</v>
      </c>
      <c r="L339" t="s">
        <v>153</v>
      </c>
      <c r="M339" s="4">
        <v>9</v>
      </c>
      <c r="N339" t="s">
        <v>192</v>
      </c>
      <c r="O339" t="s">
        <v>155</v>
      </c>
      <c r="P339" s="4">
        <v>40.808773000000002</v>
      </c>
      <c r="Q339" s="4">
        <v>-73.938001</v>
      </c>
      <c r="R339" s="4">
        <v>40.809015000000002</v>
      </c>
      <c r="S339" s="4">
        <v>-73.938025999999994</v>
      </c>
      <c r="T339" s="2">
        <v>44519</v>
      </c>
      <c r="U339" t="s">
        <v>49</v>
      </c>
      <c r="V339" t="s">
        <v>71</v>
      </c>
      <c r="W339" t="s">
        <v>51</v>
      </c>
      <c r="X339" s="4">
        <v>12</v>
      </c>
      <c r="Y339" s="4">
        <v>2</v>
      </c>
      <c r="Z339" s="4">
        <v>1</v>
      </c>
      <c r="AF339" s="4">
        <v>5</v>
      </c>
      <c r="AG339" s="4">
        <v>10</v>
      </c>
      <c r="AL339" s="4">
        <v>15</v>
      </c>
      <c r="AN339" s="4">
        <v>15</v>
      </c>
      <c r="AO339" s="4">
        <v>15</v>
      </c>
    </row>
    <row r="340" spans="1:41" hidden="1" x14ac:dyDescent="0.2">
      <c r="A340" t="s">
        <v>928</v>
      </c>
      <c r="B340" t="s">
        <v>929</v>
      </c>
      <c r="C340" s="2">
        <v>44519</v>
      </c>
      <c r="D340" s="2">
        <v>44519</v>
      </c>
      <c r="E340" s="3">
        <v>24822</v>
      </c>
      <c r="F340" t="s">
        <v>932</v>
      </c>
      <c r="G340" t="s">
        <v>191</v>
      </c>
      <c r="H340" t="s">
        <v>45</v>
      </c>
      <c r="I340" s="3">
        <v>10037</v>
      </c>
      <c r="J340" s="3">
        <v>1017550050</v>
      </c>
      <c r="K340" s="3">
        <v>1054293</v>
      </c>
      <c r="L340" t="s">
        <v>153</v>
      </c>
      <c r="M340" s="4">
        <v>9</v>
      </c>
      <c r="N340" t="s">
        <v>192</v>
      </c>
      <c r="O340" t="s">
        <v>155</v>
      </c>
      <c r="P340" s="4">
        <v>40.809333000000002</v>
      </c>
      <c r="Q340" s="4">
        <v>-73.938012000000001</v>
      </c>
      <c r="R340" s="4">
        <v>40.809233999999996</v>
      </c>
      <c r="S340" s="4">
        <v>-73.93777</v>
      </c>
      <c r="T340" s="2">
        <v>44519</v>
      </c>
      <c r="U340" t="s">
        <v>49</v>
      </c>
      <c r="V340" t="s">
        <v>71</v>
      </c>
      <c r="W340" t="s">
        <v>51</v>
      </c>
      <c r="X340" s="4">
        <v>22</v>
      </c>
      <c r="Y340" s="4">
        <v>16</v>
      </c>
      <c r="AC340" s="4">
        <v>1</v>
      </c>
      <c r="AD340" s="4">
        <v>10</v>
      </c>
      <c r="AE340" s="4">
        <v>20</v>
      </c>
      <c r="AF340" s="4">
        <v>9</v>
      </c>
      <c r="AL340" s="4">
        <v>39</v>
      </c>
      <c r="AN340" s="4">
        <v>39</v>
      </c>
      <c r="AO340" s="4">
        <v>39</v>
      </c>
    </row>
    <row r="341" spans="1:41" hidden="1" x14ac:dyDescent="0.2">
      <c r="A341" t="s">
        <v>933</v>
      </c>
      <c r="B341" t="s">
        <v>934</v>
      </c>
      <c r="C341" s="2">
        <v>44515</v>
      </c>
      <c r="D341" s="2">
        <v>45791</v>
      </c>
      <c r="E341" s="3">
        <v>1000496</v>
      </c>
      <c r="F341" t="s">
        <v>935</v>
      </c>
      <c r="G341" t="s">
        <v>779</v>
      </c>
      <c r="H341" t="s">
        <v>45</v>
      </c>
      <c r="I341" s="3">
        <v>10018</v>
      </c>
      <c r="J341" s="3">
        <v>1010500061</v>
      </c>
      <c r="K341" s="3">
        <v>1076207</v>
      </c>
      <c r="L341" t="s">
        <v>78</v>
      </c>
      <c r="M341" s="4">
        <v>3</v>
      </c>
      <c r="N341" t="s">
        <v>427</v>
      </c>
      <c r="O341" t="s">
        <v>80</v>
      </c>
      <c r="P341" s="4">
        <v>40.758743000000003</v>
      </c>
      <c r="Q341" s="4">
        <v>-73.996105</v>
      </c>
      <c r="R341" s="4">
        <v>40.758507000000002</v>
      </c>
      <c r="S341" s="4">
        <v>-73.995913999999999</v>
      </c>
      <c r="T341" s="2">
        <v>45791</v>
      </c>
      <c r="U341" t="s">
        <v>117</v>
      </c>
      <c r="V341" t="s">
        <v>71</v>
      </c>
      <c r="W341" t="s">
        <v>51</v>
      </c>
      <c r="Z341" s="4">
        <v>47</v>
      </c>
      <c r="AB341" s="4">
        <v>90</v>
      </c>
      <c r="AD341" s="4">
        <v>42</v>
      </c>
      <c r="AE341" s="4">
        <v>59</v>
      </c>
      <c r="AF341" s="4">
        <v>36</v>
      </c>
      <c r="AL341" s="4">
        <v>137</v>
      </c>
      <c r="AN341" s="4">
        <v>137</v>
      </c>
      <c r="AO341" s="4">
        <v>453</v>
      </c>
    </row>
    <row r="342" spans="1:41" hidden="1" x14ac:dyDescent="0.2">
      <c r="A342" t="s">
        <v>936</v>
      </c>
      <c r="B342" t="s">
        <v>140</v>
      </c>
      <c r="C342" s="2">
        <v>44512</v>
      </c>
      <c r="D342" s="2">
        <v>44512</v>
      </c>
      <c r="F342" t="s">
        <v>141</v>
      </c>
      <c r="G342" t="s">
        <v>141</v>
      </c>
      <c r="H342" t="s">
        <v>45</v>
      </c>
      <c r="L342" t="s">
        <v>146</v>
      </c>
      <c r="M342" s="4">
        <v>9</v>
      </c>
      <c r="T342" s="2">
        <v>44512</v>
      </c>
      <c r="U342" t="s">
        <v>117</v>
      </c>
      <c r="V342" t="s">
        <v>71</v>
      </c>
      <c r="W342" t="s">
        <v>51</v>
      </c>
      <c r="Z342" s="4">
        <v>1</v>
      </c>
      <c r="AE342" s="4">
        <v>1</v>
      </c>
      <c r="AM342" s="4">
        <v>1</v>
      </c>
      <c r="AN342" s="4">
        <v>1</v>
      </c>
      <c r="AO342" s="4">
        <v>1</v>
      </c>
    </row>
    <row r="343" spans="1:41" hidden="1" x14ac:dyDescent="0.2">
      <c r="A343" t="s">
        <v>937</v>
      </c>
      <c r="B343" t="s">
        <v>938</v>
      </c>
      <c r="C343" s="2">
        <v>44505</v>
      </c>
      <c r="D343" s="2">
        <v>45716</v>
      </c>
      <c r="E343" s="3">
        <v>991166</v>
      </c>
      <c r="F343" t="s">
        <v>939</v>
      </c>
      <c r="G343" t="s">
        <v>940</v>
      </c>
      <c r="H343" t="s">
        <v>45</v>
      </c>
      <c r="I343" s="3">
        <v>10001</v>
      </c>
      <c r="J343" s="3">
        <v>1006750039</v>
      </c>
      <c r="K343" s="3">
        <v>1012275</v>
      </c>
      <c r="L343" t="s">
        <v>78</v>
      </c>
      <c r="M343" s="4">
        <v>3</v>
      </c>
      <c r="N343" t="s">
        <v>941</v>
      </c>
      <c r="O343" t="s">
        <v>183</v>
      </c>
      <c r="P343" s="4">
        <v>40.753484</v>
      </c>
      <c r="Q343" s="4">
        <v>-74.004371000000006</v>
      </c>
      <c r="R343" s="4">
        <v>40.753382000000002</v>
      </c>
      <c r="S343" s="4">
        <v>-74.004716999999999</v>
      </c>
      <c r="T343" s="2">
        <v>45716</v>
      </c>
      <c r="U343" t="s">
        <v>117</v>
      </c>
      <c r="V343" t="s">
        <v>71</v>
      </c>
      <c r="W343" t="s">
        <v>51</v>
      </c>
      <c r="Y343" s="4">
        <v>31</v>
      </c>
      <c r="Z343" s="4">
        <v>25</v>
      </c>
      <c r="AA343" s="4">
        <v>14</v>
      </c>
      <c r="AD343" s="4">
        <v>24</v>
      </c>
      <c r="AE343" s="4">
        <v>31</v>
      </c>
      <c r="AF343" s="4">
        <v>15</v>
      </c>
      <c r="AL343" s="4">
        <v>70</v>
      </c>
      <c r="AN343" s="4">
        <v>70</v>
      </c>
      <c r="AO343" s="4">
        <v>277</v>
      </c>
    </row>
    <row r="344" spans="1:41" hidden="1" x14ac:dyDescent="0.2">
      <c r="A344" t="s">
        <v>942</v>
      </c>
      <c r="B344" t="s">
        <v>943</v>
      </c>
      <c r="C344" s="2">
        <v>44502</v>
      </c>
      <c r="D344" s="2">
        <v>45027</v>
      </c>
      <c r="E344" s="3">
        <v>27608</v>
      </c>
      <c r="F344" t="s">
        <v>944</v>
      </c>
      <c r="G344" t="s">
        <v>945</v>
      </c>
      <c r="H344" t="s">
        <v>45</v>
      </c>
      <c r="I344" s="3">
        <v>10040</v>
      </c>
      <c r="J344" s="3">
        <v>1021750098</v>
      </c>
      <c r="K344" s="3">
        <v>1064238</v>
      </c>
      <c r="L344" t="s">
        <v>114</v>
      </c>
      <c r="M344" s="4">
        <v>10</v>
      </c>
      <c r="N344" t="s">
        <v>453</v>
      </c>
      <c r="O344" t="s">
        <v>116</v>
      </c>
      <c r="P344" s="4">
        <v>40.862729000000002</v>
      </c>
      <c r="Q344" s="4">
        <v>-73.928319999999999</v>
      </c>
      <c r="R344" s="4">
        <v>40.862965000000003</v>
      </c>
      <c r="S344" s="4">
        <v>-73.928443000000001</v>
      </c>
      <c r="T344" s="2">
        <v>45027</v>
      </c>
      <c r="U344" t="s">
        <v>117</v>
      </c>
      <c r="V344" t="s">
        <v>71</v>
      </c>
      <c r="W344" t="s">
        <v>51</v>
      </c>
      <c r="AB344" s="4">
        <v>18</v>
      </c>
      <c r="AE344" s="4">
        <v>18</v>
      </c>
      <c r="AL344" s="4">
        <v>18</v>
      </c>
      <c r="AN344" s="4">
        <v>18</v>
      </c>
      <c r="AO344" s="4">
        <v>59</v>
      </c>
    </row>
    <row r="345" spans="1:41" hidden="1" x14ac:dyDescent="0.2">
      <c r="A345" t="s">
        <v>946</v>
      </c>
      <c r="B345" t="s">
        <v>947</v>
      </c>
      <c r="C345" s="2">
        <v>44497</v>
      </c>
      <c r="E345" s="3">
        <v>2273</v>
      </c>
      <c r="F345" t="s">
        <v>507</v>
      </c>
      <c r="G345" t="s">
        <v>237</v>
      </c>
      <c r="H345" t="s">
        <v>45</v>
      </c>
      <c r="I345" s="3">
        <v>10016</v>
      </c>
      <c r="J345" s="3">
        <v>1009150002</v>
      </c>
      <c r="K345" s="3">
        <v>1091666</v>
      </c>
      <c r="L345" t="s">
        <v>165</v>
      </c>
      <c r="M345" s="4">
        <v>4</v>
      </c>
      <c r="N345" t="s">
        <v>948</v>
      </c>
      <c r="O345" t="s">
        <v>239</v>
      </c>
      <c r="P345" s="4">
        <v>40.745880999999997</v>
      </c>
      <c r="Q345" s="4">
        <v>-73.977996000000005</v>
      </c>
      <c r="R345" s="4">
        <v>40.745772000000002</v>
      </c>
      <c r="S345" s="4">
        <v>-73.977559999999997</v>
      </c>
      <c r="U345" t="s">
        <v>117</v>
      </c>
      <c r="V345" t="s">
        <v>71</v>
      </c>
      <c r="W345" t="s">
        <v>51</v>
      </c>
      <c r="Y345" s="4">
        <v>23</v>
      </c>
      <c r="Z345" s="4">
        <v>23</v>
      </c>
      <c r="AB345" s="4">
        <v>12</v>
      </c>
      <c r="AD345" s="4">
        <v>18</v>
      </c>
      <c r="AE345" s="4">
        <v>29</v>
      </c>
      <c r="AF345" s="4">
        <v>11</v>
      </c>
      <c r="AL345" s="4">
        <v>58</v>
      </c>
      <c r="AN345" s="4">
        <v>58</v>
      </c>
      <c r="AO345" s="4">
        <v>229</v>
      </c>
    </row>
    <row r="346" spans="1:41" hidden="1" x14ac:dyDescent="0.2">
      <c r="A346" t="s">
        <v>949</v>
      </c>
      <c r="B346" t="s">
        <v>950</v>
      </c>
      <c r="C346" s="2">
        <v>44495</v>
      </c>
      <c r="D346" s="2">
        <v>44953</v>
      </c>
      <c r="E346" s="3">
        <v>482</v>
      </c>
      <c r="F346" t="s">
        <v>951</v>
      </c>
      <c r="G346" t="s">
        <v>289</v>
      </c>
      <c r="H346" t="s">
        <v>45</v>
      </c>
      <c r="I346" s="3">
        <v>10035</v>
      </c>
      <c r="J346" s="3">
        <v>1016880030</v>
      </c>
      <c r="K346" s="3">
        <v>1052963</v>
      </c>
      <c r="L346" t="s">
        <v>153</v>
      </c>
      <c r="M346" s="4">
        <v>8</v>
      </c>
      <c r="N346" t="s">
        <v>290</v>
      </c>
      <c r="O346" t="s">
        <v>155</v>
      </c>
      <c r="P346" s="4">
        <v>40.797150999999999</v>
      </c>
      <c r="Q346" s="4">
        <v>-73.936051000000006</v>
      </c>
      <c r="R346" s="4">
        <v>40.796653999999997</v>
      </c>
      <c r="S346" s="4">
        <v>-73.935440999999997</v>
      </c>
      <c r="T346" s="2">
        <v>44953</v>
      </c>
      <c r="U346" t="s">
        <v>117</v>
      </c>
      <c r="V346" t="s">
        <v>71</v>
      </c>
      <c r="W346" t="s">
        <v>51</v>
      </c>
      <c r="AB346" s="4">
        <v>27</v>
      </c>
      <c r="AD346" s="4">
        <v>7</v>
      </c>
      <c r="AE346" s="4">
        <v>16</v>
      </c>
      <c r="AF346" s="4">
        <v>4</v>
      </c>
      <c r="AL346" s="4">
        <v>27</v>
      </c>
      <c r="AN346" s="4">
        <v>27</v>
      </c>
      <c r="AO346" s="4">
        <v>90</v>
      </c>
    </row>
    <row r="347" spans="1:41" hidden="1" x14ac:dyDescent="0.2">
      <c r="A347" t="s">
        <v>952</v>
      </c>
      <c r="B347" t="s">
        <v>953</v>
      </c>
      <c r="C347" s="2">
        <v>44469</v>
      </c>
      <c r="D347" s="2">
        <v>44957</v>
      </c>
      <c r="E347" s="3">
        <v>20031</v>
      </c>
      <c r="F347" t="s">
        <v>248</v>
      </c>
      <c r="G347" t="s">
        <v>363</v>
      </c>
      <c r="H347" t="s">
        <v>45</v>
      </c>
      <c r="I347" s="3">
        <v>10035</v>
      </c>
      <c r="J347" s="3">
        <v>1017110044</v>
      </c>
      <c r="K347" s="3">
        <v>1090218</v>
      </c>
      <c r="L347" t="s">
        <v>153</v>
      </c>
      <c r="M347" s="4">
        <v>8</v>
      </c>
      <c r="N347" t="s">
        <v>364</v>
      </c>
      <c r="O347" t="s">
        <v>155</v>
      </c>
      <c r="P347" s="4">
        <v>40.797145</v>
      </c>
      <c r="Q347" s="4">
        <v>-73.934089999999998</v>
      </c>
      <c r="R347" s="4">
        <v>40.796906</v>
      </c>
      <c r="S347" s="4">
        <v>-73.934072</v>
      </c>
      <c r="T347" s="2">
        <v>44957</v>
      </c>
      <c r="U347" t="s">
        <v>117</v>
      </c>
      <c r="V347" t="s">
        <v>71</v>
      </c>
      <c r="W347" t="s">
        <v>51</v>
      </c>
      <c r="AB347" s="4">
        <v>11</v>
      </c>
      <c r="AE347" s="4">
        <v>5</v>
      </c>
      <c r="AF347" s="4">
        <v>6</v>
      </c>
      <c r="AL347" s="4">
        <v>11</v>
      </c>
      <c r="AN347" s="4">
        <v>11</v>
      </c>
      <c r="AO347" s="4">
        <v>35</v>
      </c>
    </row>
    <row r="348" spans="1:41" hidden="1" x14ac:dyDescent="0.2">
      <c r="A348" t="s">
        <v>954</v>
      </c>
      <c r="B348" t="s">
        <v>140</v>
      </c>
      <c r="C348" s="2">
        <v>44463</v>
      </c>
      <c r="D348" s="2">
        <v>44463</v>
      </c>
      <c r="F348" t="s">
        <v>141</v>
      </c>
      <c r="G348" t="s">
        <v>141</v>
      </c>
      <c r="H348" t="s">
        <v>45</v>
      </c>
      <c r="L348" t="s">
        <v>169</v>
      </c>
      <c r="M348" s="4">
        <v>9</v>
      </c>
      <c r="T348" s="2">
        <v>44463</v>
      </c>
      <c r="U348" t="s">
        <v>117</v>
      </c>
      <c r="V348" t="s">
        <v>71</v>
      </c>
      <c r="W348" t="s">
        <v>51</v>
      </c>
      <c r="Z348" s="4">
        <v>1</v>
      </c>
      <c r="AE348" s="4">
        <v>1</v>
      </c>
      <c r="AM348" s="4">
        <v>1</v>
      </c>
      <c r="AN348" s="4">
        <v>1</v>
      </c>
      <c r="AO348" s="4">
        <v>1</v>
      </c>
    </row>
    <row r="349" spans="1:41" hidden="1" x14ac:dyDescent="0.2">
      <c r="A349" t="s">
        <v>955</v>
      </c>
      <c r="B349" t="s">
        <v>140</v>
      </c>
      <c r="C349" s="2">
        <v>44449</v>
      </c>
      <c r="D349" s="2">
        <v>44449</v>
      </c>
      <c r="F349" t="s">
        <v>141</v>
      </c>
      <c r="G349" t="s">
        <v>141</v>
      </c>
      <c r="H349" t="s">
        <v>45</v>
      </c>
      <c r="L349" t="s">
        <v>114</v>
      </c>
      <c r="M349" s="4">
        <v>7</v>
      </c>
      <c r="T349" s="2">
        <v>44449</v>
      </c>
      <c r="U349" t="s">
        <v>117</v>
      </c>
      <c r="V349" t="s">
        <v>71</v>
      </c>
      <c r="W349" t="s">
        <v>51</v>
      </c>
      <c r="Z349" s="4">
        <v>1</v>
      </c>
      <c r="AE349" s="4">
        <v>1</v>
      </c>
      <c r="AM349" s="4">
        <v>1</v>
      </c>
      <c r="AN349" s="4">
        <v>1</v>
      </c>
      <c r="AO349" s="4">
        <v>1</v>
      </c>
    </row>
    <row r="350" spans="1:41" x14ac:dyDescent="0.2">
      <c r="A350" t="s">
        <v>956</v>
      </c>
      <c r="B350" t="s">
        <v>957</v>
      </c>
      <c r="C350" s="2">
        <v>44442</v>
      </c>
      <c r="D350" s="2">
        <v>45037</v>
      </c>
      <c r="E350" s="3">
        <v>1001800</v>
      </c>
      <c r="F350" t="s">
        <v>205</v>
      </c>
      <c r="G350" t="s">
        <v>389</v>
      </c>
      <c r="H350" t="s">
        <v>45</v>
      </c>
      <c r="I350" s="3">
        <v>10007</v>
      </c>
      <c r="J350" s="3">
        <v>1000637501</v>
      </c>
      <c r="K350" s="3">
        <v>1090952</v>
      </c>
      <c r="L350" t="s">
        <v>215</v>
      </c>
      <c r="M350" s="4">
        <v>1</v>
      </c>
      <c r="N350" t="s">
        <v>924</v>
      </c>
      <c r="O350" t="s">
        <v>217</v>
      </c>
      <c r="P350" s="4">
        <v>40.710602000000002</v>
      </c>
      <c r="Q350" s="4">
        <v>-74.010099999999994</v>
      </c>
      <c r="R350" s="4">
        <v>40.710402000000002</v>
      </c>
      <c r="S350" s="4">
        <v>-74.010019999999997</v>
      </c>
      <c r="T350" s="2">
        <v>45037</v>
      </c>
      <c r="U350" t="s">
        <v>117</v>
      </c>
      <c r="V350" t="s">
        <v>71</v>
      </c>
      <c r="W350" t="s">
        <v>51</v>
      </c>
      <c r="Z350" s="4">
        <v>21</v>
      </c>
      <c r="AB350" s="4">
        <v>42</v>
      </c>
      <c r="AD350" s="4">
        <v>25</v>
      </c>
      <c r="AE350" s="4">
        <v>30</v>
      </c>
      <c r="AF350" s="4">
        <v>8</v>
      </c>
      <c r="AL350" s="4">
        <v>63</v>
      </c>
      <c r="AN350" s="4">
        <v>63</v>
      </c>
      <c r="AO350" s="4">
        <v>209</v>
      </c>
    </row>
    <row r="351" spans="1:41" hidden="1" x14ac:dyDescent="0.2">
      <c r="A351" t="s">
        <v>958</v>
      </c>
      <c r="B351" t="s">
        <v>959</v>
      </c>
      <c r="C351" s="2">
        <v>44433</v>
      </c>
      <c r="D351" s="2">
        <v>45152</v>
      </c>
      <c r="E351" s="3">
        <v>805885</v>
      </c>
      <c r="F351" t="s">
        <v>960</v>
      </c>
      <c r="G351" t="s">
        <v>961</v>
      </c>
      <c r="H351" t="s">
        <v>45</v>
      </c>
      <c r="I351" s="3">
        <v>10026</v>
      </c>
      <c r="J351" s="3">
        <v>1017170022</v>
      </c>
      <c r="K351" s="3">
        <v>1083960</v>
      </c>
      <c r="L351" t="s">
        <v>146</v>
      </c>
      <c r="M351" s="4">
        <v>9</v>
      </c>
      <c r="N351" t="s">
        <v>275</v>
      </c>
      <c r="O351" t="s">
        <v>148</v>
      </c>
      <c r="P351" s="4">
        <v>40.802467999999998</v>
      </c>
      <c r="Q351" s="4">
        <v>-73.946657999999999</v>
      </c>
      <c r="R351" s="4">
        <v>40.802657000000004</v>
      </c>
      <c r="S351" s="4">
        <v>-73.946552999999994</v>
      </c>
      <c r="T351" s="2">
        <v>45152</v>
      </c>
      <c r="U351" t="s">
        <v>117</v>
      </c>
      <c r="V351" t="s">
        <v>71</v>
      </c>
      <c r="W351" t="s">
        <v>51</v>
      </c>
      <c r="X351" s="4">
        <v>50</v>
      </c>
      <c r="AC351" s="4">
        <v>1</v>
      </c>
      <c r="AD351" s="4">
        <v>50</v>
      </c>
      <c r="AE351" s="4">
        <v>1</v>
      </c>
      <c r="AL351" s="4">
        <v>51</v>
      </c>
      <c r="AN351" s="4">
        <v>51</v>
      </c>
      <c r="AO351" s="4">
        <v>51</v>
      </c>
    </row>
    <row r="352" spans="1:41" hidden="1" x14ac:dyDescent="0.2">
      <c r="A352" t="s">
        <v>962</v>
      </c>
      <c r="B352" t="s">
        <v>963</v>
      </c>
      <c r="C352" s="2">
        <v>44426</v>
      </c>
      <c r="D352" s="2">
        <v>44914</v>
      </c>
      <c r="E352" s="3">
        <v>19881</v>
      </c>
      <c r="F352" t="s">
        <v>803</v>
      </c>
      <c r="G352" t="s">
        <v>289</v>
      </c>
      <c r="H352" t="s">
        <v>45</v>
      </c>
      <c r="I352" s="3">
        <v>10035</v>
      </c>
      <c r="J352" s="3">
        <v>1017110006</v>
      </c>
      <c r="K352" s="3">
        <v>1090547</v>
      </c>
      <c r="L352" t="s">
        <v>153</v>
      </c>
      <c r="M352" s="4">
        <v>8</v>
      </c>
      <c r="N352" t="s">
        <v>364</v>
      </c>
      <c r="O352" t="s">
        <v>155</v>
      </c>
      <c r="P352" s="4">
        <v>40.796505000000003</v>
      </c>
      <c r="Q352" s="4">
        <v>-73.934472999999997</v>
      </c>
      <c r="R352" s="4">
        <v>40.796633999999997</v>
      </c>
      <c r="S352" s="4">
        <v>-73.934217000000004</v>
      </c>
      <c r="T352" s="2">
        <v>44914</v>
      </c>
      <c r="U352" t="s">
        <v>117</v>
      </c>
      <c r="V352" t="s">
        <v>71</v>
      </c>
      <c r="W352" t="s">
        <v>51</v>
      </c>
      <c r="AB352" s="4">
        <v>4</v>
      </c>
      <c r="AD352" s="4">
        <v>1</v>
      </c>
      <c r="AF352" s="4">
        <v>3</v>
      </c>
      <c r="AL352" s="4">
        <v>4</v>
      </c>
      <c r="AN352" s="4">
        <v>4</v>
      </c>
      <c r="AO352" s="4">
        <v>11</v>
      </c>
    </row>
    <row r="353" spans="1:41" hidden="1" x14ac:dyDescent="0.2">
      <c r="A353" t="s">
        <v>964</v>
      </c>
      <c r="B353" t="s">
        <v>965</v>
      </c>
      <c r="C353" s="2">
        <v>44426</v>
      </c>
      <c r="D353" s="2">
        <v>44845</v>
      </c>
      <c r="E353" s="3">
        <v>1002039</v>
      </c>
      <c r="F353" t="s">
        <v>966</v>
      </c>
      <c r="G353" t="s">
        <v>304</v>
      </c>
      <c r="H353" t="s">
        <v>45</v>
      </c>
      <c r="I353" s="3">
        <v>10027</v>
      </c>
      <c r="J353" s="3">
        <v>1017250057</v>
      </c>
      <c r="K353" s="3">
        <v>1090347</v>
      </c>
      <c r="L353" t="s">
        <v>146</v>
      </c>
      <c r="M353" s="4">
        <v>9</v>
      </c>
      <c r="N353" t="s">
        <v>305</v>
      </c>
      <c r="O353" t="s">
        <v>177</v>
      </c>
      <c r="P353" s="4">
        <v>40.808928999999999</v>
      </c>
      <c r="Q353" s="4">
        <v>-73.942295999999999</v>
      </c>
      <c r="R353" s="4">
        <v>40.808908000000002</v>
      </c>
      <c r="S353" s="4">
        <v>-73.942819999999998</v>
      </c>
      <c r="T353" s="2">
        <v>44845</v>
      </c>
      <c r="U353" t="s">
        <v>117</v>
      </c>
      <c r="V353" t="s">
        <v>71</v>
      </c>
      <c r="W353" t="s">
        <v>51</v>
      </c>
      <c r="AB353" s="4">
        <v>3</v>
      </c>
      <c r="AD353" s="4">
        <v>2</v>
      </c>
      <c r="AE353" s="4">
        <v>1</v>
      </c>
      <c r="AL353" s="4">
        <v>3</v>
      </c>
      <c r="AN353" s="4">
        <v>3</v>
      </c>
      <c r="AO353" s="4">
        <v>8</v>
      </c>
    </row>
    <row r="354" spans="1:41" hidden="1" x14ac:dyDescent="0.2">
      <c r="A354" t="s">
        <v>967</v>
      </c>
      <c r="B354" t="s">
        <v>140</v>
      </c>
      <c r="C354" s="2">
        <v>44400</v>
      </c>
      <c r="D354" s="2">
        <v>44400</v>
      </c>
      <c r="F354" t="s">
        <v>141</v>
      </c>
      <c r="G354" t="s">
        <v>141</v>
      </c>
      <c r="H354" t="s">
        <v>45</v>
      </c>
      <c r="L354" t="s">
        <v>146</v>
      </c>
      <c r="M354" s="4">
        <v>9</v>
      </c>
      <c r="T354" s="2">
        <v>44400</v>
      </c>
      <c r="U354" t="s">
        <v>117</v>
      </c>
      <c r="V354" t="s">
        <v>71</v>
      </c>
      <c r="W354" t="s">
        <v>51</v>
      </c>
      <c r="Z354" s="4">
        <v>1</v>
      </c>
      <c r="AF354" s="4">
        <v>1</v>
      </c>
      <c r="AM354" s="4">
        <v>1</v>
      </c>
      <c r="AN354" s="4">
        <v>1</v>
      </c>
      <c r="AO354" s="4">
        <v>1</v>
      </c>
    </row>
    <row r="355" spans="1:41" x14ac:dyDescent="0.2">
      <c r="A355" t="s">
        <v>968</v>
      </c>
      <c r="B355" t="s">
        <v>969</v>
      </c>
      <c r="C355" s="2">
        <v>44378</v>
      </c>
      <c r="E355" s="3">
        <v>6836</v>
      </c>
      <c r="F355" t="s">
        <v>970</v>
      </c>
      <c r="G355" t="s">
        <v>971</v>
      </c>
      <c r="H355" t="s">
        <v>45</v>
      </c>
      <c r="I355" s="3">
        <v>10013</v>
      </c>
      <c r="J355" s="3">
        <v>1001980126</v>
      </c>
      <c r="K355" s="3">
        <v>1084583</v>
      </c>
      <c r="L355" t="s">
        <v>215</v>
      </c>
      <c r="M355" s="4">
        <v>1</v>
      </c>
      <c r="N355" t="s">
        <v>972</v>
      </c>
      <c r="O355" t="s">
        <v>973</v>
      </c>
      <c r="P355" s="4">
        <v>40.717033000000001</v>
      </c>
      <c r="Q355" s="4">
        <v>-73.999643000000006</v>
      </c>
      <c r="R355" s="4">
        <v>40.717322000000003</v>
      </c>
      <c r="S355" s="4">
        <v>-73.999931000000004</v>
      </c>
      <c r="U355" t="s">
        <v>49</v>
      </c>
      <c r="V355" t="s">
        <v>71</v>
      </c>
      <c r="W355" t="s">
        <v>51</v>
      </c>
      <c r="X355" s="4">
        <v>86</v>
      </c>
      <c r="Y355" s="4">
        <v>1</v>
      </c>
      <c r="AC355" s="4">
        <v>1</v>
      </c>
      <c r="AD355" s="4">
        <v>38</v>
      </c>
      <c r="AE355" s="4">
        <v>50</v>
      </c>
      <c r="AL355" s="4">
        <v>88</v>
      </c>
      <c r="AN355" s="4">
        <v>88</v>
      </c>
      <c r="AO355" s="4">
        <v>88</v>
      </c>
    </row>
    <row r="356" spans="1:41" hidden="1" x14ac:dyDescent="0.2">
      <c r="A356" t="s">
        <v>974</v>
      </c>
      <c r="B356" t="s">
        <v>975</v>
      </c>
      <c r="C356" s="2">
        <v>44377</v>
      </c>
      <c r="D356" s="2">
        <v>45282</v>
      </c>
      <c r="E356" s="3">
        <v>6567</v>
      </c>
      <c r="F356" t="s">
        <v>59</v>
      </c>
      <c r="G356" t="s">
        <v>195</v>
      </c>
      <c r="H356" t="s">
        <v>45</v>
      </c>
      <c r="I356" s="3">
        <v>10009</v>
      </c>
      <c r="J356" s="3">
        <v>1003940037</v>
      </c>
      <c r="K356" s="3">
        <v>1004911</v>
      </c>
      <c r="L356" t="s">
        <v>64</v>
      </c>
      <c r="M356" s="4">
        <v>2</v>
      </c>
      <c r="N356" t="s">
        <v>607</v>
      </c>
      <c r="O356" t="s">
        <v>197</v>
      </c>
      <c r="P356" s="4">
        <v>40.726999999999997</v>
      </c>
      <c r="Q356" s="4">
        <v>-73.976714999999999</v>
      </c>
      <c r="R356" s="4">
        <v>40.727114999999998</v>
      </c>
      <c r="S356" s="4">
        <v>-73.976945000000001</v>
      </c>
      <c r="T356" s="2">
        <v>45282</v>
      </c>
      <c r="U356" t="s">
        <v>49</v>
      </c>
      <c r="V356" t="s">
        <v>71</v>
      </c>
      <c r="W356" t="s">
        <v>51</v>
      </c>
      <c r="AA356" s="4">
        <v>9</v>
      </c>
      <c r="AD356" s="4">
        <v>1</v>
      </c>
      <c r="AF356" s="4">
        <v>8</v>
      </c>
      <c r="AM356" s="4">
        <v>9</v>
      </c>
      <c r="AN356" s="4">
        <v>9</v>
      </c>
      <c r="AO356" s="4">
        <v>9</v>
      </c>
    </row>
    <row r="357" spans="1:41" hidden="1" x14ac:dyDescent="0.2">
      <c r="A357" t="s">
        <v>974</v>
      </c>
      <c r="B357" t="s">
        <v>975</v>
      </c>
      <c r="C357" s="2">
        <v>44377</v>
      </c>
      <c r="D357" s="2">
        <v>45282</v>
      </c>
      <c r="E357" s="3">
        <v>11581</v>
      </c>
      <c r="F357" t="s">
        <v>976</v>
      </c>
      <c r="G357" t="s">
        <v>606</v>
      </c>
      <c r="H357" t="s">
        <v>45</v>
      </c>
      <c r="I357" s="3">
        <v>10009</v>
      </c>
      <c r="J357" s="3">
        <v>1003790012</v>
      </c>
      <c r="K357" s="3">
        <v>1004543</v>
      </c>
      <c r="L357" t="s">
        <v>64</v>
      </c>
      <c r="M357" s="4">
        <v>2</v>
      </c>
      <c r="N357" t="s">
        <v>607</v>
      </c>
      <c r="O357" t="s">
        <v>197</v>
      </c>
      <c r="P357" s="4">
        <v>40.725658000000003</v>
      </c>
      <c r="Q357" s="4">
        <v>-73.977031999999994</v>
      </c>
      <c r="R357" s="4">
        <v>40.725433000000002</v>
      </c>
      <c r="S357" s="4">
        <v>-73.977075999999997</v>
      </c>
      <c r="T357" s="2">
        <v>45245</v>
      </c>
      <c r="U357" t="s">
        <v>49</v>
      </c>
      <c r="V357" t="s">
        <v>71</v>
      </c>
      <c r="W357" t="s">
        <v>51</v>
      </c>
      <c r="AA357" s="4">
        <v>21</v>
      </c>
      <c r="AE357" s="4">
        <v>1</v>
      </c>
      <c r="AF357" s="4">
        <v>9</v>
      </c>
      <c r="AG357" s="4">
        <v>10</v>
      </c>
      <c r="AH357" s="4">
        <v>1</v>
      </c>
      <c r="AM357" s="4">
        <v>21</v>
      </c>
      <c r="AN357" s="4">
        <v>21</v>
      </c>
      <c r="AO357" s="4">
        <v>21</v>
      </c>
    </row>
    <row r="358" spans="1:41" hidden="1" x14ac:dyDescent="0.2">
      <c r="A358" t="s">
        <v>974</v>
      </c>
      <c r="B358" t="s">
        <v>975</v>
      </c>
      <c r="C358" s="2">
        <v>44377</v>
      </c>
      <c r="D358" s="2">
        <v>45282</v>
      </c>
      <c r="E358" s="3">
        <v>11701</v>
      </c>
      <c r="F358" t="s">
        <v>540</v>
      </c>
      <c r="G358" t="s">
        <v>977</v>
      </c>
      <c r="H358" t="s">
        <v>45</v>
      </c>
      <c r="I358" s="3">
        <v>10009</v>
      </c>
      <c r="J358" s="3">
        <v>1004050046</v>
      </c>
      <c r="K358" s="3">
        <v>1005188</v>
      </c>
      <c r="L358" t="s">
        <v>64</v>
      </c>
      <c r="M358" s="4">
        <v>2</v>
      </c>
      <c r="N358" t="s">
        <v>978</v>
      </c>
      <c r="O358" t="s">
        <v>197</v>
      </c>
      <c r="P358" s="4">
        <v>40.728085</v>
      </c>
      <c r="Q358" s="4">
        <v>-73.980907000000002</v>
      </c>
      <c r="R358" s="4">
        <v>40.728040999999997</v>
      </c>
      <c r="S358" s="4">
        <v>-73.980238999999997</v>
      </c>
      <c r="T358" s="2">
        <v>45278</v>
      </c>
      <c r="U358" t="s">
        <v>49</v>
      </c>
      <c r="V358" t="s">
        <v>71</v>
      </c>
      <c r="W358" t="s">
        <v>51</v>
      </c>
      <c r="AA358" s="4">
        <v>14</v>
      </c>
      <c r="AD358" s="4">
        <v>4</v>
      </c>
      <c r="AF358" s="4">
        <v>6</v>
      </c>
      <c r="AG358" s="4">
        <v>4</v>
      </c>
      <c r="AM358" s="4">
        <v>14</v>
      </c>
      <c r="AN358" s="4">
        <v>14</v>
      </c>
      <c r="AO358" s="4">
        <v>14</v>
      </c>
    </row>
    <row r="359" spans="1:41" hidden="1" x14ac:dyDescent="0.2">
      <c r="A359" t="s">
        <v>979</v>
      </c>
      <c r="B359" t="s">
        <v>980</v>
      </c>
      <c r="C359" s="2">
        <v>44377</v>
      </c>
      <c r="D359" s="2">
        <v>44377</v>
      </c>
      <c r="E359" s="3">
        <v>5563</v>
      </c>
      <c r="F359" t="s">
        <v>981</v>
      </c>
      <c r="G359" t="s">
        <v>87</v>
      </c>
      <c r="H359" t="s">
        <v>45</v>
      </c>
      <c r="I359" s="3">
        <v>10027</v>
      </c>
      <c r="J359" s="3">
        <v>1019700073</v>
      </c>
      <c r="K359" s="3">
        <v>1059643</v>
      </c>
      <c r="L359" t="s">
        <v>169</v>
      </c>
      <c r="M359" s="4">
        <v>7</v>
      </c>
      <c r="N359" t="s">
        <v>187</v>
      </c>
      <c r="O359" t="s">
        <v>171</v>
      </c>
      <c r="P359" s="4">
        <v>40.816754000000003</v>
      </c>
      <c r="Q359" s="4">
        <v>-73.953789</v>
      </c>
      <c r="R359" s="4">
        <v>40.816650000000003</v>
      </c>
      <c r="S359" s="4">
        <v>-73.953474999999997</v>
      </c>
      <c r="T359" s="2">
        <v>44377</v>
      </c>
      <c r="U359" t="s">
        <v>49</v>
      </c>
      <c r="V359" t="s">
        <v>50</v>
      </c>
      <c r="W359" t="s">
        <v>51</v>
      </c>
      <c r="Y359" s="4">
        <v>6</v>
      </c>
      <c r="Z359" s="4">
        <v>3</v>
      </c>
      <c r="AF359" s="4">
        <v>9</v>
      </c>
      <c r="AL359" s="4">
        <v>9</v>
      </c>
      <c r="AN359" s="4">
        <v>9</v>
      </c>
      <c r="AO359" s="4">
        <v>9</v>
      </c>
    </row>
    <row r="360" spans="1:41" hidden="1" x14ac:dyDescent="0.2">
      <c r="A360" t="s">
        <v>979</v>
      </c>
      <c r="B360" t="s">
        <v>980</v>
      </c>
      <c r="C360" s="2">
        <v>44377</v>
      </c>
      <c r="D360" s="2">
        <v>44377</v>
      </c>
      <c r="E360" s="3">
        <v>5635</v>
      </c>
      <c r="F360" t="s">
        <v>982</v>
      </c>
      <c r="G360" t="s">
        <v>87</v>
      </c>
      <c r="H360" t="s">
        <v>45</v>
      </c>
      <c r="I360" s="3">
        <v>10031</v>
      </c>
      <c r="J360" s="3">
        <v>1020770035</v>
      </c>
      <c r="K360" s="3">
        <v>1061945</v>
      </c>
      <c r="L360" t="s">
        <v>169</v>
      </c>
      <c r="M360" s="4">
        <v>7</v>
      </c>
      <c r="N360" t="s">
        <v>440</v>
      </c>
      <c r="O360" t="s">
        <v>232</v>
      </c>
      <c r="P360" s="4">
        <v>40.825690999999999</v>
      </c>
      <c r="Q360" s="4">
        <v>-73.947282000000001</v>
      </c>
      <c r="R360" s="4">
        <v>40.825856000000002</v>
      </c>
      <c r="S360" s="4">
        <v>-73.947506000000004</v>
      </c>
      <c r="T360" s="2">
        <v>44377</v>
      </c>
      <c r="U360" t="s">
        <v>49</v>
      </c>
      <c r="V360" t="s">
        <v>50</v>
      </c>
      <c r="W360" t="s">
        <v>51</v>
      </c>
      <c r="Y360" s="4">
        <v>6</v>
      </c>
      <c r="Z360" s="4">
        <v>2</v>
      </c>
      <c r="AD360" s="4">
        <v>4</v>
      </c>
      <c r="AF360" s="4">
        <v>4</v>
      </c>
      <c r="AL360" s="4">
        <v>8</v>
      </c>
      <c r="AN360" s="4">
        <v>8</v>
      </c>
      <c r="AO360" s="4">
        <v>8</v>
      </c>
    </row>
    <row r="361" spans="1:41" hidden="1" x14ac:dyDescent="0.2">
      <c r="A361" t="s">
        <v>979</v>
      </c>
      <c r="B361" t="s">
        <v>980</v>
      </c>
      <c r="C361" s="2">
        <v>44377</v>
      </c>
      <c r="D361" s="2">
        <v>44377</v>
      </c>
      <c r="E361" s="3">
        <v>5642</v>
      </c>
      <c r="F361" t="s">
        <v>983</v>
      </c>
      <c r="G361" t="s">
        <v>87</v>
      </c>
      <c r="H361" t="s">
        <v>45</v>
      </c>
      <c r="I361" s="3">
        <v>10031</v>
      </c>
      <c r="J361" s="3">
        <v>1020610064</v>
      </c>
      <c r="K361" s="3">
        <v>1061418</v>
      </c>
      <c r="L361" t="s">
        <v>169</v>
      </c>
      <c r="M361" s="4">
        <v>7</v>
      </c>
      <c r="N361" t="s">
        <v>320</v>
      </c>
      <c r="O361" t="s">
        <v>232</v>
      </c>
      <c r="P361" s="4">
        <v>40.826188000000002</v>
      </c>
      <c r="Q361" s="4">
        <v>-73.946894999999998</v>
      </c>
      <c r="R361" s="4">
        <v>40.826115999999999</v>
      </c>
      <c r="S361" s="4">
        <v>-73.946558999999993</v>
      </c>
      <c r="T361" s="2">
        <v>44377</v>
      </c>
      <c r="U361" t="s">
        <v>49</v>
      </c>
      <c r="V361" t="s">
        <v>50</v>
      </c>
      <c r="W361" t="s">
        <v>51</v>
      </c>
      <c r="Y361" s="4">
        <v>7</v>
      </c>
      <c r="Z361" s="4">
        <v>1</v>
      </c>
      <c r="AC361" s="4">
        <v>1</v>
      </c>
      <c r="AD361" s="4">
        <v>1</v>
      </c>
      <c r="AE361" s="4">
        <v>4</v>
      </c>
      <c r="AG361" s="4">
        <v>4</v>
      </c>
      <c r="AL361" s="4">
        <v>9</v>
      </c>
      <c r="AN361" s="4">
        <v>9</v>
      </c>
      <c r="AO361" s="4">
        <v>9</v>
      </c>
    </row>
    <row r="362" spans="1:41" hidden="1" x14ac:dyDescent="0.2">
      <c r="A362" t="s">
        <v>979</v>
      </c>
      <c r="B362" t="s">
        <v>980</v>
      </c>
      <c r="C362" s="2">
        <v>44377</v>
      </c>
      <c r="D362" s="2">
        <v>44377</v>
      </c>
      <c r="E362" s="3">
        <v>40762</v>
      </c>
      <c r="F362" t="s">
        <v>362</v>
      </c>
      <c r="G362" t="s">
        <v>324</v>
      </c>
      <c r="H362" t="s">
        <v>45</v>
      </c>
      <c r="I362" s="3">
        <v>10031</v>
      </c>
      <c r="J362" s="3">
        <v>1019880099</v>
      </c>
      <c r="K362" s="3">
        <v>1059793</v>
      </c>
      <c r="L362" t="s">
        <v>169</v>
      </c>
      <c r="M362" s="4">
        <v>7</v>
      </c>
      <c r="N362" t="s">
        <v>412</v>
      </c>
      <c r="O362" t="s">
        <v>171</v>
      </c>
      <c r="P362" s="4">
        <v>40.819169000000002</v>
      </c>
      <c r="Q362" s="4">
        <v>-73.952729000000005</v>
      </c>
      <c r="R362" s="4">
        <v>40.819415999999997</v>
      </c>
      <c r="S362" s="4">
        <v>-73.952725000000001</v>
      </c>
      <c r="T362" s="2">
        <v>44377</v>
      </c>
      <c r="U362" t="s">
        <v>49</v>
      </c>
      <c r="V362" t="s">
        <v>50</v>
      </c>
      <c r="W362" t="s">
        <v>51</v>
      </c>
      <c r="X362" s="4">
        <v>1</v>
      </c>
      <c r="Y362" s="4">
        <v>10</v>
      </c>
      <c r="Z362" s="4">
        <v>3</v>
      </c>
      <c r="AA362" s="4">
        <v>1</v>
      </c>
      <c r="AD362" s="4">
        <v>1</v>
      </c>
      <c r="AE362" s="4">
        <v>5</v>
      </c>
      <c r="AF362" s="4">
        <v>8</v>
      </c>
      <c r="AG362" s="4">
        <v>1</v>
      </c>
      <c r="AL362" s="4">
        <v>15</v>
      </c>
      <c r="AN362" s="4">
        <v>15</v>
      </c>
      <c r="AO362" s="4">
        <v>15</v>
      </c>
    </row>
    <row r="363" spans="1:41" hidden="1" x14ac:dyDescent="0.2">
      <c r="A363" t="s">
        <v>979</v>
      </c>
      <c r="B363" t="s">
        <v>980</v>
      </c>
      <c r="C363" s="2">
        <v>44377</v>
      </c>
      <c r="D363" s="2">
        <v>44377</v>
      </c>
      <c r="E363" s="3">
        <v>40764</v>
      </c>
      <c r="F363" t="s">
        <v>507</v>
      </c>
      <c r="G363" t="s">
        <v>324</v>
      </c>
      <c r="H363" t="s">
        <v>45</v>
      </c>
      <c r="I363" s="3">
        <v>10031</v>
      </c>
      <c r="J363" s="3">
        <v>1019880098</v>
      </c>
      <c r="K363" s="3">
        <v>1059792</v>
      </c>
      <c r="L363" t="s">
        <v>169</v>
      </c>
      <c r="M363" s="4">
        <v>7</v>
      </c>
      <c r="N363" t="s">
        <v>412</v>
      </c>
      <c r="O363" t="s">
        <v>171</v>
      </c>
      <c r="P363" s="4">
        <v>40.819186000000002</v>
      </c>
      <c r="Q363" s="4">
        <v>-73.952768000000006</v>
      </c>
      <c r="R363" s="4">
        <v>40.819468000000001</v>
      </c>
      <c r="S363" s="4">
        <v>-73.952850999999995</v>
      </c>
      <c r="T363" s="2">
        <v>44377</v>
      </c>
      <c r="U363" t="s">
        <v>49</v>
      </c>
      <c r="V363" t="s">
        <v>50</v>
      </c>
      <c r="W363" t="s">
        <v>51</v>
      </c>
      <c r="X363" s="4">
        <v>1</v>
      </c>
      <c r="Y363" s="4">
        <v>13</v>
      </c>
      <c r="Z363" s="4">
        <v>1</v>
      </c>
      <c r="AD363" s="4">
        <v>1</v>
      </c>
      <c r="AE363" s="4">
        <v>5</v>
      </c>
      <c r="AF363" s="4">
        <v>8</v>
      </c>
      <c r="AG363" s="4">
        <v>1</v>
      </c>
      <c r="AL363" s="4">
        <v>15</v>
      </c>
      <c r="AN363" s="4">
        <v>15</v>
      </c>
      <c r="AO363" s="4">
        <v>15</v>
      </c>
    </row>
    <row r="364" spans="1:41" hidden="1" x14ac:dyDescent="0.2">
      <c r="A364" t="s">
        <v>979</v>
      </c>
      <c r="B364" t="s">
        <v>980</v>
      </c>
      <c r="C364" s="2">
        <v>44377</v>
      </c>
      <c r="D364" s="2">
        <v>44377</v>
      </c>
      <c r="E364" s="3">
        <v>40780</v>
      </c>
      <c r="F364" t="s">
        <v>629</v>
      </c>
      <c r="G364" t="s">
        <v>324</v>
      </c>
      <c r="H364" t="s">
        <v>45</v>
      </c>
      <c r="I364" s="3">
        <v>10031</v>
      </c>
      <c r="J364" s="3">
        <v>1019880081</v>
      </c>
      <c r="K364" s="3">
        <v>1059782</v>
      </c>
      <c r="L364" t="s">
        <v>169</v>
      </c>
      <c r="M364" s="4">
        <v>7</v>
      </c>
      <c r="N364" t="s">
        <v>412</v>
      </c>
      <c r="O364" t="s">
        <v>171</v>
      </c>
      <c r="P364" s="4">
        <v>40.819341999999999</v>
      </c>
      <c r="Q364" s="4">
        <v>-73.953162000000006</v>
      </c>
      <c r="R364" s="4">
        <v>40.819999000000003</v>
      </c>
      <c r="S364" s="4">
        <v>-73.954111999999995</v>
      </c>
      <c r="T364" s="2">
        <v>44377</v>
      </c>
      <c r="U364" t="s">
        <v>49</v>
      </c>
      <c r="V364" t="s">
        <v>50</v>
      </c>
      <c r="W364" t="s">
        <v>51</v>
      </c>
      <c r="X364" s="4">
        <v>2</v>
      </c>
      <c r="Y364" s="4">
        <v>9</v>
      </c>
      <c r="Z364" s="4">
        <v>4</v>
      </c>
      <c r="AC364" s="4">
        <v>1</v>
      </c>
      <c r="AD364" s="4">
        <v>1</v>
      </c>
      <c r="AE364" s="4">
        <v>6</v>
      </c>
      <c r="AF364" s="4">
        <v>9</v>
      </c>
      <c r="AL364" s="4">
        <v>16</v>
      </c>
      <c r="AN364" s="4">
        <v>16</v>
      </c>
      <c r="AO364" s="4">
        <v>16</v>
      </c>
    </row>
    <row r="365" spans="1:41" hidden="1" x14ac:dyDescent="0.2">
      <c r="A365" t="s">
        <v>979</v>
      </c>
      <c r="B365" t="s">
        <v>980</v>
      </c>
      <c r="C365" s="2">
        <v>44377</v>
      </c>
      <c r="D365" s="2">
        <v>44377</v>
      </c>
      <c r="E365" s="3">
        <v>40792</v>
      </c>
      <c r="F365" t="s">
        <v>421</v>
      </c>
      <c r="G365" t="s">
        <v>324</v>
      </c>
      <c r="H365" t="s">
        <v>45</v>
      </c>
      <c r="I365" s="3">
        <v>10031</v>
      </c>
      <c r="J365" s="3">
        <v>1020020014</v>
      </c>
      <c r="K365" s="3">
        <v>1059951</v>
      </c>
      <c r="L365" t="s">
        <v>169</v>
      </c>
      <c r="M365" s="4">
        <v>7</v>
      </c>
      <c r="N365" t="s">
        <v>412</v>
      </c>
      <c r="O365" t="s">
        <v>171</v>
      </c>
      <c r="P365" s="4">
        <v>40.820473999999997</v>
      </c>
      <c r="Q365" s="4">
        <v>-73.955935999999994</v>
      </c>
      <c r="R365" s="4">
        <v>40.820971</v>
      </c>
      <c r="S365" s="4">
        <v>-73.956423999999998</v>
      </c>
      <c r="T365" s="2">
        <v>44377</v>
      </c>
      <c r="U365" t="s">
        <v>49</v>
      </c>
      <c r="V365" t="s">
        <v>50</v>
      </c>
      <c r="W365" t="s">
        <v>51</v>
      </c>
      <c r="X365" s="4">
        <v>7</v>
      </c>
      <c r="Y365" s="4">
        <v>7</v>
      </c>
      <c r="Z365" s="4">
        <v>5</v>
      </c>
      <c r="AA365" s="4">
        <v>1</v>
      </c>
      <c r="AD365" s="4">
        <v>1</v>
      </c>
      <c r="AF365" s="4">
        <v>14</v>
      </c>
      <c r="AG365" s="4">
        <v>5</v>
      </c>
      <c r="AL365" s="4">
        <v>20</v>
      </c>
      <c r="AN365" s="4">
        <v>20</v>
      </c>
      <c r="AO365" s="4">
        <v>20</v>
      </c>
    </row>
    <row r="366" spans="1:41" hidden="1" x14ac:dyDescent="0.2">
      <c r="A366" t="s">
        <v>979</v>
      </c>
      <c r="B366" t="s">
        <v>980</v>
      </c>
      <c r="C366" s="2">
        <v>44377</v>
      </c>
      <c r="D366" s="2">
        <v>44377</v>
      </c>
      <c r="E366" s="3">
        <v>40934</v>
      </c>
      <c r="F366" t="s">
        <v>984</v>
      </c>
      <c r="G366" t="s">
        <v>702</v>
      </c>
      <c r="H366" t="s">
        <v>45</v>
      </c>
      <c r="I366" s="3">
        <v>10031</v>
      </c>
      <c r="J366" s="3">
        <v>1019880115</v>
      </c>
      <c r="K366" s="3">
        <v>1059802</v>
      </c>
      <c r="L366" t="s">
        <v>169</v>
      </c>
      <c r="M366" s="4">
        <v>7</v>
      </c>
      <c r="N366" t="s">
        <v>412</v>
      </c>
      <c r="O366" t="s">
        <v>171</v>
      </c>
      <c r="P366" s="4">
        <v>40.820003999999997</v>
      </c>
      <c r="Q366" s="4">
        <v>-73.952786000000003</v>
      </c>
      <c r="R366" s="4">
        <v>40.819757000000003</v>
      </c>
      <c r="S366" s="4">
        <v>-73.952768000000006</v>
      </c>
      <c r="T366" s="2">
        <v>44377</v>
      </c>
      <c r="U366" t="s">
        <v>49</v>
      </c>
      <c r="V366" t="s">
        <v>50</v>
      </c>
      <c r="W366" t="s">
        <v>51</v>
      </c>
      <c r="Y366" s="4">
        <v>14</v>
      </c>
      <c r="Z366" s="4">
        <v>2</v>
      </c>
      <c r="AA366" s="4">
        <v>2</v>
      </c>
      <c r="AD366" s="4">
        <v>2</v>
      </c>
      <c r="AE366" s="4">
        <v>10</v>
      </c>
      <c r="AG366" s="4">
        <v>6</v>
      </c>
      <c r="AL366" s="4">
        <v>18</v>
      </c>
      <c r="AN366" s="4">
        <v>18</v>
      </c>
      <c r="AO366" s="4">
        <v>18</v>
      </c>
    </row>
    <row r="367" spans="1:41" hidden="1" x14ac:dyDescent="0.2">
      <c r="A367" t="s">
        <v>985</v>
      </c>
      <c r="B367" t="s">
        <v>986</v>
      </c>
      <c r="C367" s="2">
        <v>44377</v>
      </c>
      <c r="E367" s="3">
        <v>22728</v>
      </c>
      <c r="F367" t="s">
        <v>278</v>
      </c>
      <c r="G367" t="s">
        <v>987</v>
      </c>
      <c r="H367" t="s">
        <v>45</v>
      </c>
      <c r="I367" s="3">
        <v>10002</v>
      </c>
      <c r="J367" s="3">
        <v>1002670001</v>
      </c>
      <c r="K367" s="3">
        <v>1083402</v>
      </c>
      <c r="L367" t="s">
        <v>64</v>
      </c>
      <c r="M367" s="4">
        <v>1</v>
      </c>
      <c r="N367" t="s">
        <v>669</v>
      </c>
      <c r="O367" t="s">
        <v>66</v>
      </c>
      <c r="P367" s="4">
        <v>40.713433999999999</v>
      </c>
      <c r="Q367" s="4">
        <v>-73.985077000000004</v>
      </c>
      <c r="R367" s="4">
        <v>40.713496999999997</v>
      </c>
      <c r="S367" s="4">
        <v>-73.984435000000005</v>
      </c>
      <c r="U367" t="s">
        <v>49</v>
      </c>
      <c r="V367" t="s">
        <v>71</v>
      </c>
      <c r="W367" t="s">
        <v>51</v>
      </c>
      <c r="X367" s="4">
        <v>12</v>
      </c>
      <c r="Y367" s="4">
        <v>129</v>
      </c>
      <c r="AD367" s="4">
        <v>20</v>
      </c>
      <c r="AE367" s="4">
        <v>63</v>
      </c>
      <c r="AF367" s="4">
        <v>58</v>
      </c>
      <c r="AM367" s="4">
        <v>141</v>
      </c>
      <c r="AN367" s="4">
        <v>141</v>
      </c>
      <c r="AO367" s="4">
        <v>141</v>
      </c>
    </row>
    <row r="368" spans="1:41" hidden="1" x14ac:dyDescent="0.2">
      <c r="A368" t="s">
        <v>985</v>
      </c>
      <c r="B368" t="s">
        <v>986</v>
      </c>
      <c r="C368" s="2">
        <v>44377</v>
      </c>
      <c r="E368" s="3">
        <v>25509</v>
      </c>
      <c r="F368" t="s">
        <v>988</v>
      </c>
      <c r="G368" t="s">
        <v>987</v>
      </c>
      <c r="H368" t="s">
        <v>45</v>
      </c>
      <c r="I368" s="3">
        <v>10002</v>
      </c>
      <c r="J368" s="3">
        <v>1002590071</v>
      </c>
      <c r="K368" s="3">
        <v>1003215</v>
      </c>
      <c r="L368" t="s">
        <v>64</v>
      </c>
      <c r="M368" s="4">
        <v>1</v>
      </c>
      <c r="N368" t="s">
        <v>669</v>
      </c>
      <c r="O368" t="s">
        <v>66</v>
      </c>
      <c r="P368" s="4">
        <v>40.713053000000002</v>
      </c>
      <c r="Q368" s="4">
        <v>-73.985045</v>
      </c>
      <c r="R368" s="4">
        <v>40.712698000000003</v>
      </c>
      <c r="S368" s="4">
        <v>-73.984387999999996</v>
      </c>
      <c r="U368" t="s">
        <v>49</v>
      </c>
      <c r="V368" t="s">
        <v>71</v>
      </c>
      <c r="W368" t="s">
        <v>51</v>
      </c>
      <c r="X368" s="4">
        <v>11</v>
      </c>
      <c r="Y368" s="4">
        <v>134</v>
      </c>
      <c r="AD368" s="4">
        <v>21</v>
      </c>
      <c r="AE368" s="4">
        <v>65</v>
      </c>
      <c r="AF368" s="4">
        <v>59</v>
      </c>
      <c r="AM368" s="4">
        <v>145</v>
      </c>
      <c r="AN368" s="4">
        <v>145</v>
      </c>
      <c r="AO368" s="4">
        <v>145</v>
      </c>
    </row>
    <row r="369" spans="1:41" hidden="1" x14ac:dyDescent="0.2">
      <c r="A369" t="s">
        <v>985</v>
      </c>
      <c r="B369" t="s">
        <v>986</v>
      </c>
      <c r="C369" s="2">
        <v>44377</v>
      </c>
      <c r="E369" s="3">
        <v>29402</v>
      </c>
      <c r="F369" t="s">
        <v>101</v>
      </c>
      <c r="G369" t="s">
        <v>987</v>
      </c>
      <c r="H369" t="s">
        <v>45</v>
      </c>
      <c r="I369" s="3">
        <v>10002</v>
      </c>
      <c r="J369" s="3">
        <v>1002590001</v>
      </c>
      <c r="K369" s="3">
        <v>1003212</v>
      </c>
      <c r="L369" t="s">
        <v>64</v>
      </c>
      <c r="M369" s="4">
        <v>1</v>
      </c>
      <c r="N369" t="s">
        <v>669</v>
      </c>
      <c r="O369" t="s">
        <v>66</v>
      </c>
      <c r="P369" s="4">
        <v>40.711534999999998</v>
      </c>
      <c r="Q369" s="4">
        <v>-73.984818000000004</v>
      </c>
      <c r="R369" s="4">
        <v>40.711592000000003</v>
      </c>
      <c r="S369" s="4">
        <v>-73.984223</v>
      </c>
      <c r="U369" t="s">
        <v>49</v>
      </c>
      <c r="V369" t="s">
        <v>71</v>
      </c>
      <c r="W369" t="s">
        <v>51</v>
      </c>
      <c r="Y369" s="4">
        <v>123</v>
      </c>
      <c r="Z369" s="4">
        <v>1</v>
      </c>
      <c r="AE369" s="4">
        <v>43</v>
      </c>
      <c r="AF369" s="4">
        <v>62</v>
      </c>
      <c r="AG369" s="4">
        <v>19</v>
      </c>
      <c r="AM369" s="4">
        <v>124</v>
      </c>
      <c r="AN369" s="4">
        <v>124</v>
      </c>
      <c r="AO369" s="4">
        <v>124</v>
      </c>
    </row>
    <row r="370" spans="1:41" hidden="1" x14ac:dyDescent="0.2">
      <c r="A370" t="s">
        <v>985</v>
      </c>
      <c r="B370" t="s">
        <v>986</v>
      </c>
      <c r="C370" s="2">
        <v>44377</v>
      </c>
      <c r="E370" s="3">
        <v>29403</v>
      </c>
      <c r="F370" t="s">
        <v>989</v>
      </c>
      <c r="G370" t="s">
        <v>279</v>
      </c>
      <c r="H370" t="s">
        <v>45</v>
      </c>
      <c r="I370" s="3">
        <v>10002</v>
      </c>
      <c r="J370" s="3">
        <v>1002440019</v>
      </c>
      <c r="K370" s="3">
        <v>1003141</v>
      </c>
      <c r="L370" t="s">
        <v>64</v>
      </c>
      <c r="M370" s="4">
        <v>1</v>
      </c>
      <c r="N370" t="s">
        <v>669</v>
      </c>
      <c r="O370" t="s">
        <v>66</v>
      </c>
      <c r="P370" s="4">
        <v>40.711249000000002</v>
      </c>
      <c r="Q370" s="4">
        <v>-73.984449999999995</v>
      </c>
      <c r="R370" s="4">
        <v>40.711002000000001</v>
      </c>
      <c r="S370" s="4">
        <v>-73.984273000000002</v>
      </c>
      <c r="U370" t="s">
        <v>49</v>
      </c>
      <c r="V370" t="s">
        <v>71</v>
      </c>
      <c r="W370" t="s">
        <v>51</v>
      </c>
      <c r="Y370" s="4">
        <v>123</v>
      </c>
      <c r="AC370" s="4">
        <v>1</v>
      </c>
      <c r="AE370" s="4">
        <v>43</v>
      </c>
      <c r="AF370" s="4">
        <v>60</v>
      </c>
      <c r="AG370" s="4">
        <v>21</v>
      </c>
      <c r="AM370" s="4">
        <v>124</v>
      </c>
      <c r="AN370" s="4">
        <v>124</v>
      </c>
      <c r="AO370" s="4">
        <v>124</v>
      </c>
    </row>
    <row r="371" spans="1:41" hidden="1" x14ac:dyDescent="0.2">
      <c r="A371" t="s">
        <v>985</v>
      </c>
      <c r="B371" t="s">
        <v>986</v>
      </c>
      <c r="C371" s="2">
        <v>44377</v>
      </c>
      <c r="E371" s="3">
        <v>29405</v>
      </c>
      <c r="F371" t="s">
        <v>615</v>
      </c>
      <c r="G371" t="s">
        <v>279</v>
      </c>
      <c r="H371" t="s">
        <v>45</v>
      </c>
      <c r="I371" s="3">
        <v>10002</v>
      </c>
      <c r="J371" s="3">
        <v>1002430056</v>
      </c>
      <c r="K371" s="3">
        <v>1077586</v>
      </c>
      <c r="L371" t="s">
        <v>64</v>
      </c>
      <c r="M371" s="4">
        <v>1</v>
      </c>
      <c r="N371" t="s">
        <v>669</v>
      </c>
      <c r="O371" t="s">
        <v>66</v>
      </c>
      <c r="P371" s="4">
        <v>40.711382999999998</v>
      </c>
      <c r="Q371" s="4">
        <v>-73.982650000000007</v>
      </c>
      <c r="R371" s="4">
        <v>40.711174999999997</v>
      </c>
      <c r="S371" s="4">
        <v>-73.982029999999995</v>
      </c>
      <c r="U371" t="s">
        <v>49</v>
      </c>
      <c r="V371" t="s">
        <v>71</v>
      </c>
      <c r="W371" t="s">
        <v>51</v>
      </c>
      <c r="Y371" s="4">
        <v>124</v>
      </c>
      <c r="AE371" s="4">
        <v>43</v>
      </c>
      <c r="AF371" s="4">
        <v>60</v>
      </c>
      <c r="AG371" s="4">
        <v>21</v>
      </c>
      <c r="AM371" s="4">
        <v>124</v>
      </c>
      <c r="AN371" s="4">
        <v>124</v>
      </c>
      <c r="AO371" s="4">
        <v>124</v>
      </c>
    </row>
    <row r="372" spans="1:41" hidden="1" x14ac:dyDescent="0.2">
      <c r="A372" t="s">
        <v>985</v>
      </c>
      <c r="B372" t="s">
        <v>986</v>
      </c>
      <c r="C372" s="2">
        <v>44377</v>
      </c>
      <c r="E372" s="3">
        <v>805444</v>
      </c>
      <c r="F372" t="s">
        <v>990</v>
      </c>
      <c r="G372" t="s">
        <v>279</v>
      </c>
      <c r="H372" t="s">
        <v>45</v>
      </c>
      <c r="I372" s="3">
        <v>10002</v>
      </c>
      <c r="J372" s="3">
        <v>1002430056</v>
      </c>
      <c r="K372" s="3">
        <v>1077587</v>
      </c>
      <c r="L372" t="s">
        <v>64</v>
      </c>
      <c r="M372" s="4">
        <v>1</v>
      </c>
      <c r="N372" t="s">
        <v>669</v>
      </c>
      <c r="O372" t="s">
        <v>66</v>
      </c>
      <c r="P372" s="4">
        <v>40.711446000000002</v>
      </c>
      <c r="Q372" s="4">
        <v>-73.981729999999999</v>
      </c>
      <c r="R372" s="4">
        <v>40.711174999999997</v>
      </c>
      <c r="S372" s="4">
        <v>-73.982029999999995</v>
      </c>
      <c r="U372" t="s">
        <v>49</v>
      </c>
      <c r="V372" t="s">
        <v>71</v>
      </c>
      <c r="W372" t="s">
        <v>51</v>
      </c>
      <c r="Y372" s="4">
        <v>123</v>
      </c>
      <c r="Z372" s="4">
        <v>1</v>
      </c>
      <c r="AE372" s="4">
        <v>43</v>
      </c>
      <c r="AF372" s="4">
        <v>62</v>
      </c>
      <c r="AG372" s="4">
        <v>19</v>
      </c>
      <c r="AM372" s="4">
        <v>124</v>
      </c>
      <c r="AN372" s="4">
        <v>124</v>
      </c>
      <c r="AO372" s="4">
        <v>124</v>
      </c>
    </row>
    <row r="373" spans="1:41" hidden="1" x14ac:dyDescent="0.2">
      <c r="A373" t="s">
        <v>991</v>
      </c>
      <c r="B373" t="s">
        <v>992</v>
      </c>
      <c r="C373" s="2">
        <v>44375</v>
      </c>
      <c r="D373" s="2">
        <v>45372</v>
      </c>
      <c r="E373" s="3">
        <v>997507</v>
      </c>
      <c r="F373" t="s">
        <v>993</v>
      </c>
      <c r="G373" t="s">
        <v>181</v>
      </c>
      <c r="H373" t="s">
        <v>45</v>
      </c>
      <c r="I373" s="3">
        <v>10011</v>
      </c>
      <c r="J373" s="3">
        <v>1007730001</v>
      </c>
      <c r="K373" s="3">
        <v>1091035</v>
      </c>
      <c r="L373" t="s">
        <v>78</v>
      </c>
      <c r="M373" s="4">
        <v>3</v>
      </c>
      <c r="N373" t="s">
        <v>226</v>
      </c>
      <c r="O373" t="s">
        <v>183</v>
      </c>
      <c r="P373" s="4">
        <v>40.745848000000002</v>
      </c>
      <c r="Q373" s="4">
        <v>-73.998069000000001</v>
      </c>
      <c r="R373" s="4">
        <v>40.745520999999997</v>
      </c>
      <c r="S373" s="4">
        <v>-73.997913999999994</v>
      </c>
      <c r="T373" s="2">
        <v>45372</v>
      </c>
      <c r="U373" t="s">
        <v>117</v>
      </c>
      <c r="V373" t="s">
        <v>71</v>
      </c>
      <c r="W373" t="s">
        <v>51</v>
      </c>
      <c r="Y373" s="4">
        <v>19</v>
      </c>
      <c r="Z373" s="4">
        <v>25</v>
      </c>
      <c r="AD373" s="4">
        <v>12</v>
      </c>
      <c r="AE373" s="4">
        <v>22</v>
      </c>
      <c r="AF373" s="4">
        <v>9</v>
      </c>
      <c r="AG373" s="4">
        <v>1</v>
      </c>
      <c r="AL373" s="4">
        <v>44</v>
      </c>
      <c r="AN373" s="4">
        <v>44</v>
      </c>
      <c r="AO373" s="4">
        <v>190</v>
      </c>
    </row>
    <row r="374" spans="1:41" hidden="1" x14ac:dyDescent="0.2">
      <c r="A374" t="s">
        <v>994</v>
      </c>
      <c r="B374" t="s">
        <v>995</v>
      </c>
      <c r="C374" s="2">
        <v>44371</v>
      </c>
      <c r="E374" s="3">
        <v>972163</v>
      </c>
      <c r="F374" t="s">
        <v>996</v>
      </c>
      <c r="G374" t="s">
        <v>639</v>
      </c>
      <c r="H374" t="s">
        <v>45</v>
      </c>
      <c r="I374" s="3">
        <v>10029</v>
      </c>
      <c r="J374" s="3">
        <v>1016177502</v>
      </c>
      <c r="K374" s="3">
        <v>1000000</v>
      </c>
      <c r="L374" t="s">
        <v>153</v>
      </c>
      <c r="M374" s="4">
        <v>8</v>
      </c>
      <c r="N374" t="s">
        <v>774</v>
      </c>
      <c r="O374" t="s">
        <v>267</v>
      </c>
      <c r="P374" s="4">
        <v>40.797128999999998</v>
      </c>
      <c r="Q374" s="4">
        <v>-73.945971999999998</v>
      </c>
      <c r="R374" s="4">
        <v>40.796771999999997</v>
      </c>
      <c r="S374" s="4">
        <v>-73.946059000000005</v>
      </c>
      <c r="T374" s="2">
        <v>45694</v>
      </c>
      <c r="U374" t="s">
        <v>117</v>
      </c>
      <c r="V374" t="s">
        <v>71</v>
      </c>
      <c r="W374" t="s">
        <v>51</v>
      </c>
      <c r="X374" s="4">
        <v>88</v>
      </c>
      <c r="Y374" s="4">
        <v>51</v>
      </c>
      <c r="Z374" s="4">
        <v>69</v>
      </c>
      <c r="AA374" s="4">
        <v>139</v>
      </c>
      <c r="AC374" s="4">
        <v>1</v>
      </c>
      <c r="AD374" s="4">
        <v>87</v>
      </c>
      <c r="AE374" s="4">
        <v>154</v>
      </c>
      <c r="AF374" s="4">
        <v>78</v>
      </c>
      <c r="AG374" s="4">
        <v>29</v>
      </c>
      <c r="AL374" s="4">
        <v>348</v>
      </c>
      <c r="AN374" s="4">
        <v>348</v>
      </c>
      <c r="AO374" s="4">
        <v>348</v>
      </c>
    </row>
    <row r="375" spans="1:41" hidden="1" x14ac:dyDescent="0.2">
      <c r="A375" t="s">
        <v>997</v>
      </c>
      <c r="B375" t="s">
        <v>998</v>
      </c>
      <c r="C375" s="2">
        <v>44362</v>
      </c>
      <c r="D375" s="2">
        <v>45545</v>
      </c>
      <c r="E375" s="3">
        <v>998897</v>
      </c>
      <c r="F375" t="s">
        <v>669</v>
      </c>
      <c r="G375" t="s">
        <v>999</v>
      </c>
      <c r="H375" t="s">
        <v>45</v>
      </c>
      <c r="I375" s="3">
        <v>10010</v>
      </c>
      <c r="J375" s="3">
        <v>1009030057</v>
      </c>
      <c r="K375" s="3">
        <v>1091675</v>
      </c>
      <c r="L375" t="s">
        <v>165</v>
      </c>
      <c r="M375" s="4">
        <v>2</v>
      </c>
      <c r="N375" t="s">
        <v>1000</v>
      </c>
      <c r="O375" t="s">
        <v>657</v>
      </c>
      <c r="P375" s="4">
        <v>40.738669000000002</v>
      </c>
      <c r="Q375" s="4">
        <v>-73.982783999999995</v>
      </c>
      <c r="R375" s="4">
        <v>40.738526</v>
      </c>
      <c r="S375" s="4">
        <v>-73.982960000000006</v>
      </c>
      <c r="T375" s="2">
        <v>45545</v>
      </c>
      <c r="U375" t="s">
        <v>117</v>
      </c>
      <c r="V375" t="s">
        <v>71</v>
      </c>
      <c r="W375" t="s">
        <v>51</v>
      </c>
      <c r="Y375" s="4">
        <v>11</v>
      </c>
      <c r="Z375" s="4">
        <v>11</v>
      </c>
      <c r="AB375" s="4">
        <v>6</v>
      </c>
      <c r="AD375" s="4">
        <v>16</v>
      </c>
      <c r="AE375" s="4">
        <v>5</v>
      </c>
      <c r="AF375" s="4">
        <v>7</v>
      </c>
      <c r="AL375" s="4">
        <v>28</v>
      </c>
      <c r="AN375" s="4">
        <v>28</v>
      </c>
      <c r="AO375" s="4">
        <v>108</v>
      </c>
    </row>
    <row r="376" spans="1:41" hidden="1" x14ac:dyDescent="0.2">
      <c r="A376" t="s">
        <v>1001</v>
      </c>
      <c r="B376" t="s">
        <v>1002</v>
      </c>
      <c r="C376" s="2">
        <v>44344</v>
      </c>
      <c r="E376" s="3">
        <v>995898</v>
      </c>
      <c r="F376" t="s">
        <v>1003</v>
      </c>
      <c r="G376" t="s">
        <v>389</v>
      </c>
      <c r="H376" t="s">
        <v>45</v>
      </c>
      <c r="I376" s="3">
        <v>10025</v>
      </c>
      <c r="J376" s="3">
        <v>1012437504</v>
      </c>
      <c r="K376" s="3">
        <v>1091732</v>
      </c>
      <c r="L376" t="s">
        <v>46</v>
      </c>
      <c r="M376" s="4">
        <v>7</v>
      </c>
      <c r="N376" t="s">
        <v>284</v>
      </c>
      <c r="O376" t="s">
        <v>285</v>
      </c>
      <c r="P376" s="4">
        <v>40.794451000000002</v>
      </c>
      <c r="Q376" s="4">
        <v>-73.971945000000005</v>
      </c>
      <c r="R376" s="4">
        <v>40.794598999999998</v>
      </c>
      <c r="S376" s="4">
        <v>-73.972389000000007</v>
      </c>
      <c r="U376" t="s">
        <v>117</v>
      </c>
      <c r="V376" t="s">
        <v>71</v>
      </c>
      <c r="W376" t="s">
        <v>51</v>
      </c>
      <c r="Z376" s="4">
        <v>1</v>
      </c>
      <c r="AE376" s="4">
        <v>1</v>
      </c>
      <c r="AM376" s="4">
        <v>1</v>
      </c>
      <c r="AN376" s="4">
        <v>1</v>
      </c>
      <c r="AO376" s="4">
        <v>131</v>
      </c>
    </row>
    <row r="377" spans="1:41" hidden="1" x14ac:dyDescent="0.2">
      <c r="A377" t="s">
        <v>1004</v>
      </c>
      <c r="B377" t="s">
        <v>1005</v>
      </c>
      <c r="C377" s="2">
        <v>44326</v>
      </c>
      <c r="D377" s="2">
        <v>44326</v>
      </c>
      <c r="E377" s="3">
        <v>25196</v>
      </c>
      <c r="F377" t="s">
        <v>441</v>
      </c>
      <c r="G377" t="s">
        <v>70</v>
      </c>
      <c r="H377" t="s">
        <v>45</v>
      </c>
      <c r="I377" s="3">
        <v>10025</v>
      </c>
      <c r="J377" s="3">
        <v>1018430020</v>
      </c>
      <c r="K377" s="3">
        <v>1055687</v>
      </c>
      <c r="L377" t="s">
        <v>46</v>
      </c>
      <c r="M377" s="4">
        <v>7</v>
      </c>
      <c r="N377" t="s">
        <v>54</v>
      </c>
      <c r="O377" t="s">
        <v>48</v>
      </c>
      <c r="P377" s="4">
        <v>40.799419</v>
      </c>
      <c r="Q377" s="4">
        <v>-73.960904999999997</v>
      </c>
      <c r="R377" s="4">
        <v>40.799475999999999</v>
      </c>
      <c r="S377" s="4">
        <v>-73.960526000000002</v>
      </c>
      <c r="T377" s="2">
        <v>44326</v>
      </c>
      <c r="U377" t="s">
        <v>49</v>
      </c>
      <c r="V377" t="s">
        <v>50</v>
      </c>
      <c r="W377" t="s">
        <v>51</v>
      </c>
      <c r="X377" s="4">
        <v>18</v>
      </c>
      <c r="Z377" s="4">
        <v>5</v>
      </c>
      <c r="AC377" s="4">
        <v>1</v>
      </c>
      <c r="AD377" s="4">
        <v>1</v>
      </c>
      <c r="AE377" s="4">
        <v>17</v>
      </c>
      <c r="AF377" s="4">
        <v>6</v>
      </c>
      <c r="AL377" s="4">
        <v>24</v>
      </c>
      <c r="AN377" s="4">
        <v>24</v>
      </c>
      <c r="AO377" s="4">
        <v>24</v>
      </c>
    </row>
    <row r="378" spans="1:41" hidden="1" x14ac:dyDescent="0.2">
      <c r="A378" t="s">
        <v>1004</v>
      </c>
      <c r="B378" t="s">
        <v>1005</v>
      </c>
      <c r="C378" s="2">
        <v>44326</v>
      </c>
      <c r="D378" s="2">
        <v>44326</v>
      </c>
      <c r="E378" s="3">
        <v>805081</v>
      </c>
      <c r="F378" t="s">
        <v>1006</v>
      </c>
      <c r="G378" t="s">
        <v>70</v>
      </c>
      <c r="H378" t="s">
        <v>45</v>
      </c>
      <c r="I378" s="3">
        <v>10025</v>
      </c>
      <c r="J378" s="3">
        <v>1018430020</v>
      </c>
      <c r="K378" s="3">
        <v>1085312</v>
      </c>
      <c r="L378" t="s">
        <v>46</v>
      </c>
      <c r="M378" s="4">
        <v>7</v>
      </c>
      <c r="N378" t="s">
        <v>54</v>
      </c>
      <c r="O378" t="s">
        <v>48</v>
      </c>
      <c r="P378" s="4">
        <v>40.799475999999999</v>
      </c>
      <c r="Q378" s="4">
        <v>-73.960865999999996</v>
      </c>
      <c r="R378" s="4">
        <v>40.799475999999999</v>
      </c>
      <c r="S378" s="4">
        <v>-73.960526000000002</v>
      </c>
      <c r="T378" s="2">
        <v>44326</v>
      </c>
      <c r="U378" t="s">
        <v>49</v>
      </c>
      <c r="V378" t="s">
        <v>50</v>
      </c>
      <c r="W378" t="s">
        <v>51</v>
      </c>
      <c r="X378" s="4">
        <v>18</v>
      </c>
      <c r="Y378" s="4">
        <v>1</v>
      </c>
      <c r="AD378" s="4">
        <v>2</v>
      </c>
      <c r="AE378" s="4">
        <v>7</v>
      </c>
      <c r="AF378" s="4">
        <v>5</v>
      </c>
      <c r="AG378" s="4">
        <v>5</v>
      </c>
      <c r="AL378" s="4">
        <v>19</v>
      </c>
      <c r="AN378" s="4">
        <v>19</v>
      </c>
      <c r="AO378" s="4">
        <v>19</v>
      </c>
    </row>
    <row r="379" spans="1:41" hidden="1" x14ac:dyDescent="0.2">
      <c r="A379" t="s">
        <v>1004</v>
      </c>
      <c r="B379" t="s">
        <v>1005</v>
      </c>
      <c r="C379" s="2">
        <v>44326</v>
      </c>
      <c r="D379" s="2">
        <v>44326</v>
      </c>
      <c r="E379" s="3">
        <v>805082</v>
      </c>
      <c r="F379" t="s">
        <v>920</v>
      </c>
      <c r="G379" t="s">
        <v>70</v>
      </c>
      <c r="H379" t="s">
        <v>45</v>
      </c>
      <c r="I379" s="3">
        <v>10025</v>
      </c>
      <c r="J379" s="3">
        <v>1018430020</v>
      </c>
      <c r="K379" s="3">
        <v>1085313</v>
      </c>
      <c r="L379" t="s">
        <v>46</v>
      </c>
      <c r="M379" s="4">
        <v>7</v>
      </c>
      <c r="N379" t="s">
        <v>54</v>
      </c>
      <c r="O379" t="s">
        <v>48</v>
      </c>
      <c r="P379" s="4">
        <v>40.799536000000003</v>
      </c>
      <c r="Q379" s="4">
        <v>-73.960821999999993</v>
      </c>
      <c r="R379" s="4">
        <v>40.799475999999999</v>
      </c>
      <c r="S379" s="4">
        <v>-73.960526000000002</v>
      </c>
      <c r="T379" s="2">
        <v>44326</v>
      </c>
      <c r="U379" t="s">
        <v>49</v>
      </c>
      <c r="V379" t="s">
        <v>50</v>
      </c>
      <c r="W379" t="s">
        <v>51</v>
      </c>
      <c r="X379" s="4">
        <v>15</v>
      </c>
      <c r="Y379" s="4">
        <v>2</v>
      </c>
      <c r="Z379" s="4">
        <v>2</v>
      </c>
      <c r="AD379" s="4">
        <v>2</v>
      </c>
      <c r="AE379" s="4">
        <v>7</v>
      </c>
      <c r="AF379" s="4">
        <v>5</v>
      </c>
      <c r="AG379" s="4">
        <v>5</v>
      </c>
      <c r="AL379" s="4">
        <v>19</v>
      </c>
      <c r="AN379" s="4">
        <v>19</v>
      </c>
      <c r="AO379" s="4">
        <v>19</v>
      </c>
    </row>
    <row r="380" spans="1:41" hidden="1" x14ac:dyDescent="0.2">
      <c r="A380" t="s">
        <v>1004</v>
      </c>
      <c r="B380" t="s">
        <v>1005</v>
      </c>
      <c r="C380" s="2">
        <v>44326</v>
      </c>
      <c r="D380" s="2">
        <v>44326</v>
      </c>
      <c r="E380" s="3">
        <v>805083</v>
      </c>
      <c r="F380" t="s">
        <v>368</v>
      </c>
      <c r="G380" t="s">
        <v>70</v>
      </c>
      <c r="H380" t="s">
        <v>45</v>
      </c>
      <c r="I380" s="3">
        <v>10025</v>
      </c>
      <c r="J380" s="3">
        <v>1018430020</v>
      </c>
      <c r="K380" s="3">
        <v>1085314</v>
      </c>
      <c r="L380" t="s">
        <v>46</v>
      </c>
      <c r="M380" s="4">
        <v>7</v>
      </c>
      <c r="N380" t="s">
        <v>54</v>
      </c>
      <c r="O380" t="s">
        <v>48</v>
      </c>
      <c r="P380" s="4">
        <v>40.799593999999999</v>
      </c>
      <c r="Q380" s="4">
        <v>-73.960779000000002</v>
      </c>
      <c r="R380" s="4">
        <v>40.799475999999999</v>
      </c>
      <c r="S380" s="4">
        <v>-73.960526000000002</v>
      </c>
      <c r="T380" s="2">
        <v>44326</v>
      </c>
      <c r="U380" t="s">
        <v>49</v>
      </c>
      <c r="V380" t="s">
        <v>50</v>
      </c>
      <c r="W380" t="s">
        <v>51</v>
      </c>
      <c r="X380" s="4">
        <v>14</v>
      </c>
      <c r="Y380" s="4">
        <v>2</v>
      </c>
      <c r="Z380" s="4">
        <v>3</v>
      </c>
      <c r="AD380" s="4">
        <v>2</v>
      </c>
      <c r="AE380" s="4">
        <v>7</v>
      </c>
      <c r="AF380" s="4">
        <v>5</v>
      </c>
      <c r="AG380" s="4">
        <v>5</v>
      </c>
      <c r="AL380" s="4">
        <v>19</v>
      </c>
      <c r="AN380" s="4">
        <v>19</v>
      </c>
      <c r="AO380" s="4">
        <v>19</v>
      </c>
    </row>
    <row r="381" spans="1:41" hidden="1" x14ac:dyDescent="0.2">
      <c r="A381" t="s">
        <v>1007</v>
      </c>
      <c r="B381" t="s">
        <v>1008</v>
      </c>
      <c r="C381" s="2">
        <v>44321</v>
      </c>
      <c r="D381" s="2">
        <v>45380</v>
      </c>
      <c r="E381" s="3">
        <v>3518</v>
      </c>
      <c r="F381" t="s">
        <v>1009</v>
      </c>
      <c r="G381" t="s">
        <v>255</v>
      </c>
      <c r="H381" t="s">
        <v>45</v>
      </c>
      <c r="I381" s="3">
        <v>10030</v>
      </c>
      <c r="J381" s="3">
        <v>1019390034</v>
      </c>
      <c r="K381" s="3">
        <v>1058815</v>
      </c>
      <c r="L381" t="s">
        <v>146</v>
      </c>
      <c r="M381" s="4">
        <v>9</v>
      </c>
      <c r="N381" t="s">
        <v>309</v>
      </c>
      <c r="O381" t="s">
        <v>177</v>
      </c>
      <c r="P381" s="4">
        <v>40.814447000000001</v>
      </c>
      <c r="Q381" s="4">
        <v>-73.944339999999997</v>
      </c>
      <c r="R381" s="4">
        <v>40.814587000000003</v>
      </c>
      <c r="S381" s="4">
        <v>-73.944687000000002</v>
      </c>
      <c r="T381" s="2">
        <v>45370</v>
      </c>
      <c r="U381" t="s">
        <v>49</v>
      </c>
      <c r="V381" t="s">
        <v>71</v>
      </c>
      <c r="W381" t="s">
        <v>51</v>
      </c>
      <c r="AA381" s="4">
        <v>7</v>
      </c>
      <c r="AE381" s="4">
        <v>6</v>
      </c>
      <c r="AH381" s="4">
        <v>1</v>
      </c>
      <c r="AM381" s="4">
        <v>7</v>
      </c>
      <c r="AN381" s="4">
        <v>7</v>
      </c>
      <c r="AO381" s="4">
        <v>7</v>
      </c>
    </row>
    <row r="382" spans="1:41" hidden="1" x14ac:dyDescent="0.2">
      <c r="A382" t="s">
        <v>1007</v>
      </c>
      <c r="B382" t="s">
        <v>1008</v>
      </c>
      <c r="C382" s="2">
        <v>44321</v>
      </c>
      <c r="D382" s="2">
        <v>45380</v>
      </c>
      <c r="E382" s="3">
        <v>40472</v>
      </c>
      <c r="F382" t="s">
        <v>1010</v>
      </c>
      <c r="G382" t="s">
        <v>1011</v>
      </c>
      <c r="H382" t="s">
        <v>45</v>
      </c>
      <c r="I382" s="3">
        <v>10037</v>
      </c>
      <c r="J382" s="3">
        <v>1017290045</v>
      </c>
      <c r="K382" s="3">
        <v>1053857</v>
      </c>
      <c r="L382" t="s">
        <v>146</v>
      </c>
      <c r="M382" s="4">
        <v>9</v>
      </c>
      <c r="N382" t="s">
        <v>305</v>
      </c>
      <c r="O382" t="s">
        <v>177</v>
      </c>
      <c r="P382" s="4">
        <v>40.811258000000002</v>
      </c>
      <c r="Q382" s="4">
        <v>-73.940004000000002</v>
      </c>
      <c r="R382" s="4">
        <v>40.811002999999999</v>
      </c>
      <c r="S382" s="4">
        <v>-73.940037000000004</v>
      </c>
      <c r="T382" s="2">
        <v>45370</v>
      </c>
      <c r="U382" t="s">
        <v>49</v>
      </c>
      <c r="V382" t="s">
        <v>71</v>
      </c>
      <c r="W382" t="s">
        <v>51</v>
      </c>
      <c r="AA382" s="4">
        <v>10</v>
      </c>
      <c r="AF382" s="4">
        <v>10</v>
      </c>
      <c r="AM382" s="4">
        <v>10</v>
      </c>
      <c r="AN382" s="4">
        <v>10</v>
      </c>
      <c r="AO382" s="4">
        <v>10</v>
      </c>
    </row>
    <row r="383" spans="1:41" hidden="1" x14ac:dyDescent="0.2">
      <c r="A383" t="s">
        <v>1007</v>
      </c>
      <c r="B383" t="s">
        <v>1008</v>
      </c>
      <c r="C383" s="2">
        <v>44321</v>
      </c>
      <c r="D383" s="2">
        <v>45380</v>
      </c>
      <c r="E383" s="3">
        <v>40587</v>
      </c>
      <c r="F383" t="s">
        <v>669</v>
      </c>
      <c r="G383" t="s">
        <v>1012</v>
      </c>
      <c r="H383" t="s">
        <v>45</v>
      </c>
      <c r="I383" s="3">
        <v>10030</v>
      </c>
      <c r="J383" s="3">
        <v>1019380038</v>
      </c>
      <c r="K383" s="3">
        <v>1058786</v>
      </c>
      <c r="L383" t="s">
        <v>146</v>
      </c>
      <c r="M383" s="4">
        <v>9</v>
      </c>
      <c r="N383" t="s">
        <v>309</v>
      </c>
      <c r="O383" t="s">
        <v>177</v>
      </c>
      <c r="P383" s="4">
        <v>40.814197999999998</v>
      </c>
      <c r="Q383" s="4">
        <v>-73.945116999999996</v>
      </c>
      <c r="R383" s="4">
        <v>40.814076999999997</v>
      </c>
      <c r="S383" s="4">
        <v>-73.945395000000005</v>
      </c>
      <c r="T383" s="2">
        <v>45380</v>
      </c>
      <c r="U383" t="s">
        <v>49</v>
      </c>
      <c r="V383" t="s">
        <v>71</v>
      </c>
      <c r="W383" t="s">
        <v>51</v>
      </c>
      <c r="AA383" s="4">
        <v>19</v>
      </c>
      <c r="AE383" s="4">
        <v>11</v>
      </c>
      <c r="AF383" s="4">
        <v>7</v>
      </c>
      <c r="AH383" s="4">
        <v>1</v>
      </c>
      <c r="AM383" s="4">
        <v>19</v>
      </c>
      <c r="AN383" s="4">
        <v>19</v>
      </c>
      <c r="AO383" s="4">
        <v>19</v>
      </c>
    </row>
    <row r="384" spans="1:41" hidden="1" x14ac:dyDescent="0.2">
      <c r="A384" t="s">
        <v>1013</v>
      </c>
      <c r="B384" t="s">
        <v>1014</v>
      </c>
      <c r="C384" s="2">
        <v>44315</v>
      </c>
      <c r="E384" s="3">
        <v>983225</v>
      </c>
      <c r="F384" t="s">
        <v>1015</v>
      </c>
      <c r="G384" t="s">
        <v>389</v>
      </c>
      <c r="H384" t="s">
        <v>45</v>
      </c>
      <c r="I384" s="3">
        <v>10034</v>
      </c>
      <c r="J384" s="3">
        <v>1022337501</v>
      </c>
      <c r="K384" s="3">
        <v>1091724</v>
      </c>
      <c r="L384" t="s">
        <v>114</v>
      </c>
      <c r="M384" s="4">
        <v>10</v>
      </c>
      <c r="N384" t="s">
        <v>564</v>
      </c>
      <c r="O384" t="s">
        <v>391</v>
      </c>
      <c r="P384" s="4">
        <v>40.865946999999998</v>
      </c>
      <c r="Q384" s="4">
        <v>-73.926074999999997</v>
      </c>
      <c r="R384" s="4">
        <v>40.865710999999997</v>
      </c>
      <c r="S384" s="4">
        <v>-73.925702999999999</v>
      </c>
      <c r="T384" s="2">
        <v>45435</v>
      </c>
      <c r="U384" t="s">
        <v>117</v>
      </c>
      <c r="V384" t="s">
        <v>71</v>
      </c>
      <c r="W384" t="s">
        <v>51</v>
      </c>
      <c r="X384" s="4">
        <v>44</v>
      </c>
      <c r="Y384" s="4">
        <v>35</v>
      </c>
      <c r="Z384" s="4">
        <v>94</v>
      </c>
      <c r="AC384" s="4">
        <v>1</v>
      </c>
      <c r="AD384" s="4">
        <v>44</v>
      </c>
      <c r="AE384" s="4">
        <v>76</v>
      </c>
      <c r="AF384" s="4">
        <v>46</v>
      </c>
      <c r="AG384" s="4">
        <v>8</v>
      </c>
      <c r="AL384" s="4">
        <v>174</v>
      </c>
      <c r="AN384" s="4">
        <v>174</v>
      </c>
      <c r="AO384" s="4">
        <v>174</v>
      </c>
    </row>
    <row r="385" spans="1:41" hidden="1" x14ac:dyDescent="0.2">
      <c r="A385" t="s">
        <v>1016</v>
      </c>
      <c r="B385" t="s">
        <v>1017</v>
      </c>
      <c r="C385" s="2">
        <v>44315</v>
      </c>
      <c r="D385" s="2">
        <v>45461</v>
      </c>
      <c r="E385" s="3">
        <v>998544</v>
      </c>
      <c r="F385" t="s">
        <v>313</v>
      </c>
      <c r="G385" t="s">
        <v>152</v>
      </c>
      <c r="H385" t="s">
        <v>45</v>
      </c>
      <c r="I385" s="3">
        <v>10035</v>
      </c>
      <c r="J385" s="3">
        <v>1017890045</v>
      </c>
      <c r="K385" s="3">
        <v>1091703</v>
      </c>
      <c r="L385" t="s">
        <v>153</v>
      </c>
      <c r="M385" s="4">
        <v>8</v>
      </c>
      <c r="N385" t="s">
        <v>1018</v>
      </c>
      <c r="O385" t="s">
        <v>155</v>
      </c>
      <c r="P385" s="4">
        <v>40.803469</v>
      </c>
      <c r="Q385" s="4">
        <v>-73.935293999999999</v>
      </c>
      <c r="R385" s="4">
        <v>40.803038000000001</v>
      </c>
      <c r="S385" s="4">
        <v>-73.935372999999998</v>
      </c>
      <c r="T385" s="2">
        <v>45461</v>
      </c>
      <c r="U385" t="s">
        <v>117</v>
      </c>
      <c r="V385" t="s">
        <v>71</v>
      </c>
      <c r="W385" t="s">
        <v>51</v>
      </c>
      <c r="Z385" s="4">
        <v>28</v>
      </c>
      <c r="AB385" s="4">
        <v>6</v>
      </c>
      <c r="AD385" s="4">
        <v>8</v>
      </c>
      <c r="AE385" s="4">
        <v>9</v>
      </c>
      <c r="AF385" s="4">
        <v>17</v>
      </c>
      <c r="AL385" s="4">
        <v>34</v>
      </c>
      <c r="AN385" s="4">
        <v>34</v>
      </c>
      <c r="AO385" s="4">
        <v>113</v>
      </c>
    </row>
    <row r="386" spans="1:41" hidden="1" x14ac:dyDescent="0.2">
      <c r="A386" t="s">
        <v>1019</v>
      </c>
      <c r="B386" t="s">
        <v>1020</v>
      </c>
      <c r="C386" s="2">
        <v>44315</v>
      </c>
      <c r="D386" s="2">
        <v>45085</v>
      </c>
      <c r="E386" s="3">
        <v>873392</v>
      </c>
      <c r="F386" t="s">
        <v>1021</v>
      </c>
      <c r="G386" t="s">
        <v>1022</v>
      </c>
      <c r="H386" t="s">
        <v>45</v>
      </c>
      <c r="I386" s="3">
        <v>10036</v>
      </c>
      <c r="J386" s="3">
        <v>1010890001</v>
      </c>
      <c r="K386" s="3">
        <v>1085803</v>
      </c>
      <c r="L386" t="s">
        <v>78</v>
      </c>
      <c r="M386" s="4">
        <v>3</v>
      </c>
      <c r="N386" t="s">
        <v>913</v>
      </c>
      <c r="O386" t="s">
        <v>183</v>
      </c>
      <c r="P386" s="4">
        <v>40.761614000000002</v>
      </c>
      <c r="Q386" s="4">
        <v>-74.000219999999999</v>
      </c>
      <c r="R386" s="4">
        <v>40.761271000000001</v>
      </c>
      <c r="S386" s="4">
        <v>-74.000466000000003</v>
      </c>
      <c r="T386" s="2">
        <v>45085</v>
      </c>
      <c r="U386" t="s">
        <v>49</v>
      </c>
      <c r="V386" t="s">
        <v>71</v>
      </c>
      <c r="W386" t="s">
        <v>51</v>
      </c>
      <c r="AB386" s="4">
        <v>47</v>
      </c>
      <c r="AD386" s="4">
        <v>13</v>
      </c>
      <c r="AE386" s="4">
        <v>28</v>
      </c>
      <c r="AF386" s="4">
        <v>6</v>
      </c>
      <c r="AL386" s="4">
        <v>47</v>
      </c>
      <c r="AN386" s="4">
        <v>47</v>
      </c>
      <c r="AO386" s="4">
        <v>921</v>
      </c>
    </row>
    <row r="387" spans="1:41" hidden="1" x14ac:dyDescent="0.2">
      <c r="A387" t="s">
        <v>1023</v>
      </c>
      <c r="B387" t="s">
        <v>1024</v>
      </c>
      <c r="C387" s="2">
        <v>44309</v>
      </c>
      <c r="D387" s="2">
        <v>44915</v>
      </c>
      <c r="E387" s="3">
        <v>993982</v>
      </c>
      <c r="F387" t="s">
        <v>1000</v>
      </c>
      <c r="G387" t="s">
        <v>1025</v>
      </c>
      <c r="H387" t="s">
        <v>45</v>
      </c>
      <c r="I387" s="3">
        <v>10002</v>
      </c>
      <c r="J387" s="3">
        <v>1003467504</v>
      </c>
      <c r="K387" s="3">
        <v>1091637</v>
      </c>
      <c r="L387" t="s">
        <v>64</v>
      </c>
      <c r="M387" s="4">
        <v>1</v>
      </c>
      <c r="N387" t="s">
        <v>122</v>
      </c>
      <c r="O387" t="s">
        <v>66</v>
      </c>
      <c r="P387" s="4">
        <v>40.717295999999997</v>
      </c>
      <c r="Q387" s="4">
        <v>-73.987921999999998</v>
      </c>
      <c r="R387" s="4">
        <v>40.717066000000003</v>
      </c>
      <c r="S387" s="4">
        <v>-73.987814</v>
      </c>
      <c r="T387" s="2">
        <v>44915</v>
      </c>
      <c r="U387" t="s">
        <v>117</v>
      </c>
      <c r="V387" t="s">
        <v>71</v>
      </c>
      <c r="W387" t="s">
        <v>51</v>
      </c>
      <c r="X387" s="4">
        <v>18</v>
      </c>
      <c r="Y387" s="4">
        <v>48</v>
      </c>
      <c r="Z387" s="4">
        <v>48</v>
      </c>
      <c r="AC387" s="4">
        <v>1</v>
      </c>
      <c r="AD387" s="4">
        <v>80</v>
      </c>
      <c r="AE387" s="4">
        <v>35</v>
      </c>
      <c r="AL387" s="4">
        <v>115</v>
      </c>
      <c r="AN387" s="4">
        <v>115</v>
      </c>
      <c r="AO387" s="4">
        <v>117</v>
      </c>
    </row>
    <row r="388" spans="1:41" hidden="1" x14ac:dyDescent="0.2">
      <c r="A388" t="s">
        <v>1026</v>
      </c>
      <c r="B388" t="s">
        <v>1027</v>
      </c>
      <c r="C388" s="2">
        <v>44302</v>
      </c>
      <c r="D388" s="2">
        <v>45434</v>
      </c>
      <c r="E388" s="3">
        <v>953604</v>
      </c>
      <c r="F388" t="s">
        <v>1028</v>
      </c>
      <c r="G388" t="s">
        <v>87</v>
      </c>
      <c r="H388" t="s">
        <v>45</v>
      </c>
      <c r="I388" s="3">
        <v>10033</v>
      </c>
      <c r="J388" s="3">
        <v>1021550089</v>
      </c>
      <c r="K388" s="3">
        <v>1090762</v>
      </c>
      <c r="L388" t="s">
        <v>114</v>
      </c>
      <c r="M388" s="4">
        <v>10</v>
      </c>
      <c r="N388" t="s">
        <v>1029</v>
      </c>
      <c r="O388" t="s">
        <v>116</v>
      </c>
      <c r="P388" s="4">
        <v>40.849711999999997</v>
      </c>
      <c r="Q388" s="4">
        <v>-73.929772999999997</v>
      </c>
      <c r="R388" s="4">
        <v>40.849753</v>
      </c>
      <c r="S388" s="4">
        <v>-73.930104999999998</v>
      </c>
      <c r="T388" s="2">
        <v>45434</v>
      </c>
      <c r="U388" t="s">
        <v>117</v>
      </c>
      <c r="V388" t="s">
        <v>71</v>
      </c>
      <c r="W388" t="s">
        <v>51</v>
      </c>
      <c r="Z388" s="4">
        <v>3</v>
      </c>
      <c r="AD388" s="4">
        <v>1</v>
      </c>
      <c r="AE388" s="4">
        <v>2</v>
      </c>
      <c r="AL388" s="4">
        <v>3</v>
      </c>
      <c r="AN388" s="4">
        <v>3</v>
      </c>
      <c r="AO388" s="4">
        <v>15</v>
      </c>
    </row>
    <row r="389" spans="1:41" hidden="1" x14ac:dyDescent="0.2">
      <c r="A389" t="s">
        <v>1030</v>
      </c>
      <c r="B389" t="s">
        <v>1031</v>
      </c>
      <c r="C389" s="2">
        <v>44267</v>
      </c>
      <c r="D389" s="2">
        <v>45300</v>
      </c>
      <c r="E389" s="3">
        <v>875873</v>
      </c>
      <c r="F389" t="s">
        <v>1021</v>
      </c>
      <c r="G389" t="s">
        <v>1032</v>
      </c>
      <c r="H389" t="s">
        <v>45</v>
      </c>
      <c r="I389" s="3">
        <v>10003</v>
      </c>
      <c r="J389" s="3">
        <v>1005650021</v>
      </c>
      <c r="K389" s="3">
        <v>1087083</v>
      </c>
      <c r="L389" t="s">
        <v>64</v>
      </c>
      <c r="M389" s="4">
        <v>2</v>
      </c>
      <c r="N389" t="s">
        <v>867</v>
      </c>
      <c r="O389" t="s">
        <v>1033</v>
      </c>
      <c r="P389" s="4">
        <v>40.733978999999998</v>
      </c>
      <c r="Q389" s="4">
        <v>-73.989896999999999</v>
      </c>
      <c r="R389" s="4">
        <v>40.734149000000002</v>
      </c>
      <c r="S389" s="4">
        <v>-73.990351000000004</v>
      </c>
      <c r="T389" s="2">
        <v>45300</v>
      </c>
      <c r="U389" t="s">
        <v>49</v>
      </c>
      <c r="V389" t="s">
        <v>71</v>
      </c>
      <c r="W389" t="s">
        <v>51</v>
      </c>
      <c r="AB389" s="4">
        <v>12</v>
      </c>
      <c r="AD389" s="4">
        <v>3</v>
      </c>
      <c r="AE389" s="4">
        <v>8</v>
      </c>
      <c r="AF389" s="4">
        <v>1</v>
      </c>
      <c r="AL389" s="4">
        <v>12</v>
      </c>
      <c r="AN389" s="4">
        <v>12</v>
      </c>
      <c r="AO389" s="4">
        <v>240</v>
      </c>
    </row>
    <row r="390" spans="1:41" hidden="1" x14ac:dyDescent="0.2">
      <c r="A390" t="s">
        <v>1034</v>
      </c>
      <c r="B390" t="s">
        <v>140</v>
      </c>
      <c r="C390" s="2">
        <v>44253</v>
      </c>
      <c r="D390" s="2">
        <v>44253</v>
      </c>
      <c r="F390" t="s">
        <v>141</v>
      </c>
      <c r="G390" t="s">
        <v>141</v>
      </c>
      <c r="H390" t="s">
        <v>45</v>
      </c>
      <c r="L390" t="s">
        <v>169</v>
      </c>
      <c r="M390" s="4">
        <v>9</v>
      </c>
      <c r="T390" s="2">
        <v>44253</v>
      </c>
      <c r="U390" t="s">
        <v>117</v>
      </c>
      <c r="V390" t="s">
        <v>71</v>
      </c>
      <c r="W390" t="s">
        <v>51</v>
      </c>
      <c r="Z390" s="4">
        <v>1</v>
      </c>
      <c r="AF390" s="4">
        <v>1</v>
      </c>
      <c r="AM390" s="4">
        <v>1</v>
      </c>
      <c r="AN390" s="4">
        <v>1</v>
      </c>
      <c r="AO390" s="4">
        <v>1</v>
      </c>
    </row>
    <row r="391" spans="1:41" hidden="1" x14ac:dyDescent="0.2">
      <c r="A391" t="s">
        <v>1035</v>
      </c>
      <c r="B391" t="s">
        <v>1036</v>
      </c>
      <c r="C391" s="2">
        <v>44252</v>
      </c>
      <c r="D391" s="2">
        <v>44981</v>
      </c>
      <c r="E391" s="3">
        <v>25346</v>
      </c>
      <c r="F391" t="s">
        <v>1037</v>
      </c>
      <c r="G391" t="s">
        <v>70</v>
      </c>
      <c r="H391" t="s">
        <v>45</v>
      </c>
      <c r="I391" s="3">
        <v>10027</v>
      </c>
      <c r="J391" s="3">
        <v>1019500014</v>
      </c>
      <c r="K391" s="3">
        <v>1059273</v>
      </c>
      <c r="L391" t="s">
        <v>169</v>
      </c>
      <c r="M391" s="4">
        <v>9</v>
      </c>
      <c r="N391" t="s">
        <v>250</v>
      </c>
      <c r="O391" t="s">
        <v>251</v>
      </c>
      <c r="P391" s="4">
        <v>40.809719000000001</v>
      </c>
      <c r="Q391" s="4">
        <v>-73.953411000000003</v>
      </c>
      <c r="R391" s="4">
        <v>40.809837999999999</v>
      </c>
      <c r="S391" s="4">
        <v>-73.953677999999996</v>
      </c>
      <c r="T391" s="2">
        <v>44981</v>
      </c>
      <c r="U391" t="s">
        <v>49</v>
      </c>
      <c r="V391" t="s">
        <v>50</v>
      </c>
      <c r="W391" t="s">
        <v>51</v>
      </c>
      <c r="X391" s="4">
        <v>88</v>
      </c>
      <c r="Y391" s="4">
        <v>1</v>
      </c>
      <c r="Z391" s="4">
        <v>12</v>
      </c>
      <c r="AC391" s="4">
        <v>1</v>
      </c>
      <c r="AD391" s="4">
        <v>46</v>
      </c>
      <c r="AE391" s="4">
        <v>55</v>
      </c>
      <c r="AF391" s="4">
        <v>1</v>
      </c>
      <c r="AL391" s="4">
        <v>102</v>
      </c>
      <c r="AN391" s="4">
        <v>102</v>
      </c>
      <c r="AO391" s="4">
        <v>102</v>
      </c>
    </row>
    <row r="392" spans="1:41" hidden="1" x14ac:dyDescent="0.2">
      <c r="A392" t="s">
        <v>1038</v>
      </c>
      <c r="B392" t="s">
        <v>140</v>
      </c>
      <c r="C392" s="2">
        <v>44245</v>
      </c>
      <c r="D392" s="2">
        <v>44245</v>
      </c>
      <c r="F392" t="s">
        <v>141</v>
      </c>
      <c r="G392" t="s">
        <v>141</v>
      </c>
      <c r="H392" t="s">
        <v>45</v>
      </c>
      <c r="L392" t="s">
        <v>64</v>
      </c>
      <c r="M392" s="4">
        <v>1</v>
      </c>
      <c r="T392" s="2">
        <v>44245</v>
      </c>
      <c r="U392" t="s">
        <v>117</v>
      </c>
      <c r="V392" t="s">
        <v>71</v>
      </c>
      <c r="W392" t="s">
        <v>51</v>
      </c>
      <c r="Y392" s="4">
        <v>1</v>
      </c>
      <c r="AE392" s="4">
        <v>1</v>
      </c>
      <c r="AM392" s="4">
        <v>1</v>
      </c>
      <c r="AN392" s="4">
        <v>1</v>
      </c>
      <c r="AO392" s="4">
        <v>1</v>
      </c>
    </row>
    <row r="393" spans="1:41" hidden="1" x14ac:dyDescent="0.2">
      <c r="A393" t="s">
        <v>1039</v>
      </c>
      <c r="B393" t="s">
        <v>1040</v>
      </c>
      <c r="C393" s="2">
        <v>44236</v>
      </c>
      <c r="D393" s="2">
        <v>45084</v>
      </c>
      <c r="E393" s="3">
        <v>867489</v>
      </c>
      <c r="F393" t="s">
        <v>1041</v>
      </c>
      <c r="G393" t="s">
        <v>1042</v>
      </c>
      <c r="H393" t="s">
        <v>45</v>
      </c>
      <c r="I393" s="3">
        <v>10128</v>
      </c>
      <c r="J393" s="3">
        <v>1015570025</v>
      </c>
      <c r="K393" s="3">
        <v>1087329</v>
      </c>
      <c r="L393" t="s">
        <v>107</v>
      </c>
      <c r="M393" s="4">
        <v>5</v>
      </c>
      <c r="N393" t="s">
        <v>1043</v>
      </c>
      <c r="O393" t="s">
        <v>109</v>
      </c>
      <c r="P393" s="4">
        <v>40.782485999999999</v>
      </c>
      <c r="Q393" s="4">
        <v>-73.946933999999999</v>
      </c>
      <c r="R393" s="4">
        <v>40.782266</v>
      </c>
      <c r="S393" s="4">
        <v>-73.945847000000001</v>
      </c>
      <c r="T393" s="2">
        <v>45084</v>
      </c>
      <c r="U393" t="s">
        <v>49</v>
      </c>
      <c r="V393" t="s">
        <v>71</v>
      </c>
      <c r="W393" t="s">
        <v>51</v>
      </c>
      <c r="AA393" s="4">
        <v>11</v>
      </c>
      <c r="AD393" s="4">
        <v>5</v>
      </c>
      <c r="AE393" s="4">
        <v>6</v>
      </c>
      <c r="AL393" s="4">
        <v>11</v>
      </c>
      <c r="AN393" s="4">
        <v>11</v>
      </c>
      <c r="AO393" s="4">
        <v>208</v>
      </c>
    </row>
    <row r="394" spans="1:41" hidden="1" x14ac:dyDescent="0.2">
      <c r="A394" t="s">
        <v>1044</v>
      </c>
      <c r="B394" t="s">
        <v>1045</v>
      </c>
      <c r="C394" s="2">
        <v>44223</v>
      </c>
      <c r="D394" s="2">
        <v>45076</v>
      </c>
      <c r="E394" s="3">
        <v>996855</v>
      </c>
      <c r="F394" t="s">
        <v>669</v>
      </c>
      <c r="G394" t="s">
        <v>748</v>
      </c>
      <c r="H394" t="s">
        <v>45</v>
      </c>
      <c r="I394" s="3">
        <v>10027</v>
      </c>
      <c r="L394" t="s">
        <v>146</v>
      </c>
      <c r="M394" s="4">
        <v>9</v>
      </c>
      <c r="N394" t="s">
        <v>147</v>
      </c>
      <c r="O394" t="s">
        <v>148</v>
      </c>
      <c r="P394" s="4">
        <v>40.808512999999998</v>
      </c>
      <c r="Q394" s="4">
        <v>-73.949359000000001</v>
      </c>
      <c r="T394" s="2">
        <v>45076</v>
      </c>
      <c r="U394" t="s">
        <v>117</v>
      </c>
      <c r="V394" t="s">
        <v>71</v>
      </c>
      <c r="W394" t="s">
        <v>51</v>
      </c>
      <c r="AB394" s="4">
        <v>34</v>
      </c>
      <c r="AD394" s="4">
        <v>8</v>
      </c>
      <c r="AE394" s="4">
        <v>6</v>
      </c>
      <c r="AF394" s="4">
        <v>10</v>
      </c>
      <c r="AG394" s="4">
        <v>10</v>
      </c>
      <c r="AL394" s="4">
        <v>34</v>
      </c>
      <c r="AN394" s="4">
        <v>34</v>
      </c>
      <c r="AO394" s="4">
        <v>34</v>
      </c>
    </row>
    <row r="395" spans="1:41" hidden="1" x14ac:dyDescent="0.2">
      <c r="A395" t="s">
        <v>1046</v>
      </c>
      <c r="B395" t="s">
        <v>1047</v>
      </c>
      <c r="C395" s="2">
        <v>44222</v>
      </c>
      <c r="E395" s="3">
        <v>989006</v>
      </c>
      <c r="F395" t="s">
        <v>1048</v>
      </c>
      <c r="G395" t="s">
        <v>538</v>
      </c>
      <c r="H395" t="s">
        <v>45</v>
      </c>
      <c r="I395" s="3">
        <v>10030</v>
      </c>
      <c r="J395" s="3">
        <v>1020510006</v>
      </c>
      <c r="K395" s="3">
        <v>1000000</v>
      </c>
      <c r="L395" t="s">
        <v>169</v>
      </c>
      <c r="M395" s="4">
        <v>9</v>
      </c>
      <c r="N395" t="s">
        <v>420</v>
      </c>
      <c r="O395" t="s">
        <v>232</v>
      </c>
      <c r="P395" s="4">
        <v>40.820996999999998</v>
      </c>
      <c r="Q395" s="4">
        <v>-73.945418000000004</v>
      </c>
      <c r="R395" s="4">
        <v>40.821232999999999</v>
      </c>
      <c r="S395" s="4">
        <v>-73.945440000000005</v>
      </c>
      <c r="U395" t="s">
        <v>117</v>
      </c>
      <c r="V395" t="s">
        <v>71</v>
      </c>
      <c r="W395" t="s">
        <v>51</v>
      </c>
      <c r="Z395" s="4">
        <v>6</v>
      </c>
      <c r="AA395" s="4">
        <v>14</v>
      </c>
      <c r="AD395" s="4">
        <v>14</v>
      </c>
      <c r="AE395" s="4">
        <v>3</v>
      </c>
      <c r="AF395" s="4">
        <v>3</v>
      </c>
      <c r="AL395" s="4">
        <v>20</v>
      </c>
      <c r="AN395" s="4">
        <v>20</v>
      </c>
      <c r="AO395" s="4">
        <v>20</v>
      </c>
    </row>
    <row r="396" spans="1:41" hidden="1" x14ac:dyDescent="0.2">
      <c r="A396" t="s">
        <v>1049</v>
      </c>
      <c r="B396" t="s">
        <v>1050</v>
      </c>
      <c r="C396" s="2">
        <v>44216</v>
      </c>
      <c r="D396" s="2">
        <v>44798</v>
      </c>
      <c r="E396" s="3">
        <v>43002</v>
      </c>
      <c r="F396" t="s">
        <v>1051</v>
      </c>
      <c r="G396" t="s">
        <v>1052</v>
      </c>
      <c r="H396" t="s">
        <v>45</v>
      </c>
      <c r="I396" s="3">
        <v>10032</v>
      </c>
      <c r="J396" s="3">
        <v>1021100104</v>
      </c>
      <c r="K396" s="3">
        <v>1090982</v>
      </c>
      <c r="L396" t="s">
        <v>114</v>
      </c>
      <c r="M396" s="4">
        <v>10</v>
      </c>
      <c r="N396" t="s">
        <v>133</v>
      </c>
      <c r="O396" t="s">
        <v>134</v>
      </c>
      <c r="P396" s="4">
        <v>40.836213000000001</v>
      </c>
      <c r="Q396" s="4">
        <v>-73.938632999999996</v>
      </c>
      <c r="R396" s="4">
        <v>40.836503999999998</v>
      </c>
      <c r="S396" s="4">
        <v>-73.938601000000006</v>
      </c>
      <c r="T396" s="2">
        <v>44798</v>
      </c>
      <c r="U396" t="s">
        <v>117</v>
      </c>
      <c r="V396" t="s">
        <v>71</v>
      </c>
      <c r="W396" t="s">
        <v>51</v>
      </c>
      <c r="AB396" s="4">
        <v>5</v>
      </c>
      <c r="AD396" s="4">
        <v>2</v>
      </c>
      <c r="AE396" s="4">
        <v>3</v>
      </c>
      <c r="AL396" s="4">
        <v>5</v>
      </c>
      <c r="AN396" s="4">
        <v>5</v>
      </c>
      <c r="AO396" s="4">
        <v>16</v>
      </c>
    </row>
    <row r="397" spans="1:41" hidden="1" x14ac:dyDescent="0.2">
      <c r="A397" t="s">
        <v>1053</v>
      </c>
      <c r="B397" t="s">
        <v>1054</v>
      </c>
      <c r="C397" s="2">
        <v>44202</v>
      </c>
      <c r="E397" s="3">
        <v>4162</v>
      </c>
      <c r="F397" t="s">
        <v>1055</v>
      </c>
      <c r="G397" t="s">
        <v>175</v>
      </c>
      <c r="H397" t="s">
        <v>45</v>
      </c>
      <c r="I397" s="3">
        <v>10039</v>
      </c>
      <c r="J397" s="3">
        <v>1020340064</v>
      </c>
      <c r="K397" s="3">
        <v>1060585</v>
      </c>
      <c r="L397" t="s">
        <v>146</v>
      </c>
      <c r="M397" s="4">
        <v>9</v>
      </c>
      <c r="N397" t="s">
        <v>544</v>
      </c>
      <c r="O397" t="s">
        <v>177</v>
      </c>
      <c r="P397" s="4">
        <v>40.825108</v>
      </c>
      <c r="Q397" s="4">
        <v>-73.940244000000007</v>
      </c>
      <c r="R397" s="4">
        <v>40.824966000000003</v>
      </c>
      <c r="S397" s="4">
        <v>-73.939959000000002</v>
      </c>
      <c r="U397" t="s">
        <v>49</v>
      </c>
      <c r="V397" t="s">
        <v>50</v>
      </c>
      <c r="W397" t="s">
        <v>51</v>
      </c>
      <c r="Y397" s="4">
        <v>6</v>
      </c>
      <c r="Z397" s="4">
        <v>4</v>
      </c>
      <c r="AA397" s="4">
        <v>1</v>
      </c>
      <c r="AD397" s="4">
        <v>5</v>
      </c>
      <c r="AF397" s="4">
        <v>6</v>
      </c>
      <c r="AL397" s="4">
        <v>11</v>
      </c>
      <c r="AN397" s="4">
        <v>11</v>
      </c>
      <c r="AO397" s="4">
        <v>11</v>
      </c>
    </row>
    <row r="398" spans="1:41" hidden="1" x14ac:dyDescent="0.2">
      <c r="A398" t="s">
        <v>1053</v>
      </c>
      <c r="B398" t="s">
        <v>1054</v>
      </c>
      <c r="C398" s="2">
        <v>44202</v>
      </c>
      <c r="E398" s="3">
        <v>4165</v>
      </c>
      <c r="F398" t="s">
        <v>1056</v>
      </c>
      <c r="G398" t="s">
        <v>175</v>
      </c>
      <c r="H398" t="s">
        <v>45</v>
      </c>
      <c r="I398" s="3">
        <v>10039</v>
      </c>
      <c r="J398" s="3">
        <v>1020450075</v>
      </c>
      <c r="K398" s="3">
        <v>1060835</v>
      </c>
      <c r="L398" t="s">
        <v>146</v>
      </c>
      <c r="M398" s="4">
        <v>9</v>
      </c>
      <c r="N398" t="s">
        <v>909</v>
      </c>
      <c r="O398" t="s">
        <v>177</v>
      </c>
      <c r="P398" s="4">
        <v>40.825226000000001</v>
      </c>
      <c r="Q398" s="4">
        <v>-73.940179000000001</v>
      </c>
      <c r="R398" s="4">
        <v>40.825344999999999</v>
      </c>
      <c r="S398" s="4">
        <v>-73.940483</v>
      </c>
      <c r="U398" t="s">
        <v>49</v>
      </c>
      <c r="V398" t="s">
        <v>50</v>
      </c>
      <c r="W398" t="s">
        <v>51</v>
      </c>
      <c r="Y398" s="4">
        <v>5</v>
      </c>
      <c r="Z398" s="4">
        <v>3</v>
      </c>
      <c r="AA398" s="4">
        <v>1</v>
      </c>
      <c r="AD398" s="4">
        <v>5</v>
      </c>
      <c r="AG398" s="4">
        <v>4</v>
      </c>
      <c r="AL398" s="4">
        <v>9</v>
      </c>
      <c r="AN398" s="4">
        <v>9</v>
      </c>
      <c r="AO398" s="4">
        <v>9</v>
      </c>
    </row>
    <row r="399" spans="1:41" hidden="1" x14ac:dyDescent="0.2">
      <c r="A399" t="s">
        <v>1053</v>
      </c>
      <c r="B399" t="s">
        <v>1054</v>
      </c>
      <c r="C399" s="2">
        <v>44202</v>
      </c>
      <c r="E399" s="3">
        <v>4167</v>
      </c>
      <c r="F399" t="s">
        <v>1057</v>
      </c>
      <c r="G399" t="s">
        <v>175</v>
      </c>
      <c r="H399" t="s">
        <v>45</v>
      </c>
      <c r="I399" s="3">
        <v>10039</v>
      </c>
      <c r="J399" s="3">
        <v>1020450076</v>
      </c>
      <c r="K399" s="3">
        <v>1060836</v>
      </c>
      <c r="L399" t="s">
        <v>146</v>
      </c>
      <c r="M399" s="4">
        <v>9</v>
      </c>
      <c r="N399" t="s">
        <v>909</v>
      </c>
      <c r="O399" t="s">
        <v>177</v>
      </c>
      <c r="P399" s="4">
        <v>40.825290000000003</v>
      </c>
      <c r="Q399" s="4">
        <v>-73.940132000000006</v>
      </c>
      <c r="R399" s="4">
        <v>40.825408000000003</v>
      </c>
      <c r="S399" s="4">
        <v>-73.940438999999998</v>
      </c>
      <c r="U399" t="s">
        <v>49</v>
      </c>
      <c r="V399" t="s">
        <v>50</v>
      </c>
      <c r="W399" t="s">
        <v>51</v>
      </c>
      <c r="Y399" s="4">
        <v>3</v>
      </c>
      <c r="Z399" s="4">
        <v>5</v>
      </c>
      <c r="AC399" s="4">
        <v>1</v>
      </c>
      <c r="AF399" s="4">
        <v>5</v>
      </c>
      <c r="AG399" s="4">
        <v>4</v>
      </c>
      <c r="AL399" s="4">
        <v>9</v>
      </c>
      <c r="AN399" s="4">
        <v>9</v>
      </c>
      <c r="AO399" s="4">
        <v>9</v>
      </c>
    </row>
    <row r="400" spans="1:41" hidden="1" x14ac:dyDescent="0.2">
      <c r="A400" t="s">
        <v>1053</v>
      </c>
      <c r="B400" t="s">
        <v>1054</v>
      </c>
      <c r="C400" s="2">
        <v>44202</v>
      </c>
      <c r="E400" s="3">
        <v>42237</v>
      </c>
      <c r="F400" t="s">
        <v>816</v>
      </c>
      <c r="G400" t="s">
        <v>662</v>
      </c>
      <c r="H400" t="s">
        <v>45</v>
      </c>
      <c r="I400" s="3">
        <v>10039</v>
      </c>
      <c r="J400" s="3">
        <v>1020450057</v>
      </c>
      <c r="K400" s="3">
        <v>1060822</v>
      </c>
      <c r="L400" t="s">
        <v>146</v>
      </c>
      <c r="M400" s="4">
        <v>9</v>
      </c>
      <c r="N400" t="s">
        <v>909</v>
      </c>
      <c r="O400" t="s">
        <v>177</v>
      </c>
      <c r="P400" s="4">
        <v>40.824818</v>
      </c>
      <c r="Q400" s="4">
        <v>-73.940681999999995</v>
      </c>
      <c r="R400" s="4">
        <v>40.824751999999997</v>
      </c>
      <c r="S400" s="4">
        <v>-73.941090000000003</v>
      </c>
      <c r="U400" t="s">
        <v>49</v>
      </c>
      <c r="V400" t="s">
        <v>50</v>
      </c>
      <c r="W400" t="s">
        <v>51</v>
      </c>
      <c r="X400" s="4">
        <v>1</v>
      </c>
      <c r="Y400" s="4">
        <v>4</v>
      </c>
      <c r="Z400" s="4">
        <v>3</v>
      </c>
      <c r="AA400" s="4">
        <v>2</v>
      </c>
      <c r="AD400" s="4">
        <v>1</v>
      </c>
      <c r="AE400" s="4">
        <v>5</v>
      </c>
      <c r="AF400" s="4">
        <v>4</v>
      </c>
      <c r="AL400" s="4">
        <v>10</v>
      </c>
      <c r="AN400" s="4">
        <v>10</v>
      </c>
      <c r="AO400" s="4">
        <v>10</v>
      </c>
    </row>
    <row r="401" spans="1:41" hidden="1" x14ac:dyDescent="0.2">
      <c r="A401" t="s">
        <v>1053</v>
      </c>
      <c r="B401" t="s">
        <v>1054</v>
      </c>
      <c r="C401" s="2">
        <v>44202</v>
      </c>
      <c r="E401" s="3">
        <v>42238</v>
      </c>
      <c r="F401" t="s">
        <v>908</v>
      </c>
      <c r="G401" t="s">
        <v>662</v>
      </c>
      <c r="H401" t="s">
        <v>45</v>
      </c>
      <c r="I401" s="3">
        <v>10039</v>
      </c>
      <c r="J401" s="3">
        <v>1020450058</v>
      </c>
      <c r="K401" s="3">
        <v>1060823</v>
      </c>
      <c r="L401" t="s">
        <v>146</v>
      </c>
      <c r="M401" s="4">
        <v>9</v>
      </c>
      <c r="N401" t="s">
        <v>909</v>
      </c>
      <c r="O401" t="s">
        <v>177</v>
      </c>
      <c r="P401" s="4">
        <v>40.824823000000002</v>
      </c>
      <c r="Q401" s="4">
        <v>-73.940696000000003</v>
      </c>
      <c r="R401" s="4">
        <v>40.824784999999999</v>
      </c>
      <c r="S401" s="4">
        <v>-73.94117</v>
      </c>
      <c r="U401" t="s">
        <v>49</v>
      </c>
      <c r="V401" t="s">
        <v>50</v>
      </c>
      <c r="W401" t="s">
        <v>51</v>
      </c>
      <c r="Y401" s="4">
        <v>3</v>
      </c>
      <c r="Z401" s="4">
        <v>5</v>
      </c>
      <c r="AA401" s="4">
        <v>2</v>
      </c>
      <c r="AD401" s="4">
        <v>1</v>
      </c>
      <c r="AE401" s="4">
        <v>5</v>
      </c>
      <c r="AF401" s="4">
        <v>4</v>
      </c>
      <c r="AL401" s="4">
        <v>10</v>
      </c>
      <c r="AN401" s="4">
        <v>10</v>
      </c>
      <c r="AO401" s="4">
        <v>10</v>
      </c>
    </row>
    <row r="402" spans="1:41" hidden="1" x14ac:dyDescent="0.2">
      <c r="A402" t="s">
        <v>1053</v>
      </c>
      <c r="B402" t="s">
        <v>1054</v>
      </c>
      <c r="C402" s="2">
        <v>44202</v>
      </c>
      <c r="E402" s="3">
        <v>42329</v>
      </c>
      <c r="F402" t="s">
        <v>816</v>
      </c>
      <c r="G402" t="s">
        <v>548</v>
      </c>
      <c r="H402" t="s">
        <v>45</v>
      </c>
      <c r="I402" s="3">
        <v>10039</v>
      </c>
      <c r="J402" s="3">
        <v>1020450077</v>
      </c>
      <c r="K402" s="3">
        <v>1060837</v>
      </c>
      <c r="L402" t="s">
        <v>146</v>
      </c>
      <c r="M402" s="4">
        <v>9</v>
      </c>
      <c r="N402" t="s">
        <v>909</v>
      </c>
      <c r="O402" t="s">
        <v>177</v>
      </c>
      <c r="P402" s="4">
        <v>40.82546</v>
      </c>
      <c r="Q402" s="4">
        <v>-73.940265999999994</v>
      </c>
      <c r="R402" s="4">
        <v>40.825405000000003</v>
      </c>
      <c r="S402" s="4">
        <v>-73.940709999999996</v>
      </c>
      <c r="U402" t="s">
        <v>49</v>
      </c>
      <c r="V402" t="s">
        <v>50</v>
      </c>
      <c r="W402" t="s">
        <v>51</v>
      </c>
      <c r="Y402" s="4">
        <v>5</v>
      </c>
      <c r="Z402" s="4">
        <v>4</v>
      </c>
      <c r="AA402" s="4">
        <v>1</v>
      </c>
      <c r="AD402" s="4">
        <v>1</v>
      </c>
      <c r="AE402" s="4">
        <v>1</v>
      </c>
      <c r="AF402" s="4">
        <v>8</v>
      </c>
      <c r="AL402" s="4">
        <v>10</v>
      </c>
      <c r="AN402" s="4">
        <v>10</v>
      </c>
      <c r="AO402" s="4">
        <v>10</v>
      </c>
    </row>
    <row r="403" spans="1:41" hidden="1" x14ac:dyDescent="0.2">
      <c r="A403" t="s">
        <v>1053</v>
      </c>
      <c r="B403" t="s">
        <v>1054</v>
      </c>
      <c r="C403" s="2">
        <v>44202</v>
      </c>
      <c r="E403" s="3">
        <v>42331</v>
      </c>
      <c r="F403" t="s">
        <v>908</v>
      </c>
      <c r="G403" t="s">
        <v>548</v>
      </c>
      <c r="H403" t="s">
        <v>45</v>
      </c>
      <c r="I403" s="3">
        <v>10039</v>
      </c>
      <c r="J403" s="3">
        <v>1020450079</v>
      </c>
      <c r="K403" s="3">
        <v>1060838</v>
      </c>
      <c r="L403" t="s">
        <v>146</v>
      </c>
      <c r="M403" s="4">
        <v>9</v>
      </c>
      <c r="N403" t="s">
        <v>909</v>
      </c>
      <c r="O403" t="s">
        <v>177</v>
      </c>
      <c r="P403" s="4">
        <v>40.825482000000001</v>
      </c>
      <c r="Q403" s="4">
        <v>-73.940324000000004</v>
      </c>
      <c r="R403" s="4">
        <v>40.825457</v>
      </c>
      <c r="S403" s="4">
        <v>-73.940832999999998</v>
      </c>
      <c r="U403" t="s">
        <v>49</v>
      </c>
      <c r="V403" t="s">
        <v>50</v>
      </c>
      <c r="W403" t="s">
        <v>51</v>
      </c>
      <c r="Y403" s="4">
        <v>12</v>
      </c>
      <c r="Z403" s="4">
        <v>9</v>
      </c>
      <c r="AA403" s="4">
        <v>3</v>
      </c>
      <c r="AE403" s="4">
        <v>2</v>
      </c>
      <c r="AF403" s="4">
        <v>22</v>
      </c>
      <c r="AL403" s="4">
        <v>24</v>
      </c>
      <c r="AN403" s="4">
        <v>24</v>
      </c>
      <c r="AO403" s="4">
        <v>24</v>
      </c>
    </row>
    <row r="404" spans="1:41" hidden="1" x14ac:dyDescent="0.2">
      <c r="A404" t="s">
        <v>1053</v>
      </c>
      <c r="B404" t="s">
        <v>1054</v>
      </c>
      <c r="C404" s="2">
        <v>44202</v>
      </c>
      <c r="E404" s="3">
        <v>42332</v>
      </c>
      <c r="F404" t="s">
        <v>465</v>
      </c>
      <c r="G404" t="s">
        <v>548</v>
      </c>
      <c r="H404" t="s">
        <v>45</v>
      </c>
      <c r="I404" s="3">
        <v>10039</v>
      </c>
      <c r="J404" s="3">
        <v>1020450086</v>
      </c>
      <c r="K404" s="3">
        <v>1060840</v>
      </c>
      <c r="L404" t="s">
        <v>146</v>
      </c>
      <c r="M404" s="4">
        <v>9</v>
      </c>
      <c r="N404" t="s">
        <v>909</v>
      </c>
      <c r="O404" t="s">
        <v>177</v>
      </c>
      <c r="P404" s="4">
        <v>40.825498000000003</v>
      </c>
      <c r="Q404" s="4">
        <v>-73.940313000000003</v>
      </c>
      <c r="R404" s="4">
        <v>40.825803000000001</v>
      </c>
      <c r="S404" s="4">
        <v>-73.940475000000006</v>
      </c>
      <c r="U404" t="s">
        <v>49</v>
      </c>
      <c r="V404" t="s">
        <v>50</v>
      </c>
      <c r="W404" t="s">
        <v>51</v>
      </c>
      <c r="Y404" s="4">
        <v>12</v>
      </c>
      <c r="Z404" s="4">
        <v>8</v>
      </c>
      <c r="AA404" s="4">
        <v>4</v>
      </c>
      <c r="AD404" s="4">
        <v>3</v>
      </c>
      <c r="AE404" s="4">
        <v>10</v>
      </c>
      <c r="AF404" s="4">
        <v>10</v>
      </c>
      <c r="AG404" s="4">
        <v>1</v>
      </c>
      <c r="AL404" s="4">
        <v>24</v>
      </c>
      <c r="AN404" s="4">
        <v>24</v>
      </c>
      <c r="AO404" s="4">
        <v>24</v>
      </c>
    </row>
    <row r="405" spans="1:41" hidden="1" x14ac:dyDescent="0.2">
      <c r="A405" t="s">
        <v>1053</v>
      </c>
      <c r="B405" t="s">
        <v>1054</v>
      </c>
      <c r="C405" s="2">
        <v>44202</v>
      </c>
      <c r="E405" s="3">
        <v>805984</v>
      </c>
      <c r="F405" t="s">
        <v>1058</v>
      </c>
      <c r="G405" t="s">
        <v>662</v>
      </c>
      <c r="H405" t="s">
        <v>45</v>
      </c>
      <c r="I405" s="3">
        <v>10039</v>
      </c>
      <c r="J405" s="3">
        <v>1020450060</v>
      </c>
      <c r="K405" s="3">
        <v>1060825</v>
      </c>
      <c r="L405" t="s">
        <v>146</v>
      </c>
      <c r="M405" s="4">
        <v>9</v>
      </c>
      <c r="N405" t="s">
        <v>909</v>
      </c>
      <c r="O405" t="s">
        <v>177</v>
      </c>
      <c r="P405" s="4">
        <v>40.824841999999997</v>
      </c>
      <c r="Q405" s="4">
        <v>-73.940740000000005</v>
      </c>
      <c r="R405" s="4">
        <v>40.824979999999996</v>
      </c>
      <c r="S405" s="4">
        <v>-73.94135</v>
      </c>
      <c r="U405" t="s">
        <v>49</v>
      </c>
      <c r="V405" t="s">
        <v>50</v>
      </c>
      <c r="W405" t="s">
        <v>51</v>
      </c>
      <c r="Y405" s="4">
        <v>5</v>
      </c>
      <c r="Z405" s="4">
        <v>4</v>
      </c>
      <c r="AA405" s="4">
        <v>1</v>
      </c>
      <c r="AE405" s="4">
        <v>2</v>
      </c>
      <c r="AF405" s="4">
        <v>8</v>
      </c>
      <c r="AL405" s="4">
        <v>10</v>
      </c>
      <c r="AN405" s="4">
        <v>10</v>
      </c>
      <c r="AO405" s="4">
        <v>10</v>
      </c>
    </row>
    <row r="406" spans="1:41" hidden="1" x14ac:dyDescent="0.2">
      <c r="A406" t="s">
        <v>1059</v>
      </c>
      <c r="B406" t="s">
        <v>1060</v>
      </c>
      <c r="C406" s="2">
        <v>44196</v>
      </c>
      <c r="D406" s="2">
        <v>44196</v>
      </c>
      <c r="E406" s="3">
        <v>41403</v>
      </c>
      <c r="F406" t="s">
        <v>643</v>
      </c>
      <c r="G406" t="s">
        <v>626</v>
      </c>
      <c r="H406" t="s">
        <v>45</v>
      </c>
      <c r="I406" s="3">
        <v>10030</v>
      </c>
      <c r="J406" s="3">
        <v>1020090018</v>
      </c>
      <c r="K406" s="3">
        <v>1060064</v>
      </c>
      <c r="L406" t="s">
        <v>146</v>
      </c>
      <c r="M406" s="4">
        <v>9</v>
      </c>
      <c r="N406" t="s">
        <v>222</v>
      </c>
      <c r="O406" t="s">
        <v>177</v>
      </c>
      <c r="P406" s="4">
        <v>40.817878999999998</v>
      </c>
      <c r="Q406" s="4">
        <v>-73.939943999999997</v>
      </c>
      <c r="R406" s="4">
        <v>40.817946999999997</v>
      </c>
      <c r="S406" s="4">
        <v>-73.939571999999998</v>
      </c>
      <c r="T406" s="2">
        <v>44196</v>
      </c>
      <c r="U406" t="s">
        <v>49</v>
      </c>
      <c r="V406" t="s">
        <v>50</v>
      </c>
      <c r="W406" t="s">
        <v>51</v>
      </c>
      <c r="X406" s="4">
        <v>27</v>
      </c>
      <c r="Y406" s="4">
        <v>22</v>
      </c>
      <c r="Z406" s="4">
        <v>5</v>
      </c>
      <c r="AC406" s="4">
        <v>1</v>
      </c>
      <c r="AE406" s="4">
        <v>14</v>
      </c>
      <c r="AF406" s="4">
        <v>27</v>
      </c>
      <c r="AG406" s="4">
        <v>7</v>
      </c>
      <c r="AH406" s="4">
        <v>7</v>
      </c>
      <c r="AL406" s="4">
        <v>55</v>
      </c>
      <c r="AN406" s="4">
        <v>55</v>
      </c>
      <c r="AO406" s="4">
        <v>55</v>
      </c>
    </row>
    <row r="407" spans="1:41" hidden="1" x14ac:dyDescent="0.2">
      <c r="A407" t="s">
        <v>1059</v>
      </c>
      <c r="B407" t="s">
        <v>1060</v>
      </c>
      <c r="C407" s="2">
        <v>44196</v>
      </c>
      <c r="D407" s="2">
        <v>44196</v>
      </c>
      <c r="E407" s="3">
        <v>41405</v>
      </c>
      <c r="F407" t="s">
        <v>1061</v>
      </c>
      <c r="G407" t="s">
        <v>626</v>
      </c>
      <c r="H407" t="s">
        <v>45</v>
      </c>
      <c r="I407" s="3">
        <v>10030</v>
      </c>
      <c r="J407" s="3">
        <v>1020090012</v>
      </c>
      <c r="K407" s="3">
        <v>1060063</v>
      </c>
      <c r="L407" t="s">
        <v>146</v>
      </c>
      <c r="M407" s="4">
        <v>9</v>
      </c>
      <c r="N407" t="s">
        <v>222</v>
      </c>
      <c r="O407" t="s">
        <v>177</v>
      </c>
      <c r="P407" s="4">
        <v>40.817946999999997</v>
      </c>
      <c r="Q407" s="4">
        <v>-73.940112999999997</v>
      </c>
      <c r="R407" s="4">
        <v>40.818114999999999</v>
      </c>
      <c r="S407" s="4">
        <v>-73.939969000000005</v>
      </c>
      <c r="T407" s="2">
        <v>44196</v>
      </c>
      <c r="U407" t="s">
        <v>49</v>
      </c>
      <c r="V407" t="s">
        <v>50</v>
      </c>
      <c r="W407" t="s">
        <v>51</v>
      </c>
      <c r="X407" s="4">
        <v>4</v>
      </c>
      <c r="Y407" s="4">
        <v>48</v>
      </c>
      <c r="Z407" s="4">
        <v>2</v>
      </c>
      <c r="AC407" s="4">
        <v>1</v>
      </c>
      <c r="AE407" s="4">
        <v>21</v>
      </c>
      <c r="AF407" s="4">
        <v>20</v>
      </c>
      <c r="AG407" s="4">
        <v>7</v>
      </c>
      <c r="AH407" s="4">
        <v>7</v>
      </c>
      <c r="AL407" s="4">
        <v>55</v>
      </c>
      <c r="AN407" s="4">
        <v>55</v>
      </c>
      <c r="AO407" s="4">
        <v>55</v>
      </c>
    </row>
    <row r="408" spans="1:41" hidden="1" x14ac:dyDescent="0.2">
      <c r="A408" t="s">
        <v>1059</v>
      </c>
      <c r="B408" t="s">
        <v>1060</v>
      </c>
      <c r="C408" s="2">
        <v>44196</v>
      </c>
      <c r="D408" s="2">
        <v>44196</v>
      </c>
      <c r="E408" s="3">
        <v>41431</v>
      </c>
      <c r="F408" t="s">
        <v>420</v>
      </c>
      <c r="G408" t="s">
        <v>626</v>
      </c>
      <c r="H408" t="s">
        <v>45</v>
      </c>
      <c r="I408" s="3">
        <v>10030</v>
      </c>
      <c r="J408" s="3">
        <v>1020260014</v>
      </c>
      <c r="K408" s="3">
        <v>1060404</v>
      </c>
      <c r="L408" t="s">
        <v>146</v>
      </c>
      <c r="M408" s="4">
        <v>9</v>
      </c>
      <c r="N408" t="s">
        <v>222</v>
      </c>
      <c r="O408" t="s">
        <v>177</v>
      </c>
      <c r="P408" s="4">
        <v>40.818904000000003</v>
      </c>
      <c r="Q408" s="4">
        <v>-73.942389000000006</v>
      </c>
      <c r="R408" s="4">
        <v>40.819378999999998</v>
      </c>
      <c r="S408" s="4">
        <v>-73.942952000000005</v>
      </c>
      <c r="T408" s="2">
        <v>44196</v>
      </c>
      <c r="U408" t="s">
        <v>49</v>
      </c>
      <c r="V408" t="s">
        <v>50</v>
      </c>
      <c r="W408" t="s">
        <v>51</v>
      </c>
      <c r="X408" s="4">
        <v>3</v>
      </c>
      <c r="Y408" s="4">
        <v>16</v>
      </c>
      <c r="AC408" s="4">
        <v>1</v>
      </c>
      <c r="AE408" s="4">
        <v>3</v>
      </c>
      <c r="AF408" s="4">
        <v>13</v>
      </c>
      <c r="AG408" s="4">
        <v>4</v>
      </c>
      <c r="AL408" s="4">
        <v>20</v>
      </c>
      <c r="AN408" s="4">
        <v>20</v>
      </c>
      <c r="AO408" s="4">
        <v>20</v>
      </c>
    </row>
    <row r="409" spans="1:41" hidden="1" x14ac:dyDescent="0.2">
      <c r="A409" t="s">
        <v>1059</v>
      </c>
      <c r="B409" t="s">
        <v>1060</v>
      </c>
      <c r="C409" s="2">
        <v>44196</v>
      </c>
      <c r="D409" s="2">
        <v>44196</v>
      </c>
      <c r="E409" s="3">
        <v>41436</v>
      </c>
      <c r="F409" t="s">
        <v>1062</v>
      </c>
      <c r="G409" t="s">
        <v>626</v>
      </c>
      <c r="H409" t="s">
        <v>45</v>
      </c>
      <c r="I409" s="3">
        <v>10030</v>
      </c>
      <c r="J409" s="3">
        <v>1020260009</v>
      </c>
      <c r="K409" s="3">
        <v>1060401</v>
      </c>
      <c r="L409" t="s">
        <v>146</v>
      </c>
      <c r="M409" s="4">
        <v>9</v>
      </c>
      <c r="N409" t="s">
        <v>222</v>
      </c>
      <c r="O409" t="s">
        <v>177</v>
      </c>
      <c r="P409" s="4">
        <v>40.818953</v>
      </c>
      <c r="Q409" s="4">
        <v>-73.942508000000004</v>
      </c>
      <c r="R409" s="4">
        <v>40.819471999999998</v>
      </c>
      <c r="S409" s="4">
        <v>-73.943172000000004</v>
      </c>
      <c r="T409" s="2">
        <v>44196</v>
      </c>
      <c r="U409" t="s">
        <v>49</v>
      </c>
      <c r="V409" t="s">
        <v>50</v>
      </c>
      <c r="W409" t="s">
        <v>51</v>
      </c>
      <c r="X409" s="4">
        <v>12</v>
      </c>
      <c r="Y409" s="4">
        <v>16</v>
      </c>
      <c r="Z409" s="4">
        <v>2</v>
      </c>
      <c r="AC409" s="4">
        <v>1</v>
      </c>
      <c r="AE409" s="4">
        <v>6</v>
      </c>
      <c r="AF409" s="4">
        <v>17</v>
      </c>
      <c r="AG409" s="4">
        <v>8</v>
      </c>
      <c r="AL409" s="4">
        <v>31</v>
      </c>
      <c r="AN409" s="4">
        <v>31</v>
      </c>
      <c r="AO409" s="4">
        <v>31</v>
      </c>
    </row>
    <row r="410" spans="1:41" hidden="1" x14ac:dyDescent="0.2">
      <c r="A410" t="s">
        <v>1059</v>
      </c>
      <c r="B410" t="s">
        <v>1060</v>
      </c>
      <c r="C410" s="2">
        <v>44196</v>
      </c>
      <c r="D410" s="2">
        <v>44196</v>
      </c>
      <c r="E410" s="3">
        <v>41511</v>
      </c>
      <c r="F410" t="s">
        <v>309</v>
      </c>
      <c r="G410" t="s">
        <v>538</v>
      </c>
      <c r="H410" t="s">
        <v>45</v>
      </c>
      <c r="I410" s="3">
        <v>10030</v>
      </c>
      <c r="J410" s="3">
        <v>1020260053</v>
      </c>
      <c r="K410" s="3">
        <v>1060421</v>
      </c>
      <c r="L410" t="s">
        <v>146</v>
      </c>
      <c r="M410" s="4">
        <v>9</v>
      </c>
      <c r="N410" t="s">
        <v>222</v>
      </c>
      <c r="O410" t="s">
        <v>177</v>
      </c>
      <c r="P410" s="4">
        <v>40.819513000000001</v>
      </c>
      <c r="Q410" s="4">
        <v>-73.941940000000002</v>
      </c>
      <c r="R410" s="4">
        <v>40.819648000000001</v>
      </c>
      <c r="S410" s="4">
        <v>-73.942832999999993</v>
      </c>
      <c r="T410" s="2">
        <v>44196</v>
      </c>
      <c r="U410" t="s">
        <v>49</v>
      </c>
      <c r="V410" t="s">
        <v>50</v>
      </c>
      <c r="W410" t="s">
        <v>51</v>
      </c>
      <c r="X410" s="4">
        <v>2</v>
      </c>
      <c r="Y410" s="4">
        <v>6</v>
      </c>
      <c r="Z410" s="4">
        <v>4</v>
      </c>
      <c r="AA410" s="4">
        <v>1</v>
      </c>
      <c r="AE410" s="4">
        <v>3</v>
      </c>
      <c r="AF410" s="4">
        <v>10</v>
      </c>
      <c r="AL410" s="4">
        <v>13</v>
      </c>
      <c r="AN410" s="4">
        <v>13</v>
      </c>
      <c r="AO410" s="4">
        <v>13</v>
      </c>
    </row>
    <row r="411" spans="1:41" hidden="1" x14ac:dyDescent="0.2">
      <c r="A411" t="s">
        <v>1059</v>
      </c>
      <c r="B411" t="s">
        <v>1060</v>
      </c>
      <c r="C411" s="2">
        <v>44196</v>
      </c>
      <c r="D411" s="2">
        <v>44196</v>
      </c>
      <c r="E411" s="3">
        <v>41512</v>
      </c>
      <c r="F411" t="s">
        <v>322</v>
      </c>
      <c r="G411" t="s">
        <v>538</v>
      </c>
      <c r="H411" t="s">
        <v>45</v>
      </c>
      <c r="I411" s="3">
        <v>10030</v>
      </c>
      <c r="J411" s="3">
        <v>1020260054</v>
      </c>
      <c r="K411" s="3">
        <v>1060422</v>
      </c>
      <c r="L411" t="s">
        <v>146</v>
      </c>
      <c r="M411" s="4">
        <v>9</v>
      </c>
      <c r="N411" t="s">
        <v>222</v>
      </c>
      <c r="O411" t="s">
        <v>177</v>
      </c>
      <c r="P411" s="4">
        <v>40.819529000000003</v>
      </c>
      <c r="Q411" s="4">
        <v>-73.941980000000001</v>
      </c>
      <c r="R411" s="4">
        <v>40.819696999999998</v>
      </c>
      <c r="S411" s="4">
        <v>-73.942952000000005</v>
      </c>
      <c r="T411" s="2">
        <v>44196</v>
      </c>
      <c r="U411" t="s">
        <v>49</v>
      </c>
      <c r="V411" t="s">
        <v>50</v>
      </c>
      <c r="W411" t="s">
        <v>51</v>
      </c>
      <c r="X411" s="4">
        <v>3</v>
      </c>
      <c r="Y411" s="4">
        <v>7</v>
      </c>
      <c r="Z411" s="4">
        <v>2</v>
      </c>
      <c r="AC411" s="4">
        <v>1</v>
      </c>
      <c r="AE411" s="4">
        <v>5</v>
      </c>
      <c r="AF411" s="4">
        <v>8</v>
      </c>
      <c r="AL411" s="4">
        <v>13</v>
      </c>
      <c r="AN411" s="4">
        <v>13</v>
      </c>
      <c r="AO411" s="4">
        <v>13</v>
      </c>
    </row>
    <row r="412" spans="1:41" hidden="1" x14ac:dyDescent="0.2">
      <c r="A412" t="s">
        <v>1059</v>
      </c>
      <c r="B412" t="s">
        <v>1060</v>
      </c>
      <c r="C412" s="2">
        <v>44196</v>
      </c>
      <c r="D412" s="2">
        <v>44196</v>
      </c>
      <c r="E412" s="3">
        <v>41513</v>
      </c>
      <c r="F412" t="s">
        <v>222</v>
      </c>
      <c r="G412" t="s">
        <v>538</v>
      </c>
      <c r="H412" t="s">
        <v>45</v>
      </c>
      <c r="I412" s="3">
        <v>10030</v>
      </c>
      <c r="J412" s="3">
        <v>1020260056</v>
      </c>
      <c r="K412" s="3">
        <v>1060423</v>
      </c>
      <c r="L412" t="s">
        <v>146</v>
      </c>
      <c r="M412" s="4">
        <v>9</v>
      </c>
      <c r="N412" t="s">
        <v>222</v>
      </c>
      <c r="O412" t="s">
        <v>177</v>
      </c>
      <c r="P412" s="4">
        <v>40.819549000000002</v>
      </c>
      <c r="Q412" s="4">
        <v>-73.942019999999999</v>
      </c>
      <c r="R412" s="4">
        <v>40.819747</v>
      </c>
      <c r="S412" s="4">
        <v>-73.943066999999999</v>
      </c>
      <c r="T412" s="2">
        <v>44196</v>
      </c>
      <c r="U412" t="s">
        <v>49</v>
      </c>
      <c r="V412" t="s">
        <v>50</v>
      </c>
      <c r="W412" t="s">
        <v>51</v>
      </c>
      <c r="X412" s="4">
        <v>1</v>
      </c>
      <c r="Y412" s="4">
        <v>10</v>
      </c>
      <c r="Z412" s="4">
        <v>2</v>
      </c>
      <c r="AE412" s="4">
        <v>1</v>
      </c>
      <c r="AF412" s="4">
        <v>10</v>
      </c>
      <c r="AG412" s="4">
        <v>2</v>
      </c>
      <c r="AL412" s="4">
        <v>13</v>
      </c>
      <c r="AN412" s="4">
        <v>13</v>
      </c>
      <c r="AO412" s="4">
        <v>13</v>
      </c>
    </row>
    <row r="413" spans="1:41" hidden="1" x14ac:dyDescent="0.2">
      <c r="A413" t="s">
        <v>1063</v>
      </c>
      <c r="B413" t="s">
        <v>1064</v>
      </c>
      <c r="C413" s="2">
        <v>44195</v>
      </c>
      <c r="E413" s="3">
        <v>5607</v>
      </c>
      <c r="F413" t="s">
        <v>788</v>
      </c>
      <c r="G413" t="s">
        <v>87</v>
      </c>
      <c r="H413" t="s">
        <v>45</v>
      </c>
      <c r="I413" s="3">
        <v>10031</v>
      </c>
      <c r="J413" s="3">
        <v>1020720036</v>
      </c>
      <c r="K413" s="3">
        <v>1061769</v>
      </c>
      <c r="L413" t="s">
        <v>169</v>
      </c>
      <c r="M413" s="4">
        <v>7</v>
      </c>
      <c r="N413" t="s">
        <v>231</v>
      </c>
      <c r="O413" t="s">
        <v>232</v>
      </c>
      <c r="P413" s="4">
        <v>40.822598999999997</v>
      </c>
      <c r="Q413" s="4">
        <v>-73.949543000000006</v>
      </c>
      <c r="R413" s="4">
        <v>40.822727999999998</v>
      </c>
      <c r="S413" s="4">
        <v>-73.949847000000005</v>
      </c>
      <c r="U413" t="s">
        <v>49</v>
      </c>
      <c r="V413" t="s">
        <v>71</v>
      </c>
      <c r="W413" t="s">
        <v>51</v>
      </c>
      <c r="X413" s="4">
        <v>4</v>
      </c>
      <c r="Y413" s="4">
        <v>5</v>
      </c>
      <c r="AG413" s="4">
        <v>9</v>
      </c>
      <c r="AL413" s="4">
        <v>9</v>
      </c>
      <c r="AN413" s="4">
        <v>9</v>
      </c>
      <c r="AO413" s="4">
        <v>9</v>
      </c>
    </row>
    <row r="414" spans="1:41" hidden="1" x14ac:dyDescent="0.2">
      <c r="A414" t="s">
        <v>1063</v>
      </c>
      <c r="B414" t="s">
        <v>1064</v>
      </c>
      <c r="C414" s="2">
        <v>44195</v>
      </c>
      <c r="E414" s="3">
        <v>22537</v>
      </c>
      <c r="F414" t="s">
        <v>1065</v>
      </c>
      <c r="G414" t="s">
        <v>624</v>
      </c>
      <c r="H414" t="s">
        <v>45</v>
      </c>
      <c r="I414" s="3">
        <v>10031</v>
      </c>
      <c r="J414" s="3">
        <v>1020730025</v>
      </c>
      <c r="K414" s="3">
        <v>1061793</v>
      </c>
      <c r="L414" t="s">
        <v>169</v>
      </c>
      <c r="M414" s="4">
        <v>7</v>
      </c>
      <c r="N414" t="s">
        <v>231</v>
      </c>
      <c r="O414" t="s">
        <v>232</v>
      </c>
      <c r="P414" s="4">
        <v>40.823225000000001</v>
      </c>
      <c r="Q414" s="4">
        <v>-73.950305</v>
      </c>
      <c r="R414" s="4">
        <v>40.823197</v>
      </c>
      <c r="S414" s="4">
        <v>-73.949915000000004</v>
      </c>
      <c r="U414" t="s">
        <v>49</v>
      </c>
      <c r="V414" t="s">
        <v>71</v>
      </c>
      <c r="W414" t="s">
        <v>51</v>
      </c>
      <c r="X414" s="4">
        <v>3</v>
      </c>
      <c r="Y414" s="4">
        <v>13</v>
      </c>
      <c r="Z414" s="4">
        <v>6</v>
      </c>
      <c r="AC414" s="4">
        <v>1</v>
      </c>
      <c r="AE414" s="4">
        <v>6</v>
      </c>
      <c r="AF414" s="4">
        <v>5</v>
      </c>
      <c r="AG414" s="4">
        <v>11</v>
      </c>
      <c r="AH414" s="4">
        <v>1</v>
      </c>
      <c r="AL414" s="4">
        <v>23</v>
      </c>
      <c r="AN414" s="4">
        <v>23</v>
      </c>
      <c r="AO414" s="4">
        <v>23</v>
      </c>
    </row>
    <row r="415" spans="1:41" hidden="1" x14ac:dyDescent="0.2">
      <c r="A415" t="s">
        <v>1066</v>
      </c>
      <c r="B415" t="s">
        <v>1067</v>
      </c>
      <c r="C415" s="2">
        <v>44188</v>
      </c>
      <c r="D415" s="2">
        <v>45356</v>
      </c>
      <c r="E415" s="3">
        <v>994593</v>
      </c>
      <c r="F415" t="s">
        <v>1068</v>
      </c>
      <c r="G415" t="s">
        <v>1069</v>
      </c>
      <c r="H415" t="s">
        <v>45</v>
      </c>
      <c r="I415" s="3">
        <v>10002</v>
      </c>
      <c r="J415" s="3">
        <v>1003467505</v>
      </c>
      <c r="K415" s="3">
        <v>1091600</v>
      </c>
      <c r="L415" t="s">
        <v>64</v>
      </c>
      <c r="M415" s="4">
        <v>1</v>
      </c>
      <c r="N415" t="s">
        <v>122</v>
      </c>
      <c r="O415" t="s">
        <v>66</v>
      </c>
      <c r="P415" s="4">
        <v>40.716949999999997</v>
      </c>
      <c r="Q415" s="4">
        <v>-73.987157999999994</v>
      </c>
      <c r="R415" s="4">
        <v>40.716952999999997</v>
      </c>
      <c r="S415" s="4">
        <v>-73.987497000000005</v>
      </c>
      <c r="T415" s="2">
        <v>45356</v>
      </c>
      <c r="U415" t="s">
        <v>117</v>
      </c>
      <c r="V415" t="s">
        <v>71</v>
      </c>
      <c r="W415" t="s">
        <v>51</v>
      </c>
      <c r="Y415" s="4">
        <v>74</v>
      </c>
      <c r="AA415" s="4">
        <v>21</v>
      </c>
      <c r="AD415" s="4">
        <v>32</v>
      </c>
      <c r="AE415" s="4">
        <v>42</v>
      </c>
      <c r="AF415" s="4">
        <v>20</v>
      </c>
      <c r="AG415" s="4">
        <v>1</v>
      </c>
      <c r="AL415" s="4">
        <v>95</v>
      </c>
      <c r="AN415" s="4">
        <v>95</v>
      </c>
      <c r="AO415" s="4">
        <v>378</v>
      </c>
    </row>
    <row r="416" spans="1:41" hidden="1" x14ac:dyDescent="0.2">
      <c r="A416" t="s">
        <v>1070</v>
      </c>
      <c r="B416" t="s">
        <v>1071</v>
      </c>
      <c r="C416" s="2">
        <v>44168</v>
      </c>
      <c r="E416" s="3">
        <v>838871</v>
      </c>
      <c r="F416" t="s">
        <v>1072</v>
      </c>
      <c r="G416" t="s">
        <v>345</v>
      </c>
      <c r="H416" t="s">
        <v>45</v>
      </c>
      <c r="I416" s="3">
        <v>10030</v>
      </c>
      <c r="J416" s="3">
        <v>1020510025</v>
      </c>
      <c r="K416" s="3">
        <v>1087444</v>
      </c>
      <c r="L416" t="s">
        <v>169</v>
      </c>
      <c r="M416" s="4">
        <v>9</v>
      </c>
      <c r="N416" t="s">
        <v>420</v>
      </c>
      <c r="O416" t="s">
        <v>232</v>
      </c>
      <c r="P416" s="4">
        <v>40.822322</v>
      </c>
      <c r="Q416" s="4">
        <v>-73.945561999999995</v>
      </c>
      <c r="R416" s="4">
        <v>40.821955000000003</v>
      </c>
      <c r="S416" s="4">
        <v>-73.945374000000001</v>
      </c>
      <c r="U416" t="s">
        <v>49</v>
      </c>
      <c r="V416" t="s">
        <v>50</v>
      </c>
      <c r="W416" t="s">
        <v>51</v>
      </c>
      <c r="X416" s="4">
        <v>74</v>
      </c>
      <c r="Y416" s="4">
        <v>18</v>
      </c>
      <c r="Z416" s="4">
        <v>2</v>
      </c>
      <c r="AD416" s="4">
        <v>94</v>
      </c>
      <c r="AL416" s="4">
        <v>94</v>
      </c>
      <c r="AN416" s="4">
        <v>94</v>
      </c>
      <c r="AO416" s="4">
        <v>94</v>
      </c>
    </row>
    <row r="417" spans="1:41" hidden="1" x14ac:dyDescent="0.2">
      <c r="A417" t="s">
        <v>1073</v>
      </c>
      <c r="B417" t="s">
        <v>1074</v>
      </c>
      <c r="C417" s="2">
        <v>44162</v>
      </c>
      <c r="D417" s="2">
        <v>44428</v>
      </c>
      <c r="E417" s="3">
        <v>33719</v>
      </c>
      <c r="F417" t="s">
        <v>814</v>
      </c>
      <c r="G417" t="s">
        <v>1075</v>
      </c>
      <c r="H417" t="s">
        <v>45</v>
      </c>
      <c r="I417" s="3">
        <v>10019</v>
      </c>
      <c r="J417" s="3">
        <v>1010390040</v>
      </c>
      <c r="K417" s="3">
        <v>1025146</v>
      </c>
      <c r="L417" t="s">
        <v>78</v>
      </c>
      <c r="M417" s="4">
        <v>3</v>
      </c>
      <c r="N417" t="s">
        <v>56</v>
      </c>
      <c r="O417" t="s">
        <v>80</v>
      </c>
      <c r="P417" s="4">
        <v>40.761923000000003</v>
      </c>
      <c r="Q417" s="4">
        <v>-73.987202999999994</v>
      </c>
      <c r="R417" s="4">
        <v>40.761791000000002</v>
      </c>
      <c r="S417" s="4">
        <v>-73.987452000000005</v>
      </c>
      <c r="T417" s="2">
        <v>44428</v>
      </c>
      <c r="U417" t="s">
        <v>49</v>
      </c>
      <c r="V417" t="s">
        <v>71</v>
      </c>
      <c r="W417" t="s">
        <v>51</v>
      </c>
      <c r="Y417" s="4">
        <v>6</v>
      </c>
      <c r="Z417" s="4">
        <v>1</v>
      </c>
      <c r="AA417" s="4">
        <v>3</v>
      </c>
      <c r="AB417" s="4">
        <v>5</v>
      </c>
      <c r="AE417" s="4">
        <v>8</v>
      </c>
      <c r="AF417" s="4">
        <v>6</v>
      </c>
      <c r="AG417" s="4">
        <v>1</v>
      </c>
      <c r="AL417" s="4">
        <v>15</v>
      </c>
      <c r="AN417" s="4">
        <v>15</v>
      </c>
      <c r="AO417" s="4">
        <v>20</v>
      </c>
    </row>
    <row r="418" spans="1:41" hidden="1" x14ac:dyDescent="0.2">
      <c r="A418" t="s">
        <v>1073</v>
      </c>
      <c r="B418" t="s">
        <v>1074</v>
      </c>
      <c r="C418" s="2">
        <v>44162</v>
      </c>
      <c r="D418" s="2">
        <v>44428</v>
      </c>
      <c r="E418" s="3">
        <v>33720</v>
      </c>
      <c r="F418" t="s">
        <v>1058</v>
      </c>
      <c r="G418" t="s">
        <v>1075</v>
      </c>
      <c r="H418" t="s">
        <v>45</v>
      </c>
      <c r="I418" s="3">
        <v>10019</v>
      </c>
      <c r="J418" s="3">
        <v>1010390041</v>
      </c>
      <c r="K418" s="3">
        <v>1025147</v>
      </c>
      <c r="L418" t="s">
        <v>78</v>
      </c>
      <c r="M418" s="4">
        <v>3</v>
      </c>
      <c r="N418" t="s">
        <v>56</v>
      </c>
      <c r="O418" t="s">
        <v>80</v>
      </c>
      <c r="P418" s="4">
        <v>40.761951000000003</v>
      </c>
      <c r="Q418" s="4">
        <v>-73.987274999999997</v>
      </c>
      <c r="R418" s="4">
        <v>40.761823999999997</v>
      </c>
      <c r="S418" s="4">
        <v>-73.987532000000002</v>
      </c>
      <c r="T418" s="2">
        <v>44428</v>
      </c>
      <c r="U418" t="s">
        <v>49</v>
      </c>
      <c r="V418" t="s">
        <v>71</v>
      </c>
      <c r="W418" t="s">
        <v>51</v>
      </c>
      <c r="Y418" s="4">
        <v>7</v>
      </c>
      <c r="Z418" s="4">
        <v>1</v>
      </c>
      <c r="AA418" s="4">
        <v>1</v>
      </c>
      <c r="AB418" s="4">
        <v>5</v>
      </c>
      <c r="AE418" s="4">
        <v>3</v>
      </c>
      <c r="AF418" s="4">
        <v>10</v>
      </c>
      <c r="AG418" s="4">
        <v>1</v>
      </c>
      <c r="AL418" s="4">
        <v>14</v>
      </c>
      <c r="AN418" s="4">
        <v>14</v>
      </c>
      <c r="AO418" s="4">
        <v>20</v>
      </c>
    </row>
    <row r="419" spans="1:41" hidden="1" x14ac:dyDescent="0.2">
      <c r="A419" t="s">
        <v>1073</v>
      </c>
      <c r="B419" t="s">
        <v>1074</v>
      </c>
      <c r="C419" s="2">
        <v>44162</v>
      </c>
      <c r="D419" s="2">
        <v>44428</v>
      </c>
      <c r="E419" s="3">
        <v>33722</v>
      </c>
      <c r="F419" t="s">
        <v>1076</v>
      </c>
      <c r="G419" t="s">
        <v>1075</v>
      </c>
      <c r="H419" t="s">
        <v>45</v>
      </c>
      <c r="I419" s="3">
        <v>10019</v>
      </c>
      <c r="J419" s="3">
        <v>1010390045</v>
      </c>
      <c r="K419" s="3">
        <v>1025149</v>
      </c>
      <c r="L419" t="s">
        <v>78</v>
      </c>
      <c r="M419" s="4">
        <v>3</v>
      </c>
      <c r="N419" t="s">
        <v>56</v>
      </c>
      <c r="O419" t="s">
        <v>80</v>
      </c>
      <c r="P419" s="4">
        <v>40.762068999999997</v>
      </c>
      <c r="Q419" s="4">
        <v>-73.987553000000005</v>
      </c>
      <c r="R419" s="4">
        <v>40.761955999999998</v>
      </c>
      <c r="S419" s="4">
        <v>-73.987848999999997</v>
      </c>
      <c r="T419" s="2">
        <v>44428</v>
      </c>
      <c r="U419" t="s">
        <v>49</v>
      </c>
      <c r="V419" t="s">
        <v>71</v>
      </c>
      <c r="W419" t="s">
        <v>51</v>
      </c>
      <c r="X419" s="4">
        <v>2</v>
      </c>
      <c r="Y419" s="4">
        <v>2</v>
      </c>
      <c r="Z419" s="4">
        <v>1</v>
      </c>
      <c r="AA419" s="4">
        <v>1</v>
      </c>
      <c r="AB419" s="4">
        <v>10</v>
      </c>
      <c r="AE419" s="4">
        <v>7</v>
      </c>
      <c r="AF419" s="4">
        <v>9</v>
      </c>
      <c r="AL419" s="4">
        <v>16</v>
      </c>
      <c r="AN419" s="4">
        <v>16</v>
      </c>
      <c r="AO419" s="4">
        <v>20</v>
      </c>
    </row>
    <row r="420" spans="1:41" hidden="1" x14ac:dyDescent="0.2">
      <c r="A420" t="s">
        <v>1073</v>
      </c>
      <c r="B420" t="s">
        <v>1074</v>
      </c>
      <c r="C420" s="2">
        <v>44162</v>
      </c>
      <c r="D420" s="2">
        <v>44428</v>
      </c>
      <c r="E420" s="3">
        <v>33723</v>
      </c>
      <c r="F420" t="s">
        <v>887</v>
      </c>
      <c r="G420" t="s">
        <v>1075</v>
      </c>
      <c r="H420" t="s">
        <v>45</v>
      </c>
      <c r="I420" s="3">
        <v>10019</v>
      </c>
      <c r="J420" s="3">
        <v>1010390046</v>
      </c>
      <c r="K420" s="3">
        <v>1025150</v>
      </c>
      <c r="L420" t="s">
        <v>78</v>
      </c>
      <c r="M420" s="4">
        <v>3</v>
      </c>
      <c r="N420" t="s">
        <v>56</v>
      </c>
      <c r="O420" t="s">
        <v>80</v>
      </c>
      <c r="P420" s="4">
        <v>40.762098999999999</v>
      </c>
      <c r="Q420" s="4">
        <v>-73.987626000000006</v>
      </c>
      <c r="R420" s="4">
        <v>40.761991999999999</v>
      </c>
      <c r="S420" s="4">
        <v>-73.987932000000001</v>
      </c>
      <c r="T420" s="2">
        <v>44428</v>
      </c>
      <c r="U420" t="s">
        <v>49</v>
      </c>
      <c r="V420" t="s">
        <v>71</v>
      </c>
      <c r="W420" t="s">
        <v>51</v>
      </c>
      <c r="Y420" s="4">
        <v>1</v>
      </c>
      <c r="AA420" s="4">
        <v>2</v>
      </c>
      <c r="AB420" s="4">
        <v>9</v>
      </c>
      <c r="AC420" s="4">
        <v>1</v>
      </c>
      <c r="AE420" s="4">
        <v>4</v>
      </c>
      <c r="AF420" s="4">
        <v>9</v>
      </c>
      <c r="AL420" s="4">
        <v>13</v>
      </c>
      <c r="AN420" s="4">
        <v>13</v>
      </c>
      <c r="AO420" s="4">
        <v>21</v>
      </c>
    </row>
    <row r="421" spans="1:41" hidden="1" x14ac:dyDescent="0.2">
      <c r="A421" t="s">
        <v>1073</v>
      </c>
      <c r="B421" t="s">
        <v>1074</v>
      </c>
      <c r="C421" s="2">
        <v>44162</v>
      </c>
      <c r="D421" s="2">
        <v>44428</v>
      </c>
      <c r="E421" s="3">
        <v>33724</v>
      </c>
      <c r="F421" t="s">
        <v>1077</v>
      </c>
      <c r="G421" t="s">
        <v>1075</v>
      </c>
      <c r="H421" t="s">
        <v>45</v>
      </c>
      <c r="I421" s="3">
        <v>10019</v>
      </c>
      <c r="J421" s="3">
        <v>1010390047</v>
      </c>
      <c r="K421" s="3">
        <v>1025151</v>
      </c>
      <c r="L421" t="s">
        <v>78</v>
      </c>
      <c r="M421" s="4">
        <v>3</v>
      </c>
      <c r="N421" t="s">
        <v>56</v>
      </c>
      <c r="O421" t="s">
        <v>80</v>
      </c>
      <c r="P421" s="4">
        <v>40.762129000000002</v>
      </c>
      <c r="Q421" s="4">
        <v>-73.987694000000005</v>
      </c>
      <c r="R421" s="4">
        <v>40.762025000000001</v>
      </c>
      <c r="S421" s="4">
        <v>-73.988007999999994</v>
      </c>
      <c r="T421" s="2">
        <v>44428</v>
      </c>
      <c r="U421" t="s">
        <v>49</v>
      </c>
      <c r="V421" t="s">
        <v>71</v>
      </c>
      <c r="W421" t="s">
        <v>51</v>
      </c>
      <c r="X421" s="4">
        <v>3</v>
      </c>
      <c r="Y421" s="4">
        <v>1</v>
      </c>
      <c r="AA421" s="4">
        <v>3</v>
      </c>
      <c r="AB421" s="4">
        <v>8</v>
      </c>
      <c r="AE421" s="4">
        <v>6</v>
      </c>
      <c r="AF421" s="4">
        <v>9</v>
      </c>
      <c r="AL421" s="4">
        <v>15</v>
      </c>
      <c r="AN421" s="4">
        <v>15</v>
      </c>
      <c r="AO421" s="4">
        <v>17</v>
      </c>
    </row>
    <row r="422" spans="1:41" hidden="1" x14ac:dyDescent="0.2">
      <c r="A422" t="s">
        <v>1073</v>
      </c>
      <c r="B422" t="s">
        <v>1074</v>
      </c>
      <c r="C422" s="2">
        <v>44162</v>
      </c>
      <c r="D422" s="2">
        <v>44428</v>
      </c>
      <c r="E422" s="3">
        <v>33726</v>
      </c>
      <c r="F422" t="s">
        <v>1078</v>
      </c>
      <c r="G422" t="s">
        <v>1075</v>
      </c>
      <c r="H422" t="s">
        <v>45</v>
      </c>
      <c r="I422" s="3">
        <v>10019</v>
      </c>
      <c r="J422" s="3">
        <v>1010390048</v>
      </c>
      <c r="K422" s="3">
        <v>1025152</v>
      </c>
      <c r="L422" t="s">
        <v>78</v>
      </c>
      <c r="M422" s="4">
        <v>3</v>
      </c>
      <c r="N422" t="s">
        <v>56</v>
      </c>
      <c r="O422" t="s">
        <v>80</v>
      </c>
      <c r="P422" s="4">
        <v>40.762158999999997</v>
      </c>
      <c r="Q422" s="4">
        <v>-73.987763000000001</v>
      </c>
      <c r="R422" s="4">
        <v>40.762058000000003</v>
      </c>
      <c r="S422" s="4">
        <v>-73.988084000000001</v>
      </c>
      <c r="T422" s="2">
        <v>44428</v>
      </c>
      <c r="U422" t="s">
        <v>49</v>
      </c>
      <c r="V422" t="s">
        <v>71</v>
      </c>
      <c r="W422" t="s">
        <v>51</v>
      </c>
      <c r="X422" s="4">
        <v>1</v>
      </c>
      <c r="Y422" s="4">
        <v>3</v>
      </c>
      <c r="AA422" s="4">
        <v>2</v>
      </c>
      <c r="AB422" s="4">
        <v>10</v>
      </c>
      <c r="AE422" s="4">
        <v>9</v>
      </c>
      <c r="AF422" s="4">
        <v>7</v>
      </c>
      <c r="AL422" s="4">
        <v>16</v>
      </c>
      <c r="AN422" s="4">
        <v>16</v>
      </c>
      <c r="AO422" s="4">
        <v>18</v>
      </c>
    </row>
    <row r="423" spans="1:41" hidden="1" x14ac:dyDescent="0.2">
      <c r="A423" t="s">
        <v>1073</v>
      </c>
      <c r="B423" t="s">
        <v>1074</v>
      </c>
      <c r="C423" s="2">
        <v>44162</v>
      </c>
      <c r="D423" s="2">
        <v>44428</v>
      </c>
      <c r="E423" s="3">
        <v>33727</v>
      </c>
      <c r="F423" t="s">
        <v>1079</v>
      </c>
      <c r="G423" t="s">
        <v>1075</v>
      </c>
      <c r="H423" t="s">
        <v>45</v>
      </c>
      <c r="I423" s="3">
        <v>10019</v>
      </c>
      <c r="J423" s="3">
        <v>1010390049</v>
      </c>
      <c r="K423" s="3">
        <v>1025153</v>
      </c>
      <c r="L423" t="s">
        <v>78</v>
      </c>
      <c r="M423" s="4">
        <v>3</v>
      </c>
      <c r="N423" t="s">
        <v>56</v>
      </c>
      <c r="O423" t="s">
        <v>80</v>
      </c>
      <c r="P423" s="4">
        <v>40.762186999999997</v>
      </c>
      <c r="Q423" s="4">
        <v>-73.987835000000004</v>
      </c>
      <c r="R423" s="4">
        <v>40.762090999999998</v>
      </c>
      <c r="S423" s="4">
        <v>-73.988163</v>
      </c>
      <c r="T423" s="2">
        <v>44428</v>
      </c>
      <c r="U423" t="s">
        <v>49</v>
      </c>
      <c r="V423" t="s">
        <v>71</v>
      </c>
      <c r="W423" t="s">
        <v>51</v>
      </c>
      <c r="Y423" s="4">
        <v>2</v>
      </c>
      <c r="AA423" s="4">
        <v>4</v>
      </c>
      <c r="AB423" s="4">
        <v>9</v>
      </c>
      <c r="AE423" s="4">
        <v>3</v>
      </c>
      <c r="AF423" s="4">
        <v>11</v>
      </c>
      <c r="AG423" s="4">
        <v>1</v>
      </c>
      <c r="AL423" s="4">
        <v>15</v>
      </c>
      <c r="AN423" s="4">
        <v>15</v>
      </c>
      <c r="AO423" s="4">
        <v>20</v>
      </c>
    </row>
    <row r="424" spans="1:41" hidden="1" x14ac:dyDescent="0.2">
      <c r="A424" t="s">
        <v>1073</v>
      </c>
      <c r="B424" t="s">
        <v>1074</v>
      </c>
      <c r="C424" s="2">
        <v>44162</v>
      </c>
      <c r="D424" s="2">
        <v>44428</v>
      </c>
      <c r="E424" s="3">
        <v>33728</v>
      </c>
      <c r="F424" t="s">
        <v>1080</v>
      </c>
      <c r="G424" t="s">
        <v>1075</v>
      </c>
      <c r="H424" t="s">
        <v>45</v>
      </c>
      <c r="I424" s="3">
        <v>10019</v>
      </c>
      <c r="J424" s="3">
        <v>1010390050</v>
      </c>
      <c r="K424" s="3">
        <v>1025154</v>
      </c>
      <c r="L424" t="s">
        <v>78</v>
      </c>
      <c r="M424" s="4">
        <v>3</v>
      </c>
      <c r="N424" t="s">
        <v>56</v>
      </c>
      <c r="O424" t="s">
        <v>80</v>
      </c>
      <c r="P424" s="4">
        <v>40.762217</v>
      </c>
      <c r="Q424" s="4">
        <v>-73.987903000000003</v>
      </c>
      <c r="R424" s="4">
        <v>40.762124</v>
      </c>
      <c r="S424" s="4">
        <v>-73.988242999999997</v>
      </c>
      <c r="T424" s="2">
        <v>44428</v>
      </c>
      <c r="U424" t="s">
        <v>49</v>
      </c>
      <c r="V424" t="s">
        <v>71</v>
      </c>
      <c r="W424" t="s">
        <v>51</v>
      </c>
      <c r="X424" s="4">
        <v>1</v>
      </c>
      <c r="Y424" s="4">
        <v>3</v>
      </c>
      <c r="Z424" s="4">
        <v>2</v>
      </c>
      <c r="AA424" s="4">
        <v>2</v>
      </c>
      <c r="AB424" s="4">
        <v>4</v>
      </c>
      <c r="AE424" s="4">
        <v>3</v>
      </c>
      <c r="AF424" s="4">
        <v>9</v>
      </c>
      <c r="AL424" s="4">
        <v>12</v>
      </c>
      <c r="AN424" s="4">
        <v>12</v>
      </c>
      <c r="AO424" s="4">
        <v>20</v>
      </c>
    </row>
    <row r="425" spans="1:41" hidden="1" x14ac:dyDescent="0.2">
      <c r="A425" t="s">
        <v>1073</v>
      </c>
      <c r="B425" t="s">
        <v>1074</v>
      </c>
      <c r="C425" s="2">
        <v>44162</v>
      </c>
      <c r="D425" s="2">
        <v>44428</v>
      </c>
      <c r="E425" s="3">
        <v>33729</v>
      </c>
      <c r="F425" t="s">
        <v>1081</v>
      </c>
      <c r="G425" t="s">
        <v>1075</v>
      </c>
      <c r="H425" t="s">
        <v>45</v>
      </c>
      <c r="I425" s="3">
        <v>10019</v>
      </c>
      <c r="J425" s="3">
        <v>1010390051</v>
      </c>
      <c r="K425" s="3">
        <v>1025155</v>
      </c>
      <c r="L425" t="s">
        <v>78</v>
      </c>
      <c r="M425" s="4">
        <v>3</v>
      </c>
      <c r="N425" t="s">
        <v>56</v>
      </c>
      <c r="O425" t="s">
        <v>80</v>
      </c>
      <c r="P425" s="4">
        <v>40.762247000000002</v>
      </c>
      <c r="Q425" s="4">
        <v>-73.987971999999999</v>
      </c>
      <c r="R425" s="4">
        <v>40.762157000000002</v>
      </c>
      <c r="S425" s="4">
        <v>-73.988321999999997</v>
      </c>
      <c r="T425" s="2">
        <v>44428</v>
      </c>
      <c r="U425" t="s">
        <v>49</v>
      </c>
      <c r="V425" t="s">
        <v>71</v>
      </c>
      <c r="W425" t="s">
        <v>51</v>
      </c>
      <c r="X425" s="4">
        <v>1</v>
      </c>
      <c r="Y425" s="4">
        <v>3</v>
      </c>
      <c r="Z425" s="4">
        <v>2</v>
      </c>
      <c r="AA425" s="4">
        <v>4</v>
      </c>
      <c r="AB425" s="4">
        <v>5</v>
      </c>
      <c r="AE425" s="4">
        <v>7</v>
      </c>
      <c r="AF425" s="4">
        <v>8</v>
      </c>
      <c r="AL425" s="4">
        <v>15</v>
      </c>
      <c r="AN425" s="4">
        <v>15</v>
      </c>
      <c r="AO425" s="4">
        <v>20</v>
      </c>
    </row>
    <row r="426" spans="1:41" hidden="1" x14ac:dyDescent="0.2">
      <c r="A426" t="s">
        <v>1073</v>
      </c>
      <c r="B426" t="s">
        <v>1074</v>
      </c>
      <c r="C426" s="2">
        <v>44162</v>
      </c>
      <c r="D426" s="2">
        <v>44428</v>
      </c>
      <c r="E426" s="3">
        <v>33730</v>
      </c>
      <c r="F426" t="s">
        <v>1082</v>
      </c>
      <c r="G426" t="s">
        <v>1075</v>
      </c>
      <c r="H426" t="s">
        <v>45</v>
      </c>
      <c r="I426" s="3">
        <v>10019</v>
      </c>
      <c r="J426" s="3">
        <v>1010390052</v>
      </c>
      <c r="K426" s="3">
        <v>1025156</v>
      </c>
      <c r="L426" t="s">
        <v>78</v>
      </c>
      <c r="M426" s="4">
        <v>3</v>
      </c>
      <c r="N426" t="s">
        <v>56</v>
      </c>
      <c r="O426" t="s">
        <v>80</v>
      </c>
      <c r="P426" s="4">
        <v>40.762276999999997</v>
      </c>
      <c r="Q426" s="4">
        <v>-73.988044000000002</v>
      </c>
      <c r="R426" s="4">
        <v>40.762188999999999</v>
      </c>
      <c r="S426" s="4">
        <v>-73.988398000000004</v>
      </c>
      <c r="T426" s="2">
        <v>44428</v>
      </c>
      <c r="U426" t="s">
        <v>49</v>
      </c>
      <c r="V426" t="s">
        <v>71</v>
      </c>
      <c r="W426" t="s">
        <v>51</v>
      </c>
      <c r="X426" s="4">
        <v>1</v>
      </c>
      <c r="Y426" s="4">
        <v>2</v>
      </c>
      <c r="Z426" s="4">
        <v>2</v>
      </c>
      <c r="AA426" s="4">
        <v>4</v>
      </c>
      <c r="AB426" s="4">
        <v>7</v>
      </c>
      <c r="AE426" s="4">
        <v>7</v>
      </c>
      <c r="AF426" s="4">
        <v>9</v>
      </c>
      <c r="AL426" s="4">
        <v>16</v>
      </c>
      <c r="AN426" s="4">
        <v>16</v>
      </c>
      <c r="AO426" s="4">
        <v>20</v>
      </c>
    </row>
    <row r="427" spans="1:41" hidden="1" x14ac:dyDescent="0.2">
      <c r="A427" t="s">
        <v>1073</v>
      </c>
      <c r="B427" t="s">
        <v>1074</v>
      </c>
      <c r="C427" s="2">
        <v>44162</v>
      </c>
      <c r="D427" s="2">
        <v>44428</v>
      </c>
      <c r="E427" s="3">
        <v>33731</v>
      </c>
      <c r="F427" t="s">
        <v>1083</v>
      </c>
      <c r="G427" t="s">
        <v>1075</v>
      </c>
      <c r="H427" t="s">
        <v>45</v>
      </c>
      <c r="I427" s="3">
        <v>10019</v>
      </c>
      <c r="J427" s="3">
        <v>1010390053</v>
      </c>
      <c r="K427" s="3">
        <v>1025157</v>
      </c>
      <c r="L427" t="s">
        <v>78</v>
      </c>
      <c r="M427" s="4">
        <v>3</v>
      </c>
      <c r="N427" t="s">
        <v>56</v>
      </c>
      <c r="O427" t="s">
        <v>80</v>
      </c>
      <c r="P427" s="4">
        <v>40.762304999999998</v>
      </c>
      <c r="Q427" s="4">
        <v>-73.988112999999998</v>
      </c>
      <c r="R427" s="4">
        <v>40.762222000000001</v>
      </c>
      <c r="S427" s="4">
        <v>-73.988477000000003</v>
      </c>
      <c r="T427" s="2">
        <v>44428</v>
      </c>
      <c r="U427" t="s">
        <v>49</v>
      </c>
      <c r="V427" t="s">
        <v>71</v>
      </c>
      <c r="W427" t="s">
        <v>51</v>
      </c>
      <c r="Y427" s="4">
        <v>2</v>
      </c>
      <c r="Z427" s="4">
        <v>4</v>
      </c>
      <c r="AA427" s="4">
        <v>3</v>
      </c>
      <c r="AB427" s="4">
        <v>2</v>
      </c>
      <c r="AE427" s="4">
        <v>7</v>
      </c>
      <c r="AF427" s="4">
        <v>4</v>
      </c>
      <c r="AL427" s="4">
        <v>11</v>
      </c>
      <c r="AN427" s="4">
        <v>11</v>
      </c>
      <c r="AO427" s="4">
        <v>20</v>
      </c>
    </row>
    <row r="428" spans="1:41" hidden="1" x14ac:dyDescent="0.2">
      <c r="A428" t="s">
        <v>1073</v>
      </c>
      <c r="B428" t="s">
        <v>1074</v>
      </c>
      <c r="C428" s="2">
        <v>44162</v>
      </c>
      <c r="D428" s="2">
        <v>44428</v>
      </c>
      <c r="E428" s="3">
        <v>33732</v>
      </c>
      <c r="F428" t="s">
        <v>638</v>
      </c>
      <c r="G428" t="s">
        <v>1075</v>
      </c>
      <c r="H428" t="s">
        <v>45</v>
      </c>
      <c r="I428" s="3">
        <v>10019</v>
      </c>
      <c r="J428" s="3">
        <v>1010390054</v>
      </c>
      <c r="K428" s="3">
        <v>1025158</v>
      </c>
      <c r="L428" t="s">
        <v>78</v>
      </c>
      <c r="M428" s="4">
        <v>3</v>
      </c>
      <c r="N428" t="s">
        <v>56</v>
      </c>
      <c r="O428" t="s">
        <v>80</v>
      </c>
      <c r="P428" s="4">
        <v>40.762335</v>
      </c>
      <c r="Q428" s="4">
        <v>-73.988180999999997</v>
      </c>
      <c r="R428" s="4">
        <v>40.762255000000003</v>
      </c>
      <c r="S428" s="4">
        <v>-73.988557</v>
      </c>
      <c r="T428" s="2">
        <v>44428</v>
      </c>
      <c r="U428" t="s">
        <v>49</v>
      </c>
      <c r="V428" t="s">
        <v>71</v>
      </c>
      <c r="W428" t="s">
        <v>51</v>
      </c>
      <c r="Y428" s="4">
        <v>2</v>
      </c>
      <c r="Z428" s="4">
        <v>4</v>
      </c>
      <c r="AA428" s="4">
        <v>4</v>
      </c>
      <c r="AB428" s="4">
        <v>7</v>
      </c>
      <c r="AE428" s="4">
        <v>11</v>
      </c>
      <c r="AF428" s="4">
        <v>6</v>
      </c>
      <c r="AL428" s="4">
        <v>17</v>
      </c>
      <c r="AN428" s="4">
        <v>17</v>
      </c>
      <c r="AO428" s="4">
        <v>20</v>
      </c>
    </row>
    <row r="429" spans="1:41" hidden="1" x14ac:dyDescent="0.2">
      <c r="A429" t="s">
        <v>1073</v>
      </c>
      <c r="B429" t="s">
        <v>1074</v>
      </c>
      <c r="C429" s="2">
        <v>44162</v>
      </c>
      <c r="D429" s="2">
        <v>44428</v>
      </c>
      <c r="E429" s="3">
        <v>33733</v>
      </c>
      <c r="F429" t="s">
        <v>365</v>
      </c>
      <c r="G429" t="s">
        <v>1075</v>
      </c>
      <c r="H429" t="s">
        <v>45</v>
      </c>
      <c r="I429" s="3">
        <v>10019</v>
      </c>
      <c r="J429" s="3">
        <v>1010390055</v>
      </c>
      <c r="K429" s="3">
        <v>1025159</v>
      </c>
      <c r="L429" t="s">
        <v>78</v>
      </c>
      <c r="M429" s="4">
        <v>3</v>
      </c>
      <c r="N429" t="s">
        <v>56</v>
      </c>
      <c r="O429" t="s">
        <v>80</v>
      </c>
      <c r="P429" s="4">
        <v>40.762365000000003</v>
      </c>
      <c r="Q429" s="4">
        <v>-73.988253999999998</v>
      </c>
      <c r="R429" s="4">
        <v>40.762287999999998</v>
      </c>
      <c r="S429" s="4">
        <v>-73.988636</v>
      </c>
      <c r="T429" s="2">
        <v>44428</v>
      </c>
      <c r="U429" t="s">
        <v>49</v>
      </c>
      <c r="V429" t="s">
        <v>71</v>
      </c>
      <c r="W429" t="s">
        <v>51</v>
      </c>
      <c r="X429" s="4">
        <v>2</v>
      </c>
      <c r="Y429" s="4">
        <v>1</v>
      </c>
      <c r="Z429" s="4">
        <v>2</v>
      </c>
      <c r="AA429" s="4">
        <v>1</v>
      </c>
      <c r="AB429" s="4">
        <v>10</v>
      </c>
      <c r="AE429" s="4">
        <v>7</v>
      </c>
      <c r="AF429" s="4">
        <v>8</v>
      </c>
      <c r="AG429" s="4">
        <v>1</v>
      </c>
      <c r="AL429" s="4">
        <v>16</v>
      </c>
      <c r="AN429" s="4">
        <v>16</v>
      </c>
      <c r="AO429" s="4">
        <v>20</v>
      </c>
    </row>
    <row r="430" spans="1:41" hidden="1" x14ac:dyDescent="0.2">
      <c r="A430" t="s">
        <v>1073</v>
      </c>
      <c r="B430" t="s">
        <v>1074</v>
      </c>
      <c r="C430" s="2">
        <v>44162</v>
      </c>
      <c r="D430" s="2">
        <v>44428</v>
      </c>
      <c r="E430" s="3">
        <v>33734</v>
      </c>
      <c r="F430" t="s">
        <v>951</v>
      </c>
      <c r="G430" t="s">
        <v>1075</v>
      </c>
      <c r="H430" t="s">
        <v>45</v>
      </c>
      <c r="I430" s="3">
        <v>10019</v>
      </c>
      <c r="J430" s="3">
        <v>1010390056</v>
      </c>
      <c r="K430" s="3">
        <v>1025160</v>
      </c>
      <c r="L430" t="s">
        <v>78</v>
      </c>
      <c r="M430" s="4">
        <v>3</v>
      </c>
      <c r="N430" t="s">
        <v>56</v>
      </c>
      <c r="O430" t="s">
        <v>80</v>
      </c>
      <c r="P430" s="4">
        <v>40.762393000000003</v>
      </c>
      <c r="Q430" s="4">
        <v>-73.988321999999997</v>
      </c>
      <c r="R430" s="4">
        <v>40.762321</v>
      </c>
      <c r="S430" s="4">
        <v>-73.988715999999997</v>
      </c>
      <c r="T430" s="2">
        <v>44428</v>
      </c>
      <c r="U430" t="s">
        <v>49</v>
      </c>
      <c r="V430" t="s">
        <v>71</v>
      </c>
      <c r="W430" t="s">
        <v>51</v>
      </c>
      <c r="Y430" s="4">
        <v>1</v>
      </c>
      <c r="Z430" s="4">
        <v>1</v>
      </c>
      <c r="AA430" s="4">
        <v>2</v>
      </c>
      <c r="AB430" s="4">
        <v>4</v>
      </c>
      <c r="AE430" s="4">
        <v>2</v>
      </c>
      <c r="AF430" s="4">
        <v>6</v>
      </c>
      <c r="AL430" s="4">
        <v>8</v>
      </c>
      <c r="AN430" s="4">
        <v>8</v>
      </c>
      <c r="AO430" s="4">
        <v>17</v>
      </c>
    </row>
    <row r="431" spans="1:41" hidden="1" x14ac:dyDescent="0.2">
      <c r="A431" t="s">
        <v>1084</v>
      </c>
      <c r="B431" t="s">
        <v>140</v>
      </c>
      <c r="C431" s="2">
        <v>44160</v>
      </c>
      <c r="D431" s="2">
        <v>44160</v>
      </c>
      <c r="F431" t="s">
        <v>141</v>
      </c>
      <c r="G431" t="s">
        <v>141</v>
      </c>
      <c r="H431" t="s">
        <v>45</v>
      </c>
      <c r="L431" t="s">
        <v>169</v>
      </c>
      <c r="M431" s="4">
        <v>9</v>
      </c>
      <c r="T431" s="2">
        <v>44160</v>
      </c>
      <c r="U431" t="s">
        <v>117</v>
      </c>
      <c r="V431" t="s">
        <v>71</v>
      </c>
      <c r="W431" t="s">
        <v>51</v>
      </c>
      <c r="Z431" s="4">
        <v>1</v>
      </c>
      <c r="AF431" s="4">
        <v>1</v>
      </c>
      <c r="AM431" s="4">
        <v>1</v>
      </c>
      <c r="AN431" s="4">
        <v>1</v>
      </c>
      <c r="AO431" s="4">
        <v>1</v>
      </c>
    </row>
    <row r="432" spans="1:41" hidden="1" x14ac:dyDescent="0.2">
      <c r="A432" t="s">
        <v>1085</v>
      </c>
      <c r="B432" t="s">
        <v>1086</v>
      </c>
      <c r="C432" s="2">
        <v>44158</v>
      </c>
      <c r="E432" s="3">
        <v>2085</v>
      </c>
      <c r="F432" t="s">
        <v>1087</v>
      </c>
      <c r="G432" t="s">
        <v>237</v>
      </c>
      <c r="H432" t="s">
        <v>45</v>
      </c>
      <c r="I432" s="3">
        <v>10035</v>
      </c>
      <c r="J432" s="3">
        <v>1017850001</v>
      </c>
      <c r="K432" s="3">
        <v>1054569</v>
      </c>
      <c r="L432" t="s">
        <v>153</v>
      </c>
      <c r="M432" s="4">
        <v>8</v>
      </c>
      <c r="N432" t="s">
        <v>374</v>
      </c>
      <c r="O432" t="s">
        <v>155</v>
      </c>
      <c r="P432" s="4">
        <v>40.800600000000003</v>
      </c>
      <c r="Q432" s="4">
        <v>-73.938067000000004</v>
      </c>
      <c r="R432" s="4">
        <v>40.800493000000003</v>
      </c>
      <c r="S432" s="4">
        <v>-73.937807000000006</v>
      </c>
      <c r="U432" t="s">
        <v>49</v>
      </c>
      <c r="V432" t="s">
        <v>71</v>
      </c>
      <c r="W432" t="s">
        <v>51</v>
      </c>
      <c r="AA432" s="4">
        <v>5</v>
      </c>
      <c r="AD432" s="4">
        <v>2</v>
      </c>
      <c r="AF432" s="4">
        <v>3</v>
      </c>
      <c r="AL432" s="4">
        <v>5</v>
      </c>
      <c r="AN432" s="4">
        <v>5</v>
      </c>
      <c r="AO432" s="4">
        <v>5</v>
      </c>
    </row>
    <row r="433" spans="1:41" hidden="1" x14ac:dyDescent="0.2">
      <c r="A433" t="s">
        <v>1085</v>
      </c>
      <c r="B433" t="s">
        <v>1086</v>
      </c>
      <c r="C433" s="2">
        <v>44158</v>
      </c>
      <c r="E433" s="3">
        <v>3430</v>
      </c>
      <c r="F433" t="s">
        <v>1088</v>
      </c>
      <c r="G433" t="s">
        <v>255</v>
      </c>
      <c r="H433" t="s">
        <v>45</v>
      </c>
      <c r="I433" s="3">
        <v>10027</v>
      </c>
      <c r="J433" s="3">
        <v>1019260035</v>
      </c>
      <c r="K433" s="3">
        <v>1058474</v>
      </c>
      <c r="L433" t="s">
        <v>146</v>
      </c>
      <c r="M433" s="4">
        <v>9</v>
      </c>
      <c r="N433" t="s">
        <v>256</v>
      </c>
      <c r="O433" t="s">
        <v>148</v>
      </c>
      <c r="P433" s="4">
        <v>40.806268000000003</v>
      </c>
      <c r="Q433" s="4">
        <v>-73.950314000000006</v>
      </c>
      <c r="R433" s="4">
        <v>40.806455</v>
      </c>
      <c r="S433" s="4">
        <v>-73.950642999999999</v>
      </c>
      <c r="U433" t="s">
        <v>49</v>
      </c>
      <c r="V433" t="s">
        <v>71</v>
      </c>
      <c r="W433" t="s">
        <v>51</v>
      </c>
      <c r="Y433" s="4">
        <v>7</v>
      </c>
      <c r="AA433" s="4">
        <v>7</v>
      </c>
      <c r="AF433" s="4">
        <v>10</v>
      </c>
      <c r="AG433" s="4">
        <v>4</v>
      </c>
      <c r="AL433" s="4">
        <v>14</v>
      </c>
      <c r="AN433" s="4">
        <v>14</v>
      </c>
      <c r="AO433" s="4">
        <v>14</v>
      </c>
    </row>
    <row r="434" spans="1:41" hidden="1" x14ac:dyDescent="0.2">
      <c r="A434" t="s">
        <v>1085</v>
      </c>
      <c r="B434" t="s">
        <v>1086</v>
      </c>
      <c r="C434" s="2">
        <v>44158</v>
      </c>
      <c r="E434" s="3">
        <v>19329</v>
      </c>
      <c r="F434" t="s">
        <v>1089</v>
      </c>
      <c r="G434" t="s">
        <v>1090</v>
      </c>
      <c r="H434" t="s">
        <v>45</v>
      </c>
      <c r="I434" s="3">
        <v>10029</v>
      </c>
      <c r="J434" s="3">
        <v>1016160123</v>
      </c>
      <c r="K434" s="3">
        <v>1051625</v>
      </c>
      <c r="L434" t="s">
        <v>153</v>
      </c>
      <c r="M434" s="4">
        <v>8</v>
      </c>
      <c r="N434" t="s">
        <v>774</v>
      </c>
      <c r="O434" t="s">
        <v>267</v>
      </c>
      <c r="P434" s="4">
        <v>40.796031999999997</v>
      </c>
      <c r="Q434" s="4">
        <v>-73.947327999999999</v>
      </c>
      <c r="R434" s="4">
        <v>40.796193000000002</v>
      </c>
      <c r="S434" s="4">
        <v>-73.947107000000003</v>
      </c>
      <c r="U434" t="s">
        <v>49</v>
      </c>
      <c r="V434" t="s">
        <v>71</v>
      </c>
      <c r="W434" t="s">
        <v>51</v>
      </c>
      <c r="Y434" s="4">
        <v>3</v>
      </c>
      <c r="AA434" s="4">
        <v>6</v>
      </c>
      <c r="AF434" s="4">
        <v>9</v>
      </c>
      <c r="AL434" s="4">
        <v>9</v>
      </c>
      <c r="AN434" s="4">
        <v>9</v>
      </c>
      <c r="AO434" s="4">
        <v>9</v>
      </c>
    </row>
    <row r="435" spans="1:41" hidden="1" x14ac:dyDescent="0.2">
      <c r="A435" t="s">
        <v>1085</v>
      </c>
      <c r="B435" t="s">
        <v>1086</v>
      </c>
      <c r="C435" s="2">
        <v>44158</v>
      </c>
      <c r="E435" s="3">
        <v>20669</v>
      </c>
      <c r="F435" t="s">
        <v>908</v>
      </c>
      <c r="G435" t="s">
        <v>892</v>
      </c>
      <c r="H435" t="s">
        <v>45</v>
      </c>
      <c r="I435" s="3">
        <v>10035</v>
      </c>
      <c r="J435" s="3">
        <v>1018020047</v>
      </c>
      <c r="K435" s="3">
        <v>1054800</v>
      </c>
      <c r="L435" t="s">
        <v>153</v>
      </c>
      <c r="M435" s="4">
        <v>8</v>
      </c>
      <c r="N435" t="s">
        <v>1018</v>
      </c>
      <c r="O435" t="s">
        <v>155</v>
      </c>
      <c r="P435" s="4">
        <v>40.803196</v>
      </c>
      <c r="Q435" s="4">
        <v>-73.932559999999995</v>
      </c>
      <c r="R435" s="4">
        <v>40.802987000000002</v>
      </c>
      <c r="S435" s="4">
        <v>-73.932627999999994</v>
      </c>
      <c r="U435" t="s">
        <v>49</v>
      </c>
      <c r="V435" t="s">
        <v>71</v>
      </c>
      <c r="W435" t="s">
        <v>51</v>
      </c>
      <c r="Y435" s="4">
        <v>4</v>
      </c>
      <c r="AA435" s="4">
        <v>6</v>
      </c>
      <c r="AF435" s="4">
        <v>10</v>
      </c>
      <c r="AL435" s="4">
        <v>10</v>
      </c>
      <c r="AN435" s="4">
        <v>10</v>
      </c>
      <c r="AO435" s="4">
        <v>10</v>
      </c>
    </row>
    <row r="436" spans="1:41" hidden="1" x14ac:dyDescent="0.2">
      <c r="A436" t="s">
        <v>1091</v>
      </c>
      <c r="B436" t="s">
        <v>1092</v>
      </c>
      <c r="C436" s="2">
        <v>44152</v>
      </c>
      <c r="D436" s="2">
        <v>44422</v>
      </c>
      <c r="E436" s="3">
        <v>7481</v>
      </c>
      <c r="F436" t="s">
        <v>1018</v>
      </c>
      <c r="G436" t="s">
        <v>810</v>
      </c>
      <c r="H436" t="s">
        <v>45</v>
      </c>
      <c r="I436" s="3">
        <v>10039</v>
      </c>
      <c r="J436" s="3">
        <v>1020470021</v>
      </c>
      <c r="K436" s="3">
        <v>1060892</v>
      </c>
      <c r="L436" t="s">
        <v>146</v>
      </c>
      <c r="M436" s="4">
        <v>9</v>
      </c>
      <c r="N436" t="s">
        <v>176</v>
      </c>
      <c r="O436" t="s">
        <v>177</v>
      </c>
      <c r="P436" s="4">
        <v>40.829161999999997</v>
      </c>
      <c r="Q436" s="4">
        <v>-73.938874999999996</v>
      </c>
      <c r="R436" s="4">
        <v>40.829027000000004</v>
      </c>
      <c r="S436" s="4">
        <v>-73.938636000000002</v>
      </c>
      <c r="T436" s="2">
        <v>44422</v>
      </c>
      <c r="U436" t="s">
        <v>49</v>
      </c>
      <c r="V436" t="s">
        <v>71</v>
      </c>
      <c r="W436" t="s">
        <v>51</v>
      </c>
      <c r="Y436" s="4">
        <v>6</v>
      </c>
      <c r="Z436" s="4">
        <v>25</v>
      </c>
      <c r="AA436" s="4">
        <v>4</v>
      </c>
      <c r="AD436" s="4">
        <v>2</v>
      </c>
      <c r="AE436" s="4">
        <v>7</v>
      </c>
      <c r="AF436" s="4">
        <v>21</v>
      </c>
      <c r="AG436" s="4">
        <v>5</v>
      </c>
      <c r="AL436" s="4">
        <v>35</v>
      </c>
      <c r="AN436" s="4">
        <v>35</v>
      </c>
      <c r="AO436" s="4">
        <v>35</v>
      </c>
    </row>
    <row r="437" spans="1:41" hidden="1" x14ac:dyDescent="0.2">
      <c r="A437" t="s">
        <v>1091</v>
      </c>
      <c r="B437" t="s">
        <v>1092</v>
      </c>
      <c r="C437" s="2">
        <v>44152</v>
      </c>
      <c r="D437" s="2">
        <v>44422</v>
      </c>
      <c r="E437" s="3">
        <v>7482</v>
      </c>
      <c r="F437" t="s">
        <v>858</v>
      </c>
      <c r="G437" t="s">
        <v>810</v>
      </c>
      <c r="H437" t="s">
        <v>45</v>
      </c>
      <c r="I437" s="3">
        <v>10039</v>
      </c>
      <c r="J437" s="3">
        <v>1020470023</v>
      </c>
      <c r="K437" s="3">
        <v>1060893</v>
      </c>
      <c r="L437" t="s">
        <v>146</v>
      </c>
      <c r="M437" s="4">
        <v>9</v>
      </c>
      <c r="N437" t="s">
        <v>176</v>
      </c>
      <c r="O437" t="s">
        <v>177</v>
      </c>
      <c r="P437" s="4">
        <v>40.829293</v>
      </c>
      <c r="Q437" s="4">
        <v>-73.938817</v>
      </c>
      <c r="R437" s="4">
        <v>40.829155999999998</v>
      </c>
      <c r="S437" s="4">
        <v>-73.938564</v>
      </c>
      <c r="T437" s="2">
        <v>44422</v>
      </c>
      <c r="U437" t="s">
        <v>49</v>
      </c>
      <c r="V437" t="s">
        <v>71</v>
      </c>
      <c r="W437" t="s">
        <v>51</v>
      </c>
      <c r="X437" s="4">
        <v>1</v>
      </c>
      <c r="Y437" s="4">
        <v>6</v>
      </c>
      <c r="Z437" s="4">
        <v>30</v>
      </c>
      <c r="AA437" s="4">
        <v>10</v>
      </c>
      <c r="AD437" s="4">
        <v>17</v>
      </c>
      <c r="AE437" s="4">
        <v>30</v>
      </c>
      <c r="AL437" s="4">
        <v>47</v>
      </c>
      <c r="AN437" s="4">
        <v>47</v>
      </c>
      <c r="AO437" s="4">
        <v>47</v>
      </c>
    </row>
    <row r="438" spans="1:41" hidden="1" x14ac:dyDescent="0.2">
      <c r="A438" t="s">
        <v>1091</v>
      </c>
      <c r="B438" t="s">
        <v>1092</v>
      </c>
      <c r="C438" s="2">
        <v>44152</v>
      </c>
      <c r="D438" s="2">
        <v>44422</v>
      </c>
      <c r="E438" s="3">
        <v>21280</v>
      </c>
      <c r="F438" t="s">
        <v>1093</v>
      </c>
      <c r="G438" t="s">
        <v>1094</v>
      </c>
      <c r="H438" t="s">
        <v>45</v>
      </c>
      <c r="I438" s="3">
        <v>10031</v>
      </c>
      <c r="J438" s="3">
        <v>1020540012</v>
      </c>
      <c r="K438" s="3">
        <v>1061164</v>
      </c>
      <c r="L438" t="s">
        <v>169</v>
      </c>
      <c r="M438" s="4">
        <v>9</v>
      </c>
      <c r="N438" t="s">
        <v>897</v>
      </c>
      <c r="O438" t="s">
        <v>232</v>
      </c>
      <c r="P438" s="4">
        <v>40.827582</v>
      </c>
      <c r="Q438" s="4">
        <v>-73.940994000000003</v>
      </c>
      <c r="R438" s="4">
        <v>40.827587999999999</v>
      </c>
      <c r="S438" s="4">
        <v>-73.941333</v>
      </c>
      <c r="T438" s="2">
        <v>44422</v>
      </c>
      <c r="U438" t="s">
        <v>49</v>
      </c>
      <c r="V438" t="s">
        <v>71</v>
      </c>
      <c r="W438" t="s">
        <v>51</v>
      </c>
      <c r="X438" s="4">
        <v>1</v>
      </c>
      <c r="Y438" s="4">
        <v>4</v>
      </c>
      <c r="Z438" s="4">
        <v>2</v>
      </c>
      <c r="AA438" s="4">
        <v>15</v>
      </c>
      <c r="AC438" s="4">
        <v>1</v>
      </c>
      <c r="AD438" s="4">
        <v>1</v>
      </c>
      <c r="AE438" s="4">
        <v>12</v>
      </c>
      <c r="AF438" s="4">
        <v>8</v>
      </c>
      <c r="AG438" s="4">
        <v>2</v>
      </c>
      <c r="AL438" s="4">
        <v>23</v>
      </c>
      <c r="AN438" s="4">
        <v>23</v>
      </c>
      <c r="AO438" s="4">
        <v>23</v>
      </c>
    </row>
    <row r="439" spans="1:41" hidden="1" x14ac:dyDescent="0.2">
      <c r="A439" t="s">
        <v>1091</v>
      </c>
      <c r="B439" t="s">
        <v>1092</v>
      </c>
      <c r="C439" s="2">
        <v>44152</v>
      </c>
      <c r="D439" s="2">
        <v>44422</v>
      </c>
      <c r="E439" s="3">
        <v>21282</v>
      </c>
      <c r="F439" t="s">
        <v>1095</v>
      </c>
      <c r="G439" t="s">
        <v>1094</v>
      </c>
      <c r="H439" t="s">
        <v>45</v>
      </c>
      <c r="I439" s="3">
        <v>10031</v>
      </c>
      <c r="J439" s="3">
        <v>1020540015</v>
      </c>
      <c r="K439" s="3">
        <v>1061166</v>
      </c>
      <c r="L439" t="s">
        <v>169</v>
      </c>
      <c r="M439" s="4">
        <v>9</v>
      </c>
      <c r="N439" t="s">
        <v>897</v>
      </c>
      <c r="O439" t="s">
        <v>232</v>
      </c>
      <c r="P439" s="4">
        <v>40.827688999999999</v>
      </c>
      <c r="Q439" s="4">
        <v>-73.940917999999996</v>
      </c>
      <c r="R439" s="4">
        <v>40.827769000000004</v>
      </c>
      <c r="S439" s="4">
        <v>-73.941203000000002</v>
      </c>
      <c r="T439" s="2">
        <v>44422</v>
      </c>
      <c r="U439" t="s">
        <v>49</v>
      </c>
      <c r="V439" t="s">
        <v>71</v>
      </c>
      <c r="W439" t="s">
        <v>51</v>
      </c>
      <c r="Y439" s="4">
        <v>2</v>
      </c>
      <c r="Z439" s="4">
        <v>2</v>
      </c>
      <c r="AA439" s="4">
        <v>18</v>
      </c>
      <c r="AC439" s="4">
        <v>1</v>
      </c>
      <c r="AD439" s="4">
        <v>1</v>
      </c>
      <c r="AE439" s="4">
        <v>10</v>
      </c>
      <c r="AF439" s="4">
        <v>11</v>
      </c>
      <c r="AG439" s="4">
        <v>1</v>
      </c>
      <c r="AL439" s="4">
        <v>23</v>
      </c>
      <c r="AN439" s="4">
        <v>23</v>
      </c>
      <c r="AO439" s="4">
        <v>23</v>
      </c>
    </row>
    <row r="440" spans="1:41" hidden="1" x14ac:dyDescent="0.2">
      <c r="A440" t="s">
        <v>1091</v>
      </c>
      <c r="B440" t="s">
        <v>1092</v>
      </c>
      <c r="C440" s="2">
        <v>44152</v>
      </c>
      <c r="D440" s="2">
        <v>44422</v>
      </c>
      <c r="E440" s="3">
        <v>42657</v>
      </c>
      <c r="F440" t="s">
        <v>366</v>
      </c>
      <c r="G440" t="s">
        <v>1096</v>
      </c>
      <c r="H440" t="s">
        <v>45</v>
      </c>
      <c r="I440" s="3">
        <v>10039</v>
      </c>
      <c r="J440" s="3">
        <v>1020470025</v>
      </c>
      <c r="K440" s="3">
        <v>1060894</v>
      </c>
      <c r="L440" t="s">
        <v>146</v>
      </c>
      <c r="M440" s="4">
        <v>9</v>
      </c>
      <c r="N440" t="s">
        <v>176</v>
      </c>
      <c r="O440" t="s">
        <v>177</v>
      </c>
      <c r="P440" s="4">
        <v>40.828606999999998</v>
      </c>
      <c r="Q440" s="4">
        <v>-73.938023000000001</v>
      </c>
      <c r="R440" s="4">
        <v>40.828952999999998</v>
      </c>
      <c r="S440" s="4">
        <v>-73.938271999999998</v>
      </c>
      <c r="T440" s="2">
        <v>44422</v>
      </c>
      <c r="U440" t="s">
        <v>49</v>
      </c>
      <c r="V440" t="s">
        <v>71</v>
      </c>
      <c r="W440" t="s">
        <v>51</v>
      </c>
      <c r="Y440" s="4">
        <v>11</v>
      </c>
      <c r="Z440" s="4">
        <v>6</v>
      </c>
      <c r="AA440" s="4">
        <v>37</v>
      </c>
      <c r="AE440" s="4">
        <v>51</v>
      </c>
      <c r="AF440" s="4">
        <v>3</v>
      </c>
      <c r="AL440" s="4">
        <v>54</v>
      </c>
      <c r="AN440" s="4">
        <v>54</v>
      </c>
      <c r="AO440" s="4">
        <v>54</v>
      </c>
    </row>
    <row r="441" spans="1:41" hidden="1" x14ac:dyDescent="0.2">
      <c r="A441" t="s">
        <v>1097</v>
      </c>
      <c r="B441" t="s">
        <v>140</v>
      </c>
      <c r="C441" s="2">
        <v>44145</v>
      </c>
      <c r="D441" s="2">
        <v>44145</v>
      </c>
      <c r="F441" t="s">
        <v>141</v>
      </c>
      <c r="G441" t="s">
        <v>141</v>
      </c>
      <c r="H441" t="s">
        <v>45</v>
      </c>
      <c r="L441" t="s">
        <v>64</v>
      </c>
      <c r="M441" s="4">
        <v>2</v>
      </c>
      <c r="T441" s="2">
        <v>44145</v>
      </c>
      <c r="U441" t="s">
        <v>117</v>
      </c>
      <c r="V441" t="s">
        <v>71</v>
      </c>
      <c r="W441" t="s">
        <v>51</v>
      </c>
      <c r="Z441" s="4">
        <v>1</v>
      </c>
      <c r="AE441" s="4">
        <v>1</v>
      </c>
      <c r="AM441" s="4">
        <v>1</v>
      </c>
      <c r="AN441" s="4">
        <v>1</v>
      </c>
      <c r="AO441" s="4">
        <v>1</v>
      </c>
    </row>
    <row r="442" spans="1:41" hidden="1" x14ac:dyDescent="0.2">
      <c r="A442" t="s">
        <v>1098</v>
      </c>
      <c r="B442" t="s">
        <v>1099</v>
      </c>
      <c r="C442" s="2">
        <v>44120</v>
      </c>
      <c r="D442" s="2">
        <v>44939</v>
      </c>
      <c r="E442" s="3">
        <v>35687</v>
      </c>
      <c r="F442" t="s">
        <v>913</v>
      </c>
      <c r="G442" t="s">
        <v>1100</v>
      </c>
      <c r="H442" t="s">
        <v>45</v>
      </c>
      <c r="I442" s="3">
        <v>10024</v>
      </c>
      <c r="J442" s="3">
        <v>1012100026</v>
      </c>
      <c r="K442" s="3">
        <v>1031763</v>
      </c>
      <c r="L442" t="s">
        <v>46</v>
      </c>
      <c r="M442" s="4">
        <v>6</v>
      </c>
      <c r="N442" t="s">
        <v>93</v>
      </c>
      <c r="O442" t="s">
        <v>285</v>
      </c>
      <c r="P442" s="4">
        <v>40.782276000000003</v>
      </c>
      <c r="Q442" s="4">
        <v>-73.976229000000004</v>
      </c>
      <c r="R442" s="4">
        <v>40.782440999999999</v>
      </c>
      <c r="S442" s="4">
        <v>-73.975932999999998</v>
      </c>
      <c r="T442" s="2">
        <v>44939</v>
      </c>
      <c r="U442" t="s">
        <v>49</v>
      </c>
      <c r="V442" t="s">
        <v>71</v>
      </c>
      <c r="W442" t="s">
        <v>123</v>
      </c>
      <c r="X442" s="4">
        <v>77</v>
      </c>
      <c r="AC442" s="4">
        <v>1</v>
      </c>
      <c r="AD442" s="4">
        <v>78</v>
      </c>
      <c r="AL442" s="4">
        <v>78</v>
      </c>
      <c r="AN442" s="4">
        <v>78</v>
      </c>
      <c r="AO442" s="4">
        <v>78</v>
      </c>
    </row>
    <row r="443" spans="1:41" hidden="1" x14ac:dyDescent="0.2">
      <c r="A443" t="s">
        <v>1101</v>
      </c>
      <c r="B443" t="s">
        <v>1102</v>
      </c>
      <c r="C443" s="2">
        <v>44120</v>
      </c>
      <c r="D443" s="2">
        <v>44391</v>
      </c>
      <c r="E443" s="3">
        <v>3933</v>
      </c>
      <c r="F443" t="s">
        <v>1103</v>
      </c>
      <c r="G443" t="s">
        <v>175</v>
      </c>
      <c r="H443" t="s">
        <v>45</v>
      </c>
      <c r="I443" s="3">
        <v>10026</v>
      </c>
      <c r="J443" s="3">
        <v>1018480012</v>
      </c>
      <c r="K443" s="3">
        <v>1055833</v>
      </c>
      <c r="L443" t="s">
        <v>146</v>
      </c>
      <c r="M443" s="4">
        <v>9</v>
      </c>
      <c r="N443" t="s">
        <v>298</v>
      </c>
      <c r="O443" t="s">
        <v>148</v>
      </c>
      <c r="P443" s="4">
        <v>40.803215999999999</v>
      </c>
      <c r="Q443" s="4">
        <v>-73.956261999999995</v>
      </c>
      <c r="R443" s="4">
        <v>40.803345</v>
      </c>
      <c r="S443" s="4">
        <v>-73.956558000000001</v>
      </c>
      <c r="T443" s="2">
        <v>44391</v>
      </c>
      <c r="U443" t="s">
        <v>49</v>
      </c>
      <c r="V443" t="s">
        <v>71</v>
      </c>
      <c r="W443" t="s">
        <v>51</v>
      </c>
      <c r="X443" s="4">
        <v>8</v>
      </c>
      <c r="Z443" s="4">
        <v>1</v>
      </c>
      <c r="AA443" s="4">
        <v>4</v>
      </c>
      <c r="AF443" s="4">
        <v>13</v>
      </c>
      <c r="AL443" s="4">
        <v>13</v>
      </c>
      <c r="AN443" s="4">
        <v>13</v>
      </c>
      <c r="AO443" s="4">
        <v>13</v>
      </c>
    </row>
    <row r="444" spans="1:41" hidden="1" x14ac:dyDescent="0.2">
      <c r="A444" t="s">
        <v>1101</v>
      </c>
      <c r="B444" t="s">
        <v>1102</v>
      </c>
      <c r="C444" s="2">
        <v>44120</v>
      </c>
      <c r="D444" s="2">
        <v>44391</v>
      </c>
      <c r="E444" s="3">
        <v>3935</v>
      </c>
      <c r="F444" t="s">
        <v>1104</v>
      </c>
      <c r="G444" t="s">
        <v>175</v>
      </c>
      <c r="H444" t="s">
        <v>45</v>
      </c>
      <c r="I444" s="3">
        <v>10026</v>
      </c>
      <c r="J444" s="3">
        <v>1018480013</v>
      </c>
      <c r="K444" s="3">
        <v>1055834</v>
      </c>
      <c r="L444" t="s">
        <v>146</v>
      </c>
      <c r="M444" s="4">
        <v>9</v>
      </c>
      <c r="N444" t="s">
        <v>298</v>
      </c>
      <c r="O444" t="s">
        <v>148</v>
      </c>
      <c r="P444" s="4">
        <v>40.803269999999998</v>
      </c>
      <c r="Q444" s="4">
        <v>-73.956221999999997</v>
      </c>
      <c r="R444" s="4">
        <v>40.803407999999997</v>
      </c>
      <c r="S444" s="4">
        <v>-73.956511000000006</v>
      </c>
      <c r="T444" s="2">
        <v>44391</v>
      </c>
      <c r="U444" t="s">
        <v>49</v>
      </c>
      <c r="V444" t="s">
        <v>71</v>
      </c>
      <c r="W444" t="s">
        <v>51</v>
      </c>
      <c r="X444" s="4">
        <v>4</v>
      </c>
      <c r="Z444" s="4">
        <v>3</v>
      </c>
      <c r="AA444" s="4">
        <v>2</v>
      </c>
      <c r="AE444" s="4">
        <v>1</v>
      </c>
      <c r="AF444" s="4">
        <v>5</v>
      </c>
      <c r="AG444" s="4">
        <v>3</v>
      </c>
      <c r="AL444" s="4">
        <v>9</v>
      </c>
      <c r="AN444" s="4">
        <v>9</v>
      </c>
      <c r="AO444" s="4">
        <v>9</v>
      </c>
    </row>
    <row r="445" spans="1:41" hidden="1" x14ac:dyDescent="0.2">
      <c r="A445" t="s">
        <v>1101</v>
      </c>
      <c r="B445" t="s">
        <v>1102</v>
      </c>
      <c r="C445" s="2">
        <v>44120</v>
      </c>
      <c r="D445" s="2">
        <v>44391</v>
      </c>
      <c r="E445" s="3">
        <v>3937</v>
      </c>
      <c r="F445" t="s">
        <v>1105</v>
      </c>
      <c r="G445" t="s">
        <v>175</v>
      </c>
      <c r="H445" t="s">
        <v>45</v>
      </c>
      <c r="I445" s="3">
        <v>10026</v>
      </c>
      <c r="J445" s="3">
        <v>1018480014</v>
      </c>
      <c r="K445" s="3">
        <v>1055835</v>
      </c>
      <c r="L445" t="s">
        <v>146</v>
      </c>
      <c r="M445" s="4">
        <v>9</v>
      </c>
      <c r="N445" t="s">
        <v>298</v>
      </c>
      <c r="O445" t="s">
        <v>148</v>
      </c>
      <c r="P445" s="4">
        <v>40.803325000000001</v>
      </c>
      <c r="Q445" s="4">
        <v>-73.956181999999998</v>
      </c>
      <c r="R445" s="4">
        <v>40.803468000000002</v>
      </c>
      <c r="S445" s="4">
        <v>-73.956467000000004</v>
      </c>
      <c r="T445" s="2">
        <v>44391</v>
      </c>
      <c r="U445" t="s">
        <v>49</v>
      </c>
      <c r="V445" t="s">
        <v>71</v>
      </c>
      <c r="W445" t="s">
        <v>51</v>
      </c>
      <c r="X445" s="4">
        <v>5</v>
      </c>
      <c r="Y445" s="4">
        <v>1</v>
      </c>
      <c r="Z445" s="4">
        <v>1</v>
      </c>
      <c r="AA445" s="4">
        <v>2</v>
      </c>
      <c r="AE445" s="4">
        <v>1</v>
      </c>
      <c r="AF445" s="4">
        <v>5</v>
      </c>
      <c r="AG445" s="4">
        <v>3</v>
      </c>
      <c r="AL445" s="4">
        <v>9</v>
      </c>
      <c r="AN445" s="4">
        <v>9</v>
      </c>
      <c r="AO445" s="4">
        <v>9</v>
      </c>
    </row>
    <row r="446" spans="1:41" hidden="1" x14ac:dyDescent="0.2">
      <c r="A446" t="s">
        <v>1101</v>
      </c>
      <c r="B446" t="s">
        <v>1102</v>
      </c>
      <c r="C446" s="2">
        <v>44120</v>
      </c>
      <c r="D446" s="2">
        <v>44391</v>
      </c>
      <c r="E446" s="3">
        <v>3939</v>
      </c>
      <c r="F446" t="s">
        <v>1106</v>
      </c>
      <c r="G446" t="s">
        <v>175</v>
      </c>
      <c r="H446" t="s">
        <v>45</v>
      </c>
      <c r="I446" s="3">
        <v>10026</v>
      </c>
      <c r="J446" s="3">
        <v>1018480015</v>
      </c>
      <c r="K446" s="3">
        <v>1055836</v>
      </c>
      <c r="L446" t="s">
        <v>146</v>
      </c>
      <c r="M446" s="4">
        <v>9</v>
      </c>
      <c r="N446" t="s">
        <v>298</v>
      </c>
      <c r="O446" t="s">
        <v>148</v>
      </c>
      <c r="P446" s="4">
        <v>40.803379999999997</v>
      </c>
      <c r="Q446" s="4">
        <v>-73.956142</v>
      </c>
      <c r="R446" s="4">
        <v>40.803528</v>
      </c>
      <c r="S446" s="4">
        <v>-73.956423999999998</v>
      </c>
      <c r="T446" s="2">
        <v>44391</v>
      </c>
      <c r="U446" t="s">
        <v>49</v>
      </c>
      <c r="V446" t="s">
        <v>71</v>
      </c>
      <c r="W446" t="s">
        <v>51</v>
      </c>
      <c r="X446" s="4">
        <v>7</v>
      </c>
      <c r="Y446" s="4">
        <v>1</v>
      </c>
      <c r="AA446" s="4">
        <v>1</v>
      </c>
      <c r="AE446" s="4">
        <v>1</v>
      </c>
      <c r="AF446" s="4">
        <v>6</v>
      </c>
      <c r="AG446" s="4">
        <v>2</v>
      </c>
      <c r="AL446" s="4">
        <v>9</v>
      </c>
      <c r="AN446" s="4">
        <v>9</v>
      </c>
      <c r="AO446" s="4">
        <v>9</v>
      </c>
    </row>
    <row r="447" spans="1:41" hidden="1" x14ac:dyDescent="0.2">
      <c r="A447" t="s">
        <v>1101</v>
      </c>
      <c r="B447" t="s">
        <v>1102</v>
      </c>
      <c r="C447" s="2">
        <v>44120</v>
      </c>
      <c r="D447" s="2">
        <v>44391</v>
      </c>
      <c r="E447" s="3">
        <v>3943</v>
      </c>
      <c r="F447" t="s">
        <v>1107</v>
      </c>
      <c r="G447" t="s">
        <v>175</v>
      </c>
      <c r="H447" t="s">
        <v>45</v>
      </c>
      <c r="I447" s="3">
        <v>10026</v>
      </c>
      <c r="J447" s="3">
        <v>1018480017</v>
      </c>
      <c r="K447" s="3">
        <v>1055838</v>
      </c>
      <c r="L447" t="s">
        <v>146</v>
      </c>
      <c r="M447" s="4">
        <v>9</v>
      </c>
      <c r="N447" t="s">
        <v>298</v>
      </c>
      <c r="O447" t="s">
        <v>148</v>
      </c>
      <c r="P447" s="4">
        <v>40.803489999999996</v>
      </c>
      <c r="Q447" s="4">
        <v>-73.956058999999996</v>
      </c>
      <c r="R447" s="4">
        <v>40.803649</v>
      </c>
      <c r="S447" s="4">
        <v>-73.956337000000005</v>
      </c>
      <c r="T447" s="2">
        <v>44391</v>
      </c>
      <c r="U447" t="s">
        <v>49</v>
      </c>
      <c r="V447" t="s">
        <v>71</v>
      </c>
      <c r="W447" t="s">
        <v>51</v>
      </c>
      <c r="X447" s="4">
        <v>4</v>
      </c>
      <c r="Y447" s="4">
        <v>2</v>
      </c>
      <c r="AA447" s="4">
        <v>3</v>
      </c>
      <c r="AF447" s="4">
        <v>6</v>
      </c>
      <c r="AG447" s="4">
        <v>3</v>
      </c>
      <c r="AL447" s="4">
        <v>9</v>
      </c>
      <c r="AN447" s="4">
        <v>9</v>
      </c>
      <c r="AO447" s="4">
        <v>9</v>
      </c>
    </row>
    <row r="448" spans="1:41" hidden="1" x14ac:dyDescent="0.2">
      <c r="A448" t="s">
        <v>1101</v>
      </c>
      <c r="B448" t="s">
        <v>1102</v>
      </c>
      <c r="C448" s="2">
        <v>44120</v>
      </c>
      <c r="D448" s="2">
        <v>44391</v>
      </c>
      <c r="E448" s="3">
        <v>3945</v>
      </c>
      <c r="F448" t="s">
        <v>1108</v>
      </c>
      <c r="G448" t="s">
        <v>175</v>
      </c>
      <c r="H448" t="s">
        <v>45</v>
      </c>
      <c r="I448" s="3">
        <v>10026</v>
      </c>
      <c r="J448" s="3">
        <v>1018480018</v>
      </c>
      <c r="K448" s="3">
        <v>1055839</v>
      </c>
      <c r="L448" t="s">
        <v>146</v>
      </c>
      <c r="M448" s="4">
        <v>9</v>
      </c>
      <c r="N448" t="s">
        <v>298</v>
      </c>
      <c r="O448" t="s">
        <v>148</v>
      </c>
      <c r="P448" s="4">
        <v>40.803545</v>
      </c>
      <c r="Q448" s="4">
        <v>-73.956019999999995</v>
      </c>
      <c r="R448" s="4">
        <v>40.803710000000002</v>
      </c>
      <c r="S448" s="4">
        <v>-73.956289999999996</v>
      </c>
      <c r="T448" s="2">
        <v>44391</v>
      </c>
      <c r="U448" t="s">
        <v>49</v>
      </c>
      <c r="V448" t="s">
        <v>71</v>
      </c>
      <c r="W448" t="s">
        <v>51</v>
      </c>
      <c r="X448" s="4">
        <v>5</v>
      </c>
      <c r="Z448" s="4">
        <v>1</v>
      </c>
      <c r="AA448" s="4">
        <v>3</v>
      </c>
      <c r="AF448" s="4">
        <v>6</v>
      </c>
      <c r="AG448" s="4">
        <v>3</v>
      </c>
      <c r="AL448" s="4">
        <v>9</v>
      </c>
      <c r="AN448" s="4">
        <v>9</v>
      </c>
      <c r="AO448" s="4">
        <v>9</v>
      </c>
    </row>
    <row r="449" spans="1:41" hidden="1" x14ac:dyDescent="0.2">
      <c r="A449" t="s">
        <v>1101</v>
      </c>
      <c r="B449" t="s">
        <v>1102</v>
      </c>
      <c r="C449" s="2">
        <v>44120</v>
      </c>
      <c r="D449" s="2">
        <v>44391</v>
      </c>
      <c r="E449" s="3">
        <v>6085</v>
      </c>
      <c r="F449" t="s">
        <v>1109</v>
      </c>
      <c r="G449" t="s">
        <v>87</v>
      </c>
      <c r="H449" t="s">
        <v>45</v>
      </c>
      <c r="I449" s="3">
        <v>10025</v>
      </c>
      <c r="J449" s="3">
        <v>1018610061</v>
      </c>
      <c r="K449" s="3">
        <v>1055978</v>
      </c>
      <c r="L449" t="s">
        <v>46</v>
      </c>
      <c r="M449" s="4">
        <v>7</v>
      </c>
      <c r="N449" t="s">
        <v>54</v>
      </c>
      <c r="O449" t="s">
        <v>48</v>
      </c>
      <c r="P449" s="4">
        <v>40.800978999999998</v>
      </c>
      <c r="Q449" s="4">
        <v>-73.965299999999999</v>
      </c>
      <c r="R449" s="4">
        <v>40.800888</v>
      </c>
      <c r="S449" s="4">
        <v>-73.964982000000006</v>
      </c>
      <c r="T449" s="2">
        <v>44391</v>
      </c>
      <c r="U449" t="s">
        <v>49</v>
      </c>
      <c r="V449" t="s">
        <v>71</v>
      </c>
      <c r="W449" t="s">
        <v>51</v>
      </c>
      <c r="Z449" s="4">
        <v>9</v>
      </c>
      <c r="AA449" s="4">
        <v>4</v>
      </c>
      <c r="AE449" s="4">
        <v>9</v>
      </c>
      <c r="AF449" s="4">
        <v>3</v>
      </c>
      <c r="AG449" s="4">
        <v>1</v>
      </c>
      <c r="AL449" s="4">
        <v>13</v>
      </c>
      <c r="AN449" s="4">
        <v>13</v>
      </c>
      <c r="AO449" s="4">
        <v>13</v>
      </c>
    </row>
    <row r="450" spans="1:41" hidden="1" x14ac:dyDescent="0.2">
      <c r="A450" t="s">
        <v>1101</v>
      </c>
      <c r="B450" t="s">
        <v>1102</v>
      </c>
      <c r="C450" s="2">
        <v>44120</v>
      </c>
      <c r="D450" s="2">
        <v>44391</v>
      </c>
      <c r="E450" s="3">
        <v>6088</v>
      </c>
      <c r="F450" t="s">
        <v>1110</v>
      </c>
      <c r="G450" t="s">
        <v>87</v>
      </c>
      <c r="H450" t="s">
        <v>45</v>
      </c>
      <c r="I450" s="3">
        <v>10025</v>
      </c>
      <c r="J450" s="3">
        <v>1018620002</v>
      </c>
      <c r="K450" s="3">
        <v>1055984</v>
      </c>
      <c r="L450" t="s">
        <v>46</v>
      </c>
      <c r="M450" s="4">
        <v>7</v>
      </c>
      <c r="N450" t="s">
        <v>54</v>
      </c>
      <c r="O450" t="s">
        <v>48</v>
      </c>
      <c r="P450" s="4">
        <v>40.801251000000001</v>
      </c>
      <c r="Q450" s="4">
        <v>-73.965101000000004</v>
      </c>
      <c r="R450" s="4">
        <v>40.801143000000003</v>
      </c>
      <c r="S450" s="4">
        <v>-73.964791000000005</v>
      </c>
      <c r="T450" s="2">
        <v>44391</v>
      </c>
      <c r="U450" t="s">
        <v>49</v>
      </c>
      <c r="V450" t="s">
        <v>71</v>
      </c>
      <c r="W450" t="s">
        <v>51</v>
      </c>
      <c r="X450" s="4">
        <v>7</v>
      </c>
      <c r="Y450" s="4">
        <v>2</v>
      </c>
      <c r="Z450" s="4">
        <v>3</v>
      </c>
      <c r="AA450" s="4">
        <v>1</v>
      </c>
      <c r="AE450" s="4">
        <v>13</v>
      </c>
      <c r="AL450" s="4">
        <v>13</v>
      </c>
      <c r="AN450" s="4">
        <v>13</v>
      </c>
      <c r="AO450" s="4">
        <v>13</v>
      </c>
    </row>
    <row r="451" spans="1:41" hidden="1" x14ac:dyDescent="0.2">
      <c r="A451" t="s">
        <v>1101</v>
      </c>
      <c r="B451" t="s">
        <v>1102</v>
      </c>
      <c r="C451" s="2">
        <v>44120</v>
      </c>
      <c r="D451" s="2">
        <v>44391</v>
      </c>
      <c r="E451" s="3">
        <v>9824</v>
      </c>
      <c r="F451" t="s">
        <v>1111</v>
      </c>
      <c r="G451" t="s">
        <v>558</v>
      </c>
      <c r="H451" t="s">
        <v>45</v>
      </c>
      <c r="I451" s="3">
        <v>10025</v>
      </c>
      <c r="J451" s="3">
        <v>1018600031</v>
      </c>
      <c r="K451" s="3">
        <v>1055937</v>
      </c>
      <c r="L451" t="s">
        <v>46</v>
      </c>
      <c r="M451" s="4">
        <v>7</v>
      </c>
      <c r="N451" t="s">
        <v>47</v>
      </c>
      <c r="O451" t="s">
        <v>48</v>
      </c>
      <c r="P451" s="4">
        <v>40.798785000000002</v>
      </c>
      <c r="Q451" s="4">
        <v>-73.963206999999997</v>
      </c>
      <c r="R451" s="4">
        <v>40.798892000000002</v>
      </c>
      <c r="S451" s="4">
        <v>-73.963470000000001</v>
      </c>
      <c r="T451" s="2">
        <v>44391</v>
      </c>
      <c r="U451" t="s">
        <v>49</v>
      </c>
      <c r="V451" t="s">
        <v>71</v>
      </c>
      <c r="W451" t="s">
        <v>51</v>
      </c>
      <c r="X451" s="4">
        <v>4</v>
      </c>
      <c r="Z451" s="4">
        <v>2</v>
      </c>
      <c r="AA451" s="4">
        <v>2</v>
      </c>
      <c r="AE451" s="4">
        <v>8</v>
      </c>
      <c r="AL451" s="4">
        <v>8</v>
      </c>
      <c r="AN451" s="4">
        <v>8</v>
      </c>
      <c r="AO451" s="4">
        <v>8</v>
      </c>
    </row>
    <row r="452" spans="1:41" hidden="1" x14ac:dyDescent="0.2">
      <c r="A452" t="s">
        <v>1101</v>
      </c>
      <c r="B452" t="s">
        <v>1102</v>
      </c>
      <c r="C452" s="2">
        <v>44120</v>
      </c>
      <c r="D452" s="2">
        <v>44391</v>
      </c>
      <c r="E452" s="3">
        <v>9826</v>
      </c>
      <c r="F452" t="s">
        <v>1112</v>
      </c>
      <c r="G452" t="s">
        <v>558</v>
      </c>
      <c r="H452" t="s">
        <v>45</v>
      </c>
      <c r="I452" s="3">
        <v>10025</v>
      </c>
      <c r="J452" s="3">
        <v>1018600032</v>
      </c>
      <c r="K452" s="3">
        <v>1055938</v>
      </c>
      <c r="L452" t="s">
        <v>46</v>
      </c>
      <c r="M452" s="4">
        <v>7</v>
      </c>
      <c r="N452" t="s">
        <v>47</v>
      </c>
      <c r="O452" t="s">
        <v>48</v>
      </c>
      <c r="P452" s="4">
        <v>40.798845999999998</v>
      </c>
      <c r="Q452" s="4">
        <v>-73.963162999999994</v>
      </c>
      <c r="R452" s="4">
        <v>40.798957999999999</v>
      </c>
      <c r="S452" s="4">
        <v>-73.963423000000006</v>
      </c>
      <c r="T452" s="2">
        <v>44391</v>
      </c>
      <c r="U452" t="s">
        <v>49</v>
      </c>
      <c r="V452" t="s">
        <v>71</v>
      </c>
      <c r="W452" t="s">
        <v>51</v>
      </c>
      <c r="X452" s="4">
        <v>2</v>
      </c>
      <c r="Z452" s="4">
        <v>1</v>
      </c>
      <c r="AA452" s="4">
        <v>4</v>
      </c>
      <c r="AE452" s="4">
        <v>7</v>
      </c>
      <c r="AL452" s="4">
        <v>7</v>
      </c>
      <c r="AN452" s="4">
        <v>7</v>
      </c>
      <c r="AO452" s="4">
        <v>8</v>
      </c>
    </row>
    <row r="453" spans="1:41" hidden="1" x14ac:dyDescent="0.2">
      <c r="A453" t="s">
        <v>1101</v>
      </c>
      <c r="B453" t="s">
        <v>1102</v>
      </c>
      <c r="C453" s="2">
        <v>44120</v>
      </c>
      <c r="D453" s="2">
        <v>44391</v>
      </c>
      <c r="E453" s="3">
        <v>9828</v>
      </c>
      <c r="F453" t="s">
        <v>1113</v>
      </c>
      <c r="G453" t="s">
        <v>558</v>
      </c>
      <c r="H453" t="s">
        <v>45</v>
      </c>
      <c r="I453" s="3">
        <v>10025</v>
      </c>
      <c r="J453" s="3">
        <v>1018600033</v>
      </c>
      <c r="K453" s="3">
        <v>1055939</v>
      </c>
      <c r="L453" t="s">
        <v>46</v>
      </c>
      <c r="M453" s="4">
        <v>7</v>
      </c>
      <c r="N453" t="s">
        <v>47</v>
      </c>
      <c r="O453" t="s">
        <v>48</v>
      </c>
      <c r="P453" s="4">
        <v>40.798903000000003</v>
      </c>
      <c r="Q453" s="4">
        <v>-73.963120000000004</v>
      </c>
      <c r="R453" s="4">
        <v>40.799021000000003</v>
      </c>
      <c r="S453" s="4">
        <v>-73.963375999999997</v>
      </c>
      <c r="T453" s="2">
        <v>44391</v>
      </c>
      <c r="U453" t="s">
        <v>49</v>
      </c>
      <c r="V453" t="s">
        <v>71</v>
      </c>
      <c r="W453" t="s">
        <v>51</v>
      </c>
      <c r="Z453" s="4">
        <v>4</v>
      </c>
      <c r="AA453" s="4">
        <v>4</v>
      </c>
      <c r="AE453" s="4">
        <v>8</v>
      </c>
      <c r="AL453" s="4">
        <v>8</v>
      </c>
      <c r="AN453" s="4">
        <v>8</v>
      </c>
      <c r="AO453" s="4">
        <v>8</v>
      </c>
    </row>
    <row r="454" spans="1:41" hidden="1" x14ac:dyDescent="0.2">
      <c r="A454" t="s">
        <v>1101</v>
      </c>
      <c r="B454" t="s">
        <v>1102</v>
      </c>
      <c r="C454" s="2">
        <v>44120</v>
      </c>
      <c r="D454" s="2">
        <v>44391</v>
      </c>
      <c r="E454" s="3">
        <v>25230</v>
      </c>
      <c r="F454" t="s">
        <v>1114</v>
      </c>
      <c r="G454" t="s">
        <v>70</v>
      </c>
      <c r="H454" t="s">
        <v>45</v>
      </c>
      <c r="I454" s="3">
        <v>10026</v>
      </c>
      <c r="J454" s="3">
        <v>1018480004</v>
      </c>
      <c r="K454" s="3">
        <v>1055825</v>
      </c>
      <c r="L454" t="s">
        <v>146</v>
      </c>
      <c r="M454" s="4">
        <v>9</v>
      </c>
      <c r="N454" t="s">
        <v>298</v>
      </c>
      <c r="O454" t="s">
        <v>148</v>
      </c>
      <c r="P454" s="4">
        <v>40.804001</v>
      </c>
      <c r="Q454" s="4">
        <v>-73.957565000000002</v>
      </c>
      <c r="R454" s="4">
        <v>40.803894</v>
      </c>
      <c r="S454" s="4">
        <v>-73.957297999999994</v>
      </c>
      <c r="T454" s="2">
        <v>44391</v>
      </c>
      <c r="U454" t="s">
        <v>49</v>
      </c>
      <c r="V454" t="s">
        <v>71</v>
      </c>
      <c r="W454" t="s">
        <v>51</v>
      </c>
      <c r="X454" s="4">
        <v>6</v>
      </c>
      <c r="Y454" s="4">
        <v>1</v>
      </c>
      <c r="AA454" s="4">
        <v>3</v>
      </c>
      <c r="AE454" s="4">
        <v>3</v>
      </c>
      <c r="AF454" s="4">
        <v>5</v>
      </c>
      <c r="AG454" s="4">
        <v>2</v>
      </c>
      <c r="AL454" s="4">
        <v>10</v>
      </c>
      <c r="AN454" s="4">
        <v>10</v>
      </c>
      <c r="AO454" s="4">
        <v>10</v>
      </c>
    </row>
    <row r="455" spans="1:41" hidden="1" x14ac:dyDescent="0.2">
      <c r="A455" t="s">
        <v>1101</v>
      </c>
      <c r="B455" t="s">
        <v>1102</v>
      </c>
      <c r="C455" s="2">
        <v>44120</v>
      </c>
      <c r="D455" s="2">
        <v>44391</v>
      </c>
      <c r="E455" s="3">
        <v>37663</v>
      </c>
      <c r="F455" t="s">
        <v>126</v>
      </c>
      <c r="G455" t="s">
        <v>475</v>
      </c>
      <c r="H455" t="s">
        <v>45</v>
      </c>
      <c r="I455" s="3">
        <v>10025</v>
      </c>
      <c r="J455" s="3">
        <v>1018610059</v>
      </c>
      <c r="K455" s="3">
        <v>1055976</v>
      </c>
      <c r="L455" t="s">
        <v>46</v>
      </c>
      <c r="M455" s="4">
        <v>7</v>
      </c>
      <c r="N455" t="s">
        <v>54</v>
      </c>
      <c r="O455" t="s">
        <v>48</v>
      </c>
      <c r="P455" s="4">
        <v>40.800685000000001</v>
      </c>
      <c r="Q455" s="4">
        <v>-73.964228000000006</v>
      </c>
      <c r="R455" s="4">
        <v>40.800674000000001</v>
      </c>
      <c r="S455" s="4">
        <v>-73.964765999999997</v>
      </c>
      <c r="T455" s="2">
        <v>44391</v>
      </c>
      <c r="U455" t="s">
        <v>49</v>
      </c>
      <c r="V455" t="s">
        <v>71</v>
      </c>
      <c r="W455" t="s">
        <v>51</v>
      </c>
      <c r="X455" s="4">
        <v>1</v>
      </c>
      <c r="Y455" s="4">
        <v>2</v>
      </c>
      <c r="Z455" s="4">
        <v>6</v>
      </c>
      <c r="AA455" s="4">
        <v>6</v>
      </c>
      <c r="AE455" s="4">
        <v>14</v>
      </c>
      <c r="AF455" s="4">
        <v>1</v>
      </c>
      <c r="AL455" s="4">
        <v>15</v>
      </c>
      <c r="AN455" s="4">
        <v>15</v>
      </c>
      <c r="AO455" s="4">
        <v>15</v>
      </c>
    </row>
    <row r="456" spans="1:41" hidden="1" x14ac:dyDescent="0.2">
      <c r="A456" t="s">
        <v>1101</v>
      </c>
      <c r="B456" t="s">
        <v>1102</v>
      </c>
      <c r="C456" s="2">
        <v>44120</v>
      </c>
      <c r="D456" s="2">
        <v>44391</v>
      </c>
      <c r="E456" s="3">
        <v>37665</v>
      </c>
      <c r="F456" t="s">
        <v>600</v>
      </c>
      <c r="G456" t="s">
        <v>475</v>
      </c>
      <c r="H456" t="s">
        <v>45</v>
      </c>
      <c r="I456" s="3">
        <v>10025</v>
      </c>
      <c r="J456" s="3">
        <v>1018610060</v>
      </c>
      <c r="K456" s="3">
        <v>1055977</v>
      </c>
      <c r="L456" t="s">
        <v>46</v>
      </c>
      <c r="M456" s="4">
        <v>7</v>
      </c>
      <c r="N456" t="s">
        <v>54</v>
      </c>
      <c r="O456" t="s">
        <v>48</v>
      </c>
      <c r="P456" s="4">
        <v>40.800704000000003</v>
      </c>
      <c r="Q456" s="4">
        <v>-73.964267000000007</v>
      </c>
      <c r="R456" s="4">
        <v>40.800710000000002</v>
      </c>
      <c r="S456" s="4">
        <v>-73.964844999999997</v>
      </c>
      <c r="T456" s="2">
        <v>44391</v>
      </c>
      <c r="U456" t="s">
        <v>49</v>
      </c>
      <c r="V456" t="s">
        <v>71</v>
      </c>
      <c r="W456" t="s">
        <v>51</v>
      </c>
      <c r="X456" s="4">
        <v>4</v>
      </c>
      <c r="Y456" s="4">
        <v>1</v>
      </c>
      <c r="Z456" s="4">
        <v>2</v>
      </c>
      <c r="AA456" s="4">
        <v>6</v>
      </c>
      <c r="AE456" s="4">
        <v>12</v>
      </c>
      <c r="AF456" s="4">
        <v>1</v>
      </c>
      <c r="AL456" s="4">
        <v>13</v>
      </c>
      <c r="AN456" s="4">
        <v>13</v>
      </c>
      <c r="AO456" s="4">
        <v>15</v>
      </c>
    </row>
    <row r="457" spans="1:41" hidden="1" x14ac:dyDescent="0.2">
      <c r="A457" t="s">
        <v>1101</v>
      </c>
      <c r="B457" t="s">
        <v>1102</v>
      </c>
      <c r="C457" s="2">
        <v>44120</v>
      </c>
      <c r="D457" s="2">
        <v>44391</v>
      </c>
      <c r="E457" s="3">
        <v>37772</v>
      </c>
      <c r="F457" t="s">
        <v>1115</v>
      </c>
      <c r="G457" t="s">
        <v>1116</v>
      </c>
      <c r="H457" t="s">
        <v>45</v>
      </c>
      <c r="I457" s="3">
        <v>10025</v>
      </c>
      <c r="J457" s="3">
        <v>1018630045</v>
      </c>
      <c r="K457" s="3">
        <v>1056013</v>
      </c>
      <c r="L457" t="s">
        <v>46</v>
      </c>
      <c r="M457" s="4">
        <v>7</v>
      </c>
      <c r="N457" t="s">
        <v>54</v>
      </c>
      <c r="O457" t="s">
        <v>48</v>
      </c>
      <c r="P457" s="4">
        <v>40.801499</v>
      </c>
      <c r="Q457" s="4">
        <v>-73.962254999999999</v>
      </c>
      <c r="R457" s="4">
        <v>40.801467000000002</v>
      </c>
      <c r="S457" s="4">
        <v>-73.962743000000003</v>
      </c>
      <c r="T457" s="2">
        <v>44391</v>
      </c>
      <c r="U457" t="s">
        <v>49</v>
      </c>
      <c r="V457" t="s">
        <v>71</v>
      </c>
      <c r="W457" t="s">
        <v>51</v>
      </c>
      <c r="X457" s="4">
        <v>4</v>
      </c>
      <c r="Z457" s="4">
        <v>1</v>
      </c>
      <c r="AA457" s="4">
        <v>3</v>
      </c>
      <c r="AE457" s="4">
        <v>2</v>
      </c>
      <c r="AF457" s="4">
        <v>6</v>
      </c>
      <c r="AL457" s="4">
        <v>8</v>
      </c>
      <c r="AN457" s="4">
        <v>8</v>
      </c>
      <c r="AO457" s="4">
        <v>15</v>
      </c>
    </row>
    <row r="458" spans="1:41" hidden="1" x14ac:dyDescent="0.2">
      <c r="A458" t="s">
        <v>1101</v>
      </c>
      <c r="B458" t="s">
        <v>1102</v>
      </c>
      <c r="C458" s="2">
        <v>44120</v>
      </c>
      <c r="D458" s="2">
        <v>44391</v>
      </c>
      <c r="E458" s="3">
        <v>37773</v>
      </c>
      <c r="F458" t="s">
        <v>94</v>
      </c>
      <c r="G458" t="s">
        <v>1116</v>
      </c>
      <c r="H458" t="s">
        <v>45</v>
      </c>
      <c r="I458" s="3">
        <v>10025</v>
      </c>
      <c r="J458" s="3">
        <v>1018630046</v>
      </c>
      <c r="K458" s="3">
        <v>1056014</v>
      </c>
      <c r="L458" t="s">
        <v>46</v>
      </c>
      <c r="M458" s="4">
        <v>7</v>
      </c>
      <c r="N458" t="s">
        <v>54</v>
      </c>
      <c r="O458" t="s">
        <v>48</v>
      </c>
      <c r="P458" s="4">
        <v>40.801515999999999</v>
      </c>
      <c r="Q458" s="4">
        <v>-73.962294999999997</v>
      </c>
      <c r="R458" s="4">
        <v>40.801499999999997</v>
      </c>
      <c r="S458" s="4">
        <v>-73.962822000000003</v>
      </c>
      <c r="T458" s="2">
        <v>44391</v>
      </c>
      <c r="U458" t="s">
        <v>49</v>
      </c>
      <c r="V458" t="s">
        <v>71</v>
      </c>
      <c r="W458" t="s">
        <v>51</v>
      </c>
      <c r="X458" s="4">
        <v>5</v>
      </c>
      <c r="Y458" s="4">
        <v>1</v>
      </c>
      <c r="Z458" s="4">
        <v>3</v>
      </c>
      <c r="AA458" s="4">
        <v>4</v>
      </c>
      <c r="AE458" s="4">
        <v>3</v>
      </c>
      <c r="AF458" s="4">
        <v>9</v>
      </c>
      <c r="AG458" s="4">
        <v>1</v>
      </c>
      <c r="AL458" s="4">
        <v>13</v>
      </c>
      <c r="AN458" s="4">
        <v>13</v>
      </c>
      <c r="AO458" s="4">
        <v>15</v>
      </c>
    </row>
    <row r="459" spans="1:41" hidden="1" x14ac:dyDescent="0.2">
      <c r="A459" t="s">
        <v>1101</v>
      </c>
      <c r="B459" t="s">
        <v>1102</v>
      </c>
      <c r="C459" s="2">
        <v>44120</v>
      </c>
      <c r="D459" s="2">
        <v>44391</v>
      </c>
      <c r="E459" s="3">
        <v>37779</v>
      </c>
      <c r="F459" t="s">
        <v>1117</v>
      </c>
      <c r="G459" t="s">
        <v>1116</v>
      </c>
      <c r="H459" t="s">
        <v>45</v>
      </c>
      <c r="I459" s="3">
        <v>10025</v>
      </c>
      <c r="J459" s="3">
        <v>1018630054</v>
      </c>
      <c r="K459" s="3">
        <v>1056022</v>
      </c>
      <c r="L459" t="s">
        <v>46</v>
      </c>
      <c r="M459" s="4">
        <v>7</v>
      </c>
      <c r="N459" t="s">
        <v>54</v>
      </c>
      <c r="O459" t="s">
        <v>48</v>
      </c>
      <c r="P459" s="4">
        <v>40.801653000000002</v>
      </c>
      <c r="Q459" s="4">
        <v>-73.962620000000001</v>
      </c>
      <c r="R459" s="4">
        <v>40.801766000000001</v>
      </c>
      <c r="S459" s="4">
        <v>-73.963453999999999</v>
      </c>
      <c r="T459" s="2">
        <v>44391</v>
      </c>
      <c r="U459" t="s">
        <v>49</v>
      </c>
      <c r="V459" t="s">
        <v>71</v>
      </c>
      <c r="W459" t="s">
        <v>51</v>
      </c>
      <c r="X459" s="4">
        <v>3</v>
      </c>
      <c r="AA459" s="4">
        <v>3</v>
      </c>
      <c r="AG459" s="4">
        <v>6</v>
      </c>
      <c r="AL459" s="4">
        <v>6</v>
      </c>
      <c r="AN459" s="4">
        <v>6</v>
      </c>
      <c r="AO459" s="4">
        <v>10</v>
      </c>
    </row>
    <row r="460" spans="1:41" hidden="1" x14ac:dyDescent="0.2">
      <c r="A460" t="s">
        <v>1101</v>
      </c>
      <c r="B460" t="s">
        <v>1102</v>
      </c>
      <c r="C460" s="2">
        <v>44120</v>
      </c>
      <c r="D460" s="2">
        <v>44391</v>
      </c>
      <c r="E460" s="3">
        <v>37780</v>
      </c>
      <c r="F460" t="s">
        <v>431</v>
      </c>
      <c r="G460" t="s">
        <v>1116</v>
      </c>
      <c r="H460" t="s">
        <v>45</v>
      </c>
      <c r="I460" s="3">
        <v>10025</v>
      </c>
      <c r="J460" s="3">
        <v>1018630055</v>
      </c>
      <c r="K460" s="3">
        <v>1056023</v>
      </c>
      <c r="L460" t="s">
        <v>46</v>
      </c>
      <c r="M460" s="4">
        <v>7</v>
      </c>
      <c r="N460" t="s">
        <v>54</v>
      </c>
      <c r="O460" t="s">
        <v>48</v>
      </c>
      <c r="P460" s="4">
        <v>40.801673000000001</v>
      </c>
      <c r="Q460" s="4">
        <v>-73.962663000000006</v>
      </c>
      <c r="R460" s="4">
        <v>40.801799000000003</v>
      </c>
      <c r="S460" s="4">
        <v>-73.963533999999996</v>
      </c>
      <c r="T460" s="2">
        <v>44391</v>
      </c>
      <c r="U460" t="s">
        <v>49</v>
      </c>
      <c r="V460" t="s">
        <v>71</v>
      </c>
      <c r="W460" t="s">
        <v>51</v>
      </c>
      <c r="X460" s="4">
        <v>2</v>
      </c>
      <c r="Y460" s="4">
        <v>1</v>
      </c>
      <c r="AA460" s="4">
        <v>5</v>
      </c>
      <c r="AG460" s="4">
        <v>8</v>
      </c>
      <c r="AL460" s="4">
        <v>8</v>
      </c>
      <c r="AN460" s="4">
        <v>8</v>
      </c>
      <c r="AO460" s="4">
        <v>10</v>
      </c>
    </row>
    <row r="461" spans="1:41" hidden="1" x14ac:dyDescent="0.2">
      <c r="A461" t="s">
        <v>1101</v>
      </c>
      <c r="B461" t="s">
        <v>1102</v>
      </c>
      <c r="C461" s="2">
        <v>44120</v>
      </c>
      <c r="D461" s="2">
        <v>44391</v>
      </c>
      <c r="E461" s="3">
        <v>37781</v>
      </c>
      <c r="F461" t="s">
        <v>128</v>
      </c>
      <c r="G461" t="s">
        <v>1116</v>
      </c>
      <c r="H461" t="s">
        <v>45</v>
      </c>
      <c r="I461" s="3">
        <v>10025</v>
      </c>
      <c r="J461" s="3">
        <v>1018630056</v>
      </c>
      <c r="K461" s="3">
        <v>1056024</v>
      </c>
      <c r="L461" t="s">
        <v>46</v>
      </c>
      <c r="M461" s="4">
        <v>7</v>
      </c>
      <c r="N461" t="s">
        <v>54</v>
      </c>
      <c r="O461" t="s">
        <v>48</v>
      </c>
      <c r="P461" s="4">
        <v>40.801689000000003</v>
      </c>
      <c r="Q461" s="4">
        <v>-73.962703000000005</v>
      </c>
      <c r="R461" s="4">
        <v>40.801831999999997</v>
      </c>
      <c r="S461" s="4">
        <v>-73.963612999999995</v>
      </c>
      <c r="T461" s="2">
        <v>44391</v>
      </c>
      <c r="U461" t="s">
        <v>49</v>
      </c>
      <c r="V461" t="s">
        <v>71</v>
      </c>
      <c r="W461" t="s">
        <v>51</v>
      </c>
      <c r="X461" s="4">
        <v>6</v>
      </c>
      <c r="Z461" s="4">
        <v>1</v>
      </c>
      <c r="AA461" s="4">
        <v>1</v>
      </c>
      <c r="AD461" s="4">
        <v>1</v>
      </c>
      <c r="AF461" s="4">
        <v>1</v>
      </c>
      <c r="AG461" s="4">
        <v>6</v>
      </c>
      <c r="AL461" s="4">
        <v>8</v>
      </c>
      <c r="AN461" s="4">
        <v>8</v>
      </c>
      <c r="AO461" s="4">
        <v>12</v>
      </c>
    </row>
    <row r="462" spans="1:41" hidden="1" x14ac:dyDescent="0.2">
      <c r="A462" t="s">
        <v>1101</v>
      </c>
      <c r="B462" t="s">
        <v>1102</v>
      </c>
      <c r="C462" s="2">
        <v>44120</v>
      </c>
      <c r="D462" s="2">
        <v>44391</v>
      </c>
      <c r="E462" s="3">
        <v>37787</v>
      </c>
      <c r="F462" t="s">
        <v>669</v>
      </c>
      <c r="G462" t="s">
        <v>1116</v>
      </c>
      <c r="H462" t="s">
        <v>45</v>
      </c>
      <c r="I462" s="3">
        <v>10025</v>
      </c>
      <c r="J462" s="3">
        <v>1018800037</v>
      </c>
      <c r="K462" s="3">
        <v>1056683</v>
      </c>
      <c r="L462" t="s">
        <v>46</v>
      </c>
      <c r="M462" s="4">
        <v>7</v>
      </c>
      <c r="N462" t="s">
        <v>59</v>
      </c>
      <c r="O462" t="s">
        <v>48</v>
      </c>
      <c r="P462" s="4">
        <v>40.802526999999998</v>
      </c>
      <c r="Q462" s="4">
        <v>-73.964692999999997</v>
      </c>
      <c r="R462" s="4">
        <v>40.802408999999997</v>
      </c>
      <c r="S462" s="4">
        <v>-73.964973999999998</v>
      </c>
      <c r="T462" s="2">
        <v>44391</v>
      </c>
      <c r="U462" t="s">
        <v>49</v>
      </c>
      <c r="V462" t="s">
        <v>71</v>
      </c>
      <c r="W462" t="s">
        <v>51</v>
      </c>
      <c r="X462" s="4">
        <v>11</v>
      </c>
      <c r="Z462" s="4">
        <v>1</v>
      </c>
      <c r="AA462" s="4">
        <v>6</v>
      </c>
      <c r="AC462" s="4">
        <v>1</v>
      </c>
      <c r="AE462" s="4">
        <v>1</v>
      </c>
      <c r="AF462" s="4">
        <v>12</v>
      </c>
      <c r="AG462" s="4">
        <v>4</v>
      </c>
      <c r="AH462" s="4">
        <v>2</v>
      </c>
      <c r="AL462" s="4">
        <v>19</v>
      </c>
      <c r="AN462" s="4">
        <v>19</v>
      </c>
      <c r="AO462" s="4">
        <v>26</v>
      </c>
    </row>
    <row r="463" spans="1:41" hidden="1" x14ac:dyDescent="0.2">
      <c r="A463" t="s">
        <v>1101</v>
      </c>
      <c r="B463" t="s">
        <v>1102</v>
      </c>
      <c r="C463" s="2">
        <v>44120</v>
      </c>
      <c r="D463" s="2">
        <v>44391</v>
      </c>
      <c r="E463" s="3">
        <v>37788</v>
      </c>
      <c r="F463" t="s">
        <v>57</v>
      </c>
      <c r="G463" t="s">
        <v>1116</v>
      </c>
      <c r="H463" t="s">
        <v>45</v>
      </c>
      <c r="I463" s="3">
        <v>10025</v>
      </c>
      <c r="J463" s="3">
        <v>1018810028</v>
      </c>
      <c r="K463" s="3">
        <v>1056711</v>
      </c>
      <c r="L463" t="s">
        <v>46</v>
      </c>
      <c r="M463" s="4">
        <v>7</v>
      </c>
      <c r="N463" t="s">
        <v>59</v>
      </c>
      <c r="O463" t="s">
        <v>48</v>
      </c>
      <c r="P463" s="4">
        <v>40.802715999999997</v>
      </c>
      <c r="Q463" s="4">
        <v>-73.965092999999996</v>
      </c>
      <c r="R463" s="4">
        <v>40.802771</v>
      </c>
      <c r="S463" s="4">
        <v>-73.964685000000003</v>
      </c>
      <c r="T463" s="2">
        <v>44391</v>
      </c>
      <c r="U463" t="s">
        <v>49</v>
      </c>
      <c r="V463" t="s">
        <v>71</v>
      </c>
      <c r="W463" t="s">
        <v>51</v>
      </c>
      <c r="X463" s="4">
        <v>1</v>
      </c>
      <c r="Z463" s="4">
        <v>2</v>
      </c>
      <c r="AA463" s="4">
        <v>8</v>
      </c>
      <c r="AE463" s="4">
        <v>2</v>
      </c>
      <c r="AF463" s="4">
        <v>8</v>
      </c>
      <c r="AH463" s="4">
        <v>1</v>
      </c>
      <c r="AL463" s="4">
        <v>11</v>
      </c>
      <c r="AN463" s="4">
        <v>11</v>
      </c>
      <c r="AO463" s="4">
        <v>16</v>
      </c>
    </row>
    <row r="464" spans="1:41" hidden="1" x14ac:dyDescent="0.2">
      <c r="A464" t="s">
        <v>1101</v>
      </c>
      <c r="B464" t="s">
        <v>1102</v>
      </c>
      <c r="C464" s="2">
        <v>44120</v>
      </c>
      <c r="D464" s="2">
        <v>44391</v>
      </c>
      <c r="E464" s="3">
        <v>37789</v>
      </c>
      <c r="F464" t="s">
        <v>693</v>
      </c>
      <c r="G464" t="s">
        <v>1116</v>
      </c>
      <c r="H464" t="s">
        <v>45</v>
      </c>
      <c r="I464" s="3">
        <v>10025</v>
      </c>
      <c r="J464" s="3">
        <v>1018810027</v>
      </c>
      <c r="K464" s="3">
        <v>1056710</v>
      </c>
      <c r="L464" t="s">
        <v>46</v>
      </c>
      <c r="M464" s="4">
        <v>7</v>
      </c>
      <c r="N464" t="s">
        <v>59</v>
      </c>
      <c r="O464" t="s">
        <v>48</v>
      </c>
      <c r="P464" s="4">
        <v>40.802729999999997</v>
      </c>
      <c r="Q464" s="4">
        <v>-73.965125999999998</v>
      </c>
      <c r="R464" s="4">
        <v>40.802807000000001</v>
      </c>
      <c r="S464" s="4">
        <v>-73.964768000000007</v>
      </c>
      <c r="T464" s="2">
        <v>44391</v>
      </c>
      <c r="U464" t="s">
        <v>49</v>
      </c>
      <c r="V464" t="s">
        <v>71</v>
      </c>
      <c r="W464" t="s">
        <v>51</v>
      </c>
      <c r="X464" s="4">
        <v>5</v>
      </c>
      <c r="AA464" s="4">
        <v>4</v>
      </c>
      <c r="AE464" s="4">
        <v>1</v>
      </c>
      <c r="AF464" s="4">
        <v>6</v>
      </c>
      <c r="AG464" s="4">
        <v>2</v>
      </c>
      <c r="AL464" s="4">
        <v>9</v>
      </c>
      <c r="AN464" s="4">
        <v>9</v>
      </c>
      <c r="AO464" s="4">
        <v>16</v>
      </c>
    </row>
    <row r="465" spans="1:41" hidden="1" x14ac:dyDescent="0.2">
      <c r="A465" t="s">
        <v>1101</v>
      </c>
      <c r="B465" t="s">
        <v>1102</v>
      </c>
      <c r="C465" s="2">
        <v>44120</v>
      </c>
      <c r="D465" s="2">
        <v>44391</v>
      </c>
      <c r="E465" s="3">
        <v>37790</v>
      </c>
      <c r="F465" t="s">
        <v>192</v>
      </c>
      <c r="G465" t="s">
        <v>1116</v>
      </c>
      <c r="H465" t="s">
        <v>45</v>
      </c>
      <c r="I465" s="3">
        <v>10025</v>
      </c>
      <c r="J465" s="3">
        <v>1018800039</v>
      </c>
      <c r="K465" s="3">
        <v>1056684</v>
      </c>
      <c r="L465" t="s">
        <v>46</v>
      </c>
      <c r="M465" s="4">
        <v>7</v>
      </c>
      <c r="N465" t="s">
        <v>59</v>
      </c>
      <c r="O465" t="s">
        <v>48</v>
      </c>
      <c r="P465" s="4">
        <v>40.802715999999997</v>
      </c>
      <c r="Q465" s="4">
        <v>-73.965136999999999</v>
      </c>
      <c r="R465" s="4">
        <v>40.802461000000001</v>
      </c>
      <c r="S465" s="4">
        <v>-73.965101000000004</v>
      </c>
      <c r="T465" s="2">
        <v>44391</v>
      </c>
      <c r="U465" t="s">
        <v>49</v>
      </c>
      <c r="V465" t="s">
        <v>71</v>
      </c>
      <c r="W465" t="s">
        <v>51</v>
      </c>
      <c r="X465" s="4">
        <v>4</v>
      </c>
      <c r="Z465" s="4">
        <v>1</v>
      </c>
      <c r="AA465" s="4">
        <v>3</v>
      </c>
      <c r="AE465" s="4">
        <v>1</v>
      </c>
      <c r="AF465" s="4">
        <v>3</v>
      </c>
      <c r="AG465" s="4">
        <v>2</v>
      </c>
      <c r="AH465" s="4">
        <v>2</v>
      </c>
      <c r="AL465" s="4">
        <v>8</v>
      </c>
      <c r="AN465" s="4">
        <v>8</v>
      </c>
      <c r="AO465" s="4">
        <v>25</v>
      </c>
    </row>
    <row r="466" spans="1:41" hidden="1" x14ac:dyDescent="0.2">
      <c r="A466" t="s">
        <v>1101</v>
      </c>
      <c r="B466" t="s">
        <v>1102</v>
      </c>
      <c r="C466" s="2">
        <v>44120</v>
      </c>
      <c r="D466" s="2">
        <v>44391</v>
      </c>
      <c r="E466" s="3">
        <v>37791</v>
      </c>
      <c r="F466" t="s">
        <v>694</v>
      </c>
      <c r="G466" t="s">
        <v>1116</v>
      </c>
      <c r="H466" t="s">
        <v>45</v>
      </c>
      <c r="I466" s="3">
        <v>10025</v>
      </c>
      <c r="J466" s="3">
        <v>1018810026</v>
      </c>
      <c r="K466" s="3">
        <v>1056709</v>
      </c>
      <c r="L466" t="s">
        <v>46</v>
      </c>
      <c r="M466" s="4">
        <v>7</v>
      </c>
      <c r="N466" t="s">
        <v>59</v>
      </c>
      <c r="O466" t="s">
        <v>48</v>
      </c>
      <c r="P466" s="4">
        <v>40.802743999999997</v>
      </c>
      <c r="Q466" s="4">
        <v>-73.965158000000002</v>
      </c>
      <c r="R466" s="4">
        <v>40.802840000000003</v>
      </c>
      <c r="S466" s="4">
        <v>-73.964848000000003</v>
      </c>
      <c r="T466" s="2">
        <v>44391</v>
      </c>
      <c r="U466" t="s">
        <v>49</v>
      </c>
      <c r="V466" t="s">
        <v>71</v>
      </c>
      <c r="W466" t="s">
        <v>51</v>
      </c>
      <c r="X466" s="4">
        <v>3</v>
      </c>
      <c r="Y466" s="4">
        <v>1</v>
      </c>
      <c r="Z466" s="4">
        <v>2</v>
      </c>
      <c r="AA466" s="4">
        <v>2</v>
      </c>
      <c r="AE466" s="4">
        <v>1</v>
      </c>
      <c r="AF466" s="4">
        <v>5</v>
      </c>
      <c r="AG466" s="4">
        <v>2</v>
      </c>
      <c r="AL466" s="4">
        <v>8</v>
      </c>
      <c r="AN466" s="4">
        <v>8</v>
      </c>
      <c r="AO466" s="4">
        <v>16</v>
      </c>
    </row>
    <row r="467" spans="1:41" hidden="1" x14ac:dyDescent="0.2">
      <c r="A467" t="s">
        <v>1101</v>
      </c>
      <c r="B467" t="s">
        <v>1102</v>
      </c>
      <c r="C467" s="2">
        <v>44120</v>
      </c>
      <c r="D467" s="2">
        <v>44391</v>
      </c>
      <c r="E467" s="3">
        <v>37792</v>
      </c>
      <c r="F467" t="s">
        <v>695</v>
      </c>
      <c r="G467" t="s">
        <v>1116</v>
      </c>
      <c r="H467" t="s">
        <v>45</v>
      </c>
      <c r="I467" s="3">
        <v>10025</v>
      </c>
      <c r="J467" s="3">
        <v>1018810025</v>
      </c>
      <c r="K467" s="3">
        <v>1056708</v>
      </c>
      <c r="L467" t="s">
        <v>46</v>
      </c>
      <c r="M467" s="4">
        <v>7</v>
      </c>
      <c r="N467" t="s">
        <v>59</v>
      </c>
      <c r="O467" t="s">
        <v>48</v>
      </c>
      <c r="P467" s="4">
        <v>40.802757</v>
      </c>
      <c r="Q467" s="4">
        <v>-73.965191000000004</v>
      </c>
      <c r="R467" s="4">
        <v>40.802872999999998</v>
      </c>
      <c r="S467" s="4">
        <v>-73.964931000000007</v>
      </c>
      <c r="T467" s="2">
        <v>44391</v>
      </c>
      <c r="U467" t="s">
        <v>49</v>
      </c>
      <c r="V467" t="s">
        <v>71</v>
      </c>
      <c r="W467" t="s">
        <v>51</v>
      </c>
      <c r="X467" s="4">
        <v>1</v>
      </c>
      <c r="Z467" s="4">
        <v>1</v>
      </c>
      <c r="AA467" s="4">
        <v>6</v>
      </c>
      <c r="AC467" s="4">
        <v>1</v>
      </c>
      <c r="AE467" s="4">
        <v>1</v>
      </c>
      <c r="AF467" s="4">
        <v>7</v>
      </c>
      <c r="AG467" s="4">
        <v>1</v>
      </c>
      <c r="AL467" s="4">
        <v>9</v>
      </c>
      <c r="AN467" s="4">
        <v>9</v>
      </c>
      <c r="AO467" s="4">
        <v>16</v>
      </c>
    </row>
    <row r="468" spans="1:41" hidden="1" x14ac:dyDescent="0.2">
      <c r="A468" t="s">
        <v>1101</v>
      </c>
      <c r="B468" t="s">
        <v>1102</v>
      </c>
      <c r="C468" s="2">
        <v>44120</v>
      </c>
      <c r="D468" s="2">
        <v>44391</v>
      </c>
      <c r="E468" s="3">
        <v>37794</v>
      </c>
      <c r="F468" t="s">
        <v>547</v>
      </c>
      <c r="G468" t="s">
        <v>1116</v>
      </c>
      <c r="H468" t="s">
        <v>45</v>
      </c>
      <c r="I468" s="3">
        <v>10025</v>
      </c>
      <c r="J468" s="3">
        <v>1018810024</v>
      </c>
      <c r="K468" s="3">
        <v>1056707</v>
      </c>
      <c r="L468" t="s">
        <v>46</v>
      </c>
      <c r="M468" s="4">
        <v>7</v>
      </c>
      <c r="N468" t="s">
        <v>59</v>
      </c>
      <c r="O468" t="s">
        <v>48</v>
      </c>
      <c r="P468" s="4">
        <v>40.802771</v>
      </c>
      <c r="Q468" s="4">
        <v>-73.965226999999999</v>
      </c>
      <c r="R468" s="4">
        <v>40.802917000000001</v>
      </c>
      <c r="S468" s="4">
        <v>-73.965028000000004</v>
      </c>
      <c r="T468" s="2">
        <v>44391</v>
      </c>
      <c r="U468" t="s">
        <v>49</v>
      </c>
      <c r="V468" t="s">
        <v>71</v>
      </c>
      <c r="W468" t="s">
        <v>51</v>
      </c>
      <c r="X468" s="4">
        <v>6</v>
      </c>
      <c r="Z468" s="4">
        <v>2</v>
      </c>
      <c r="AA468" s="4">
        <v>1</v>
      </c>
      <c r="AF468" s="4">
        <v>8</v>
      </c>
      <c r="AG468" s="4">
        <v>1</v>
      </c>
      <c r="AL468" s="4">
        <v>9</v>
      </c>
      <c r="AN468" s="4">
        <v>9</v>
      </c>
      <c r="AO468" s="4">
        <v>25</v>
      </c>
    </row>
    <row r="469" spans="1:41" hidden="1" x14ac:dyDescent="0.2">
      <c r="A469" t="s">
        <v>1101</v>
      </c>
      <c r="B469" t="s">
        <v>1102</v>
      </c>
      <c r="C469" s="2">
        <v>44120</v>
      </c>
      <c r="D469" s="2">
        <v>44391</v>
      </c>
      <c r="E469" s="3">
        <v>37795</v>
      </c>
      <c r="F469" t="s">
        <v>313</v>
      </c>
      <c r="G469" t="s">
        <v>1116</v>
      </c>
      <c r="H469" t="s">
        <v>45</v>
      </c>
      <c r="I469" s="3">
        <v>10025</v>
      </c>
      <c r="J469" s="3">
        <v>1018800042</v>
      </c>
      <c r="K469" s="3">
        <v>1056686</v>
      </c>
      <c r="L469" t="s">
        <v>46</v>
      </c>
      <c r="M469" s="4">
        <v>7</v>
      </c>
      <c r="N469" t="s">
        <v>59</v>
      </c>
      <c r="O469" t="s">
        <v>48</v>
      </c>
      <c r="P469" s="4">
        <v>40.802757</v>
      </c>
      <c r="Q469" s="4">
        <v>-73.965237999999999</v>
      </c>
      <c r="R469" s="4">
        <v>40.802568000000001</v>
      </c>
      <c r="S469" s="4">
        <v>-73.965356999999997</v>
      </c>
      <c r="T469" s="2">
        <v>44391</v>
      </c>
      <c r="U469" t="s">
        <v>49</v>
      </c>
      <c r="V469" t="s">
        <v>71</v>
      </c>
      <c r="W469" t="s">
        <v>51</v>
      </c>
      <c r="X469" s="4">
        <v>10</v>
      </c>
      <c r="AA469" s="4">
        <v>1</v>
      </c>
      <c r="AF469" s="4">
        <v>3</v>
      </c>
      <c r="AG469" s="4">
        <v>7</v>
      </c>
      <c r="AH469" s="4">
        <v>1</v>
      </c>
      <c r="AL469" s="4">
        <v>11</v>
      </c>
      <c r="AN469" s="4">
        <v>11</v>
      </c>
      <c r="AO469" s="4">
        <v>20</v>
      </c>
    </row>
    <row r="470" spans="1:41" hidden="1" x14ac:dyDescent="0.2">
      <c r="A470" t="s">
        <v>1101</v>
      </c>
      <c r="B470" t="s">
        <v>1102</v>
      </c>
      <c r="C470" s="2">
        <v>44120</v>
      </c>
      <c r="D470" s="2">
        <v>44391</v>
      </c>
      <c r="E470" s="3">
        <v>37796</v>
      </c>
      <c r="F470" t="s">
        <v>1118</v>
      </c>
      <c r="G470" t="s">
        <v>1116</v>
      </c>
      <c r="H470" t="s">
        <v>45</v>
      </c>
      <c r="I470" s="3">
        <v>10025</v>
      </c>
      <c r="J470" s="3">
        <v>1018800044</v>
      </c>
      <c r="K470" s="3">
        <v>1056687</v>
      </c>
      <c r="L470" t="s">
        <v>46</v>
      </c>
      <c r="M470" s="4">
        <v>7</v>
      </c>
      <c r="N470" t="s">
        <v>59</v>
      </c>
      <c r="O470" t="s">
        <v>48</v>
      </c>
      <c r="P470" s="4">
        <v>40.802773999999999</v>
      </c>
      <c r="Q470" s="4">
        <v>-73.965273999999994</v>
      </c>
      <c r="R470" s="4">
        <v>40.802619999999997</v>
      </c>
      <c r="S470" s="4">
        <v>-73.965479999999999</v>
      </c>
      <c r="T470" s="2">
        <v>44391</v>
      </c>
      <c r="U470" t="s">
        <v>49</v>
      </c>
      <c r="V470" t="s">
        <v>71</v>
      </c>
      <c r="W470" t="s">
        <v>51</v>
      </c>
      <c r="X470" s="4">
        <v>4</v>
      </c>
      <c r="AA470" s="4">
        <v>5</v>
      </c>
      <c r="AF470" s="4">
        <v>6</v>
      </c>
      <c r="AG470" s="4">
        <v>2</v>
      </c>
      <c r="AH470" s="4">
        <v>1</v>
      </c>
      <c r="AL470" s="4">
        <v>9</v>
      </c>
      <c r="AN470" s="4">
        <v>9</v>
      </c>
      <c r="AO470" s="4">
        <v>20</v>
      </c>
    </row>
    <row r="471" spans="1:41" hidden="1" x14ac:dyDescent="0.2">
      <c r="A471" t="s">
        <v>1101</v>
      </c>
      <c r="B471" t="s">
        <v>1102</v>
      </c>
      <c r="C471" s="2">
        <v>44120</v>
      </c>
      <c r="D471" s="2">
        <v>44391</v>
      </c>
      <c r="E471" s="3">
        <v>37799</v>
      </c>
      <c r="F471" t="s">
        <v>231</v>
      </c>
      <c r="G471" t="s">
        <v>1116</v>
      </c>
      <c r="H471" t="s">
        <v>45</v>
      </c>
      <c r="I471" s="3">
        <v>10025</v>
      </c>
      <c r="J471" s="3">
        <v>1018810019</v>
      </c>
      <c r="K471" s="3">
        <v>1056704</v>
      </c>
      <c r="L471" t="s">
        <v>46</v>
      </c>
      <c r="M471" s="4">
        <v>7</v>
      </c>
      <c r="N471" t="s">
        <v>59</v>
      </c>
      <c r="O471" t="s">
        <v>48</v>
      </c>
      <c r="P471" s="4">
        <v>40.802869999999999</v>
      </c>
      <c r="Q471" s="4">
        <v>-73.965457999999998</v>
      </c>
      <c r="R471" s="4">
        <v>40.803047999999997</v>
      </c>
      <c r="S471" s="4">
        <v>-73.965343000000004</v>
      </c>
      <c r="T471" s="2">
        <v>44391</v>
      </c>
      <c r="U471" t="s">
        <v>49</v>
      </c>
      <c r="V471" t="s">
        <v>71</v>
      </c>
      <c r="W471" t="s">
        <v>51</v>
      </c>
      <c r="X471" s="4">
        <v>2</v>
      </c>
      <c r="Y471" s="4">
        <v>2</v>
      </c>
      <c r="Z471" s="4">
        <v>3</v>
      </c>
      <c r="AA471" s="4">
        <v>4</v>
      </c>
      <c r="AF471" s="4">
        <v>4</v>
      </c>
      <c r="AG471" s="4">
        <v>1</v>
      </c>
      <c r="AH471" s="4">
        <v>6</v>
      </c>
      <c r="AL471" s="4">
        <v>11</v>
      </c>
      <c r="AN471" s="4">
        <v>11</v>
      </c>
      <c r="AO471" s="4">
        <v>25</v>
      </c>
    </row>
    <row r="472" spans="1:41" hidden="1" x14ac:dyDescent="0.2">
      <c r="A472" t="s">
        <v>1101</v>
      </c>
      <c r="B472" t="s">
        <v>1102</v>
      </c>
      <c r="C472" s="2">
        <v>44120</v>
      </c>
      <c r="D472" s="2">
        <v>44391</v>
      </c>
      <c r="E472" s="3">
        <v>37801</v>
      </c>
      <c r="F472" t="s">
        <v>1062</v>
      </c>
      <c r="G472" t="s">
        <v>1116</v>
      </c>
      <c r="H472" t="s">
        <v>45</v>
      </c>
      <c r="I472" s="3">
        <v>10025</v>
      </c>
      <c r="J472" s="3">
        <v>1018810015</v>
      </c>
      <c r="K472" s="3">
        <v>1056702</v>
      </c>
      <c r="L472" t="s">
        <v>46</v>
      </c>
      <c r="M472" s="4">
        <v>7</v>
      </c>
      <c r="N472" t="s">
        <v>59</v>
      </c>
      <c r="O472" t="s">
        <v>48</v>
      </c>
      <c r="P472" s="4">
        <v>40.802928000000001</v>
      </c>
      <c r="Q472" s="4">
        <v>-73.965592000000001</v>
      </c>
      <c r="R472" s="4">
        <v>40.803185999999997</v>
      </c>
      <c r="S472" s="4">
        <v>-73.965667999999994</v>
      </c>
      <c r="T472" s="2">
        <v>44391</v>
      </c>
      <c r="U472" t="s">
        <v>49</v>
      </c>
      <c r="V472" t="s">
        <v>71</v>
      </c>
      <c r="W472" t="s">
        <v>51</v>
      </c>
      <c r="X472" s="4">
        <v>6</v>
      </c>
      <c r="Y472" s="4">
        <v>2</v>
      </c>
      <c r="AA472" s="4">
        <v>6</v>
      </c>
      <c r="AF472" s="4">
        <v>5</v>
      </c>
      <c r="AG472" s="4">
        <v>3</v>
      </c>
      <c r="AH472" s="4">
        <v>5</v>
      </c>
      <c r="AI472" s="4">
        <v>1</v>
      </c>
      <c r="AL472" s="4">
        <v>14</v>
      </c>
      <c r="AN472" s="4">
        <v>14</v>
      </c>
      <c r="AO472" s="4">
        <v>25</v>
      </c>
    </row>
    <row r="473" spans="1:41" hidden="1" x14ac:dyDescent="0.2">
      <c r="A473" t="s">
        <v>1101</v>
      </c>
      <c r="B473" t="s">
        <v>1102</v>
      </c>
      <c r="C473" s="2">
        <v>44120</v>
      </c>
      <c r="D473" s="2">
        <v>44391</v>
      </c>
      <c r="E473" s="3">
        <v>37803</v>
      </c>
      <c r="F473" t="s">
        <v>323</v>
      </c>
      <c r="G473" t="s">
        <v>1116</v>
      </c>
      <c r="H473" t="s">
        <v>45</v>
      </c>
      <c r="I473" s="3">
        <v>10025</v>
      </c>
      <c r="J473" s="3">
        <v>1018810012</v>
      </c>
      <c r="K473" s="3">
        <v>1056700</v>
      </c>
      <c r="L473" t="s">
        <v>46</v>
      </c>
      <c r="M473" s="4">
        <v>7</v>
      </c>
      <c r="N473" t="s">
        <v>59</v>
      </c>
      <c r="O473" t="s">
        <v>48</v>
      </c>
      <c r="P473" s="4">
        <v>40.802982999999998</v>
      </c>
      <c r="Q473" s="4">
        <v>-73.965725000000006</v>
      </c>
      <c r="R473" s="4">
        <v>40.803300999999998</v>
      </c>
      <c r="S473" s="4">
        <v>-73.965941999999998</v>
      </c>
      <c r="T473" s="2">
        <v>44391</v>
      </c>
      <c r="U473" t="s">
        <v>49</v>
      </c>
      <c r="V473" t="s">
        <v>71</v>
      </c>
      <c r="W473" t="s">
        <v>51</v>
      </c>
      <c r="X473" s="4">
        <v>6</v>
      </c>
      <c r="Y473" s="4">
        <v>1</v>
      </c>
      <c r="Z473" s="4">
        <v>1</v>
      </c>
      <c r="AA473" s="4">
        <v>6</v>
      </c>
      <c r="AE473" s="4">
        <v>2</v>
      </c>
      <c r="AF473" s="4">
        <v>12</v>
      </c>
      <c r="AL473" s="4">
        <v>14</v>
      </c>
      <c r="AN473" s="4">
        <v>14</v>
      </c>
      <c r="AO473" s="4">
        <v>16</v>
      </c>
    </row>
    <row r="474" spans="1:41" hidden="1" x14ac:dyDescent="0.2">
      <c r="A474" t="s">
        <v>1101</v>
      </c>
      <c r="B474" t="s">
        <v>1102</v>
      </c>
      <c r="C474" s="2">
        <v>44120</v>
      </c>
      <c r="D474" s="2">
        <v>44391</v>
      </c>
      <c r="E474" s="3">
        <v>37805</v>
      </c>
      <c r="F474" t="s">
        <v>1119</v>
      </c>
      <c r="G474" t="s">
        <v>1116</v>
      </c>
      <c r="H474" t="s">
        <v>45</v>
      </c>
      <c r="I474" s="3">
        <v>10025</v>
      </c>
      <c r="J474" s="3">
        <v>1018810011</v>
      </c>
      <c r="K474" s="3">
        <v>1056699</v>
      </c>
      <c r="L474" t="s">
        <v>46</v>
      </c>
      <c r="M474" s="4">
        <v>7</v>
      </c>
      <c r="N474" t="s">
        <v>59</v>
      </c>
      <c r="O474" t="s">
        <v>48</v>
      </c>
      <c r="P474" s="4">
        <v>40.802999</v>
      </c>
      <c r="Q474" s="4">
        <v>-73.965761999999998</v>
      </c>
      <c r="R474" s="4">
        <v>40.803334</v>
      </c>
      <c r="S474" s="4">
        <v>-73.966020999999998</v>
      </c>
      <c r="T474" s="2">
        <v>44391</v>
      </c>
      <c r="U474" t="s">
        <v>49</v>
      </c>
      <c r="V474" t="s">
        <v>71</v>
      </c>
      <c r="W474" t="s">
        <v>51</v>
      </c>
      <c r="X474" s="4">
        <v>3</v>
      </c>
      <c r="Z474" s="4">
        <v>1</v>
      </c>
      <c r="AA474" s="4">
        <v>6</v>
      </c>
      <c r="AE474" s="4">
        <v>3</v>
      </c>
      <c r="AF474" s="4">
        <v>7</v>
      </c>
      <c r="AL474" s="4">
        <v>10</v>
      </c>
      <c r="AN474" s="4">
        <v>10</v>
      </c>
      <c r="AO474" s="4">
        <v>16</v>
      </c>
    </row>
    <row r="475" spans="1:41" hidden="1" x14ac:dyDescent="0.2">
      <c r="A475" t="s">
        <v>1101</v>
      </c>
      <c r="B475" t="s">
        <v>1102</v>
      </c>
      <c r="C475" s="2">
        <v>44120</v>
      </c>
      <c r="D475" s="2">
        <v>44391</v>
      </c>
      <c r="E475" s="3">
        <v>37807</v>
      </c>
      <c r="F475" t="s">
        <v>762</v>
      </c>
      <c r="G475" t="s">
        <v>1116</v>
      </c>
      <c r="H475" t="s">
        <v>45</v>
      </c>
      <c r="I475" s="3">
        <v>10025</v>
      </c>
      <c r="J475" s="3">
        <v>1018810010</v>
      </c>
      <c r="K475" s="3">
        <v>1056698</v>
      </c>
      <c r="L475" t="s">
        <v>46</v>
      </c>
      <c r="M475" s="4">
        <v>7</v>
      </c>
      <c r="N475" t="s">
        <v>59</v>
      </c>
      <c r="O475" t="s">
        <v>48</v>
      </c>
      <c r="P475" s="4">
        <v>40.803013</v>
      </c>
      <c r="Q475" s="4">
        <v>-73.965794000000002</v>
      </c>
      <c r="R475" s="4">
        <v>40.803370000000001</v>
      </c>
      <c r="S475" s="4">
        <v>-73.966100999999995</v>
      </c>
      <c r="T475" s="2">
        <v>44391</v>
      </c>
      <c r="U475" t="s">
        <v>49</v>
      </c>
      <c r="V475" t="s">
        <v>71</v>
      </c>
      <c r="W475" t="s">
        <v>51</v>
      </c>
      <c r="X475" s="4">
        <v>4</v>
      </c>
      <c r="AA475" s="4">
        <v>4</v>
      </c>
      <c r="AE475" s="4">
        <v>3</v>
      </c>
      <c r="AF475" s="4">
        <v>4</v>
      </c>
      <c r="AG475" s="4">
        <v>1</v>
      </c>
      <c r="AL475" s="4">
        <v>8</v>
      </c>
      <c r="AN475" s="4">
        <v>8</v>
      </c>
      <c r="AO475" s="4">
        <v>15</v>
      </c>
    </row>
    <row r="476" spans="1:41" hidden="1" x14ac:dyDescent="0.2">
      <c r="A476" t="s">
        <v>1101</v>
      </c>
      <c r="B476" t="s">
        <v>1102</v>
      </c>
      <c r="C476" s="2">
        <v>44120</v>
      </c>
      <c r="D476" s="2">
        <v>44391</v>
      </c>
      <c r="E476" s="3">
        <v>37809</v>
      </c>
      <c r="F476" t="s">
        <v>518</v>
      </c>
      <c r="G476" t="s">
        <v>1116</v>
      </c>
      <c r="H476" t="s">
        <v>45</v>
      </c>
      <c r="I476" s="3">
        <v>10025</v>
      </c>
      <c r="J476" s="3">
        <v>1018810009</v>
      </c>
      <c r="K476" s="3">
        <v>1056697</v>
      </c>
      <c r="L476" t="s">
        <v>46</v>
      </c>
      <c r="M476" s="4">
        <v>7</v>
      </c>
      <c r="N476" t="s">
        <v>59</v>
      </c>
      <c r="O476" t="s">
        <v>48</v>
      </c>
      <c r="P476" s="4">
        <v>40.803027</v>
      </c>
      <c r="Q476" s="4">
        <v>-73.965827000000004</v>
      </c>
      <c r="R476" s="4">
        <v>40.803400000000003</v>
      </c>
      <c r="S476" s="4">
        <v>-73.966179999999994</v>
      </c>
      <c r="T476" s="2">
        <v>44391</v>
      </c>
      <c r="U476" t="s">
        <v>49</v>
      </c>
      <c r="V476" t="s">
        <v>71</v>
      </c>
      <c r="W476" t="s">
        <v>51</v>
      </c>
      <c r="X476" s="4">
        <v>4</v>
      </c>
      <c r="AA476" s="4">
        <v>6</v>
      </c>
      <c r="AE476" s="4">
        <v>3</v>
      </c>
      <c r="AF476" s="4">
        <v>6</v>
      </c>
      <c r="AG476" s="4">
        <v>1</v>
      </c>
      <c r="AL476" s="4">
        <v>10</v>
      </c>
      <c r="AN476" s="4">
        <v>10</v>
      </c>
      <c r="AO476" s="4">
        <v>15</v>
      </c>
    </row>
    <row r="477" spans="1:41" hidden="1" x14ac:dyDescent="0.2">
      <c r="A477" t="s">
        <v>1101</v>
      </c>
      <c r="B477" t="s">
        <v>1102</v>
      </c>
      <c r="C477" s="2">
        <v>44120</v>
      </c>
      <c r="D477" s="2">
        <v>44391</v>
      </c>
      <c r="E477" s="3">
        <v>37810</v>
      </c>
      <c r="F477" t="s">
        <v>1120</v>
      </c>
      <c r="G477" t="s">
        <v>1116</v>
      </c>
      <c r="H477" t="s">
        <v>45</v>
      </c>
      <c r="I477" s="3">
        <v>10025</v>
      </c>
      <c r="J477" s="3">
        <v>1018810008</v>
      </c>
      <c r="K477" s="3">
        <v>1056696</v>
      </c>
      <c r="L477" t="s">
        <v>46</v>
      </c>
      <c r="M477" s="4">
        <v>7</v>
      </c>
      <c r="N477" t="s">
        <v>59</v>
      </c>
      <c r="O477" t="s">
        <v>48</v>
      </c>
      <c r="P477" s="4">
        <v>40.803040000000003</v>
      </c>
      <c r="Q477" s="4">
        <v>-73.965858999999995</v>
      </c>
      <c r="R477" s="4">
        <v>40.803432999999998</v>
      </c>
      <c r="S477" s="4">
        <v>-73.966260000000005</v>
      </c>
      <c r="T477" s="2">
        <v>44391</v>
      </c>
      <c r="U477" t="s">
        <v>49</v>
      </c>
      <c r="V477" t="s">
        <v>71</v>
      </c>
      <c r="W477" t="s">
        <v>51</v>
      </c>
      <c r="X477" s="4">
        <v>3</v>
      </c>
      <c r="AA477" s="4">
        <v>10</v>
      </c>
      <c r="AD477" s="4">
        <v>3</v>
      </c>
      <c r="AE477" s="4">
        <v>2</v>
      </c>
      <c r="AF477" s="4">
        <v>8</v>
      </c>
      <c r="AL477" s="4">
        <v>13</v>
      </c>
      <c r="AN477" s="4">
        <v>13</v>
      </c>
      <c r="AO477" s="4">
        <v>17</v>
      </c>
    </row>
    <row r="478" spans="1:41" hidden="1" x14ac:dyDescent="0.2">
      <c r="A478" t="s">
        <v>1101</v>
      </c>
      <c r="B478" t="s">
        <v>1102</v>
      </c>
      <c r="C478" s="2">
        <v>44120</v>
      </c>
      <c r="D478" s="2">
        <v>44391</v>
      </c>
      <c r="E478" s="3">
        <v>37811</v>
      </c>
      <c r="F478" t="s">
        <v>137</v>
      </c>
      <c r="G478" t="s">
        <v>1116</v>
      </c>
      <c r="H478" t="s">
        <v>45</v>
      </c>
      <c r="I478" s="3">
        <v>10025</v>
      </c>
      <c r="J478" s="3">
        <v>1018810007</v>
      </c>
      <c r="K478" s="3">
        <v>1056695</v>
      </c>
      <c r="L478" t="s">
        <v>46</v>
      </c>
      <c r="M478" s="4">
        <v>7</v>
      </c>
      <c r="N478" t="s">
        <v>59</v>
      </c>
      <c r="O478" t="s">
        <v>48</v>
      </c>
      <c r="P478" s="4">
        <v>40.803054000000003</v>
      </c>
      <c r="Q478" s="4">
        <v>-73.965895000000003</v>
      </c>
      <c r="R478" s="4">
        <v>40.803469</v>
      </c>
      <c r="S478" s="4">
        <v>-73.966339000000005</v>
      </c>
      <c r="T478" s="2">
        <v>44391</v>
      </c>
      <c r="U478" t="s">
        <v>49</v>
      </c>
      <c r="V478" t="s">
        <v>71</v>
      </c>
      <c r="W478" t="s">
        <v>51</v>
      </c>
      <c r="X478" s="4">
        <v>3</v>
      </c>
      <c r="Z478" s="4">
        <v>1</v>
      </c>
      <c r="AA478" s="4">
        <v>5</v>
      </c>
      <c r="AD478" s="4">
        <v>2</v>
      </c>
      <c r="AE478" s="4">
        <v>1</v>
      </c>
      <c r="AF478" s="4">
        <v>6</v>
      </c>
      <c r="AL478" s="4">
        <v>9</v>
      </c>
      <c r="AN478" s="4">
        <v>9</v>
      </c>
      <c r="AO478" s="4">
        <v>16</v>
      </c>
    </row>
    <row r="479" spans="1:41" hidden="1" x14ac:dyDescent="0.2">
      <c r="A479" t="s">
        <v>1101</v>
      </c>
      <c r="B479" t="s">
        <v>1102</v>
      </c>
      <c r="C479" s="2">
        <v>44120</v>
      </c>
      <c r="D479" s="2">
        <v>44391</v>
      </c>
      <c r="E479" s="3">
        <v>38162</v>
      </c>
      <c r="F479" t="s">
        <v>366</v>
      </c>
      <c r="G479" t="s">
        <v>725</v>
      </c>
      <c r="H479" t="s">
        <v>45</v>
      </c>
      <c r="I479" s="3">
        <v>10026</v>
      </c>
      <c r="J479" s="3">
        <v>1018480011</v>
      </c>
      <c r="K479" s="3">
        <v>1055832</v>
      </c>
      <c r="L479" t="s">
        <v>146</v>
      </c>
      <c r="M479" s="4">
        <v>9</v>
      </c>
      <c r="N479" t="s">
        <v>298</v>
      </c>
      <c r="O479" t="s">
        <v>148</v>
      </c>
      <c r="P479" s="4">
        <v>40.803235000000001</v>
      </c>
      <c r="Q479" s="4">
        <v>-73.956575999999998</v>
      </c>
      <c r="R479" s="4">
        <v>40.803514999999997</v>
      </c>
      <c r="S479" s="4">
        <v>-73.956683999999996</v>
      </c>
      <c r="T479" s="2">
        <v>44391</v>
      </c>
      <c r="U479" t="s">
        <v>49</v>
      </c>
      <c r="V479" t="s">
        <v>71</v>
      </c>
      <c r="W479" t="s">
        <v>51</v>
      </c>
      <c r="X479" s="4">
        <v>5</v>
      </c>
      <c r="Z479" s="4">
        <v>1</v>
      </c>
      <c r="AA479" s="4">
        <v>4</v>
      </c>
      <c r="AD479" s="4">
        <v>1</v>
      </c>
      <c r="AE479" s="4">
        <v>5</v>
      </c>
      <c r="AG479" s="4">
        <v>4</v>
      </c>
      <c r="AL479" s="4">
        <v>10</v>
      </c>
      <c r="AN479" s="4">
        <v>10</v>
      </c>
      <c r="AO479" s="4">
        <v>10</v>
      </c>
    </row>
    <row r="480" spans="1:41" hidden="1" x14ac:dyDescent="0.2">
      <c r="A480" t="s">
        <v>1101</v>
      </c>
      <c r="B480" t="s">
        <v>1102</v>
      </c>
      <c r="C480" s="2">
        <v>44120</v>
      </c>
      <c r="D480" s="2">
        <v>44391</v>
      </c>
      <c r="E480" s="3">
        <v>38164</v>
      </c>
      <c r="F480" t="s">
        <v>465</v>
      </c>
      <c r="G480" t="s">
        <v>725</v>
      </c>
      <c r="H480" t="s">
        <v>45</v>
      </c>
      <c r="I480" s="3">
        <v>10026</v>
      </c>
      <c r="J480" s="3">
        <v>1018480010</v>
      </c>
      <c r="K480" s="3">
        <v>1055831</v>
      </c>
      <c r="L480" t="s">
        <v>146</v>
      </c>
      <c r="M480" s="4">
        <v>9</v>
      </c>
      <c r="N480" t="s">
        <v>298</v>
      </c>
      <c r="O480" t="s">
        <v>148</v>
      </c>
      <c r="P480" s="4">
        <v>40.803251000000003</v>
      </c>
      <c r="Q480" s="4">
        <v>-73.956619000000003</v>
      </c>
      <c r="R480" s="4">
        <v>40.803547999999999</v>
      </c>
      <c r="S480" s="4">
        <v>-73.956764000000007</v>
      </c>
      <c r="T480" s="2">
        <v>44391</v>
      </c>
      <c r="U480" t="s">
        <v>49</v>
      </c>
      <c r="V480" t="s">
        <v>71</v>
      </c>
      <c r="W480" t="s">
        <v>51</v>
      </c>
      <c r="X480" s="4">
        <v>10</v>
      </c>
      <c r="Z480" s="4">
        <v>2</v>
      </c>
      <c r="AA480" s="4">
        <v>3</v>
      </c>
      <c r="AE480" s="4">
        <v>10</v>
      </c>
      <c r="AF480" s="4">
        <v>4</v>
      </c>
      <c r="AG480" s="4">
        <v>1</v>
      </c>
      <c r="AL480" s="4">
        <v>15</v>
      </c>
      <c r="AN480" s="4">
        <v>15</v>
      </c>
      <c r="AO480" s="4">
        <v>15</v>
      </c>
    </row>
    <row r="481" spans="1:41" hidden="1" x14ac:dyDescent="0.2">
      <c r="A481" t="s">
        <v>1101</v>
      </c>
      <c r="B481" t="s">
        <v>1102</v>
      </c>
      <c r="C481" s="2">
        <v>44120</v>
      </c>
      <c r="D481" s="2">
        <v>44391</v>
      </c>
      <c r="E481" s="3">
        <v>38166</v>
      </c>
      <c r="F481" t="s">
        <v>390</v>
      </c>
      <c r="G481" t="s">
        <v>725</v>
      </c>
      <c r="H481" t="s">
        <v>45</v>
      </c>
      <c r="I481" s="3">
        <v>10026</v>
      </c>
      <c r="J481" s="3">
        <v>1018480009</v>
      </c>
      <c r="K481" s="3">
        <v>1055830</v>
      </c>
      <c r="L481" t="s">
        <v>146</v>
      </c>
      <c r="M481" s="4">
        <v>9</v>
      </c>
      <c r="N481" t="s">
        <v>298</v>
      </c>
      <c r="O481" t="s">
        <v>148</v>
      </c>
      <c r="P481" s="4">
        <v>40.803271000000002</v>
      </c>
      <c r="Q481" s="4">
        <v>-73.956663000000006</v>
      </c>
      <c r="R481" s="4">
        <v>40.803584000000001</v>
      </c>
      <c r="S481" s="4">
        <v>-73.956846999999996</v>
      </c>
      <c r="T481" s="2">
        <v>44391</v>
      </c>
      <c r="U481" t="s">
        <v>49</v>
      </c>
      <c r="V481" t="s">
        <v>71</v>
      </c>
      <c r="W481" t="s">
        <v>51</v>
      </c>
      <c r="X481" s="4">
        <v>7</v>
      </c>
      <c r="Z481" s="4">
        <v>2</v>
      </c>
      <c r="AA481" s="4">
        <v>6</v>
      </c>
      <c r="AE481" s="4">
        <v>8</v>
      </c>
      <c r="AF481" s="4">
        <v>3</v>
      </c>
      <c r="AG481" s="4">
        <v>4</v>
      </c>
      <c r="AL481" s="4">
        <v>15</v>
      </c>
      <c r="AN481" s="4">
        <v>15</v>
      </c>
      <c r="AO481" s="4">
        <v>15</v>
      </c>
    </row>
    <row r="482" spans="1:41" hidden="1" x14ac:dyDescent="0.2">
      <c r="A482" t="s">
        <v>1101</v>
      </c>
      <c r="B482" t="s">
        <v>1102</v>
      </c>
      <c r="C482" s="2">
        <v>44120</v>
      </c>
      <c r="D482" s="2">
        <v>44391</v>
      </c>
      <c r="E482" s="3">
        <v>38168</v>
      </c>
      <c r="F482" t="s">
        <v>356</v>
      </c>
      <c r="G482" t="s">
        <v>725</v>
      </c>
      <c r="H482" t="s">
        <v>45</v>
      </c>
      <c r="I482" s="3">
        <v>10026</v>
      </c>
      <c r="J482" s="3">
        <v>1018480008</v>
      </c>
      <c r="K482" s="3">
        <v>1055829</v>
      </c>
      <c r="L482" t="s">
        <v>146</v>
      </c>
      <c r="M482" s="4">
        <v>9</v>
      </c>
      <c r="N482" t="s">
        <v>298</v>
      </c>
      <c r="O482" t="s">
        <v>148</v>
      </c>
      <c r="P482" s="4">
        <v>40.803286999999997</v>
      </c>
      <c r="Q482" s="4">
        <v>-73.956702000000007</v>
      </c>
      <c r="R482" s="4">
        <v>40.803618999999998</v>
      </c>
      <c r="S482" s="4">
        <v>-73.956933000000006</v>
      </c>
      <c r="T482" s="2">
        <v>44391</v>
      </c>
      <c r="U482" t="s">
        <v>49</v>
      </c>
      <c r="V482" t="s">
        <v>71</v>
      </c>
      <c r="W482" t="s">
        <v>51</v>
      </c>
      <c r="X482" s="4">
        <v>7</v>
      </c>
      <c r="Y482" s="4">
        <v>1</v>
      </c>
      <c r="Z482" s="4">
        <v>4</v>
      </c>
      <c r="AA482" s="4">
        <v>3</v>
      </c>
      <c r="AE482" s="4">
        <v>11</v>
      </c>
      <c r="AF482" s="4">
        <v>4</v>
      </c>
      <c r="AL482" s="4">
        <v>15</v>
      </c>
      <c r="AN482" s="4">
        <v>15</v>
      </c>
      <c r="AO482" s="4">
        <v>15</v>
      </c>
    </row>
    <row r="483" spans="1:41" hidden="1" x14ac:dyDescent="0.2">
      <c r="A483" t="s">
        <v>1101</v>
      </c>
      <c r="B483" t="s">
        <v>1102</v>
      </c>
      <c r="C483" s="2">
        <v>44120</v>
      </c>
      <c r="D483" s="2">
        <v>44391</v>
      </c>
      <c r="E483" s="3">
        <v>38170</v>
      </c>
      <c r="F483" t="s">
        <v>1121</v>
      </c>
      <c r="G483" t="s">
        <v>725</v>
      </c>
      <c r="H483" t="s">
        <v>45</v>
      </c>
      <c r="I483" s="3">
        <v>10026</v>
      </c>
      <c r="J483" s="3">
        <v>1018480007</v>
      </c>
      <c r="K483" s="3">
        <v>1055828</v>
      </c>
      <c r="L483" t="s">
        <v>146</v>
      </c>
      <c r="M483" s="4">
        <v>9</v>
      </c>
      <c r="N483" t="s">
        <v>298</v>
      </c>
      <c r="O483" t="s">
        <v>148</v>
      </c>
      <c r="P483" s="4">
        <v>40.803305999999999</v>
      </c>
      <c r="Q483" s="4">
        <v>-73.956745999999995</v>
      </c>
      <c r="R483" s="4">
        <v>40.803657999999999</v>
      </c>
      <c r="S483" s="4">
        <v>-73.95702</v>
      </c>
      <c r="T483" s="2">
        <v>44391</v>
      </c>
      <c r="U483" t="s">
        <v>49</v>
      </c>
      <c r="V483" t="s">
        <v>71</v>
      </c>
      <c r="W483" t="s">
        <v>51</v>
      </c>
      <c r="X483" s="4">
        <v>9</v>
      </c>
      <c r="Y483" s="4">
        <v>1</v>
      </c>
      <c r="Z483" s="4">
        <v>2</v>
      </c>
      <c r="AA483" s="4">
        <v>3</v>
      </c>
      <c r="AE483" s="4">
        <v>11</v>
      </c>
      <c r="AF483" s="4">
        <v>2</v>
      </c>
      <c r="AG483" s="4">
        <v>2</v>
      </c>
      <c r="AL483" s="4">
        <v>15</v>
      </c>
      <c r="AN483" s="4">
        <v>15</v>
      </c>
      <c r="AO483" s="4">
        <v>15</v>
      </c>
    </row>
    <row r="484" spans="1:41" hidden="1" x14ac:dyDescent="0.2">
      <c r="A484" t="s">
        <v>1101</v>
      </c>
      <c r="B484" t="s">
        <v>1102</v>
      </c>
      <c r="C484" s="2">
        <v>44120</v>
      </c>
      <c r="D484" s="2">
        <v>44391</v>
      </c>
      <c r="E484" s="3">
        <v>38173</v>
      </c>
      <c r="F484" t="s">
        <v>1122</v>
      </c>
      <c r="G484" t="s">
        <v>725</v>
      </c>
      <c r="H484" t="s">
        <v>45</v>
      </c>
      <c r="I484" s="3">
        <v>10026</v>
      </c>
      <c r="J484" s="3">
        <v>1018480005</v>
      </c>
      <c r="K484" s="3">
        <v>1055826</v>
      </c>
      <c r="L484" t="s">
        <v>146</v>
      </c>
      <c r="M484" s="4">
        <v>9</v>
      </c>
      <c r="N484" t="s">
        <v>298</v>
      </c>
      <c r="O484" t="s">
        <v>148</v>
      </c>
      <c r="P484" s="4">
        <v>40.803342000000001</v>
      </c>
      <c r="Q484" s="4">
        <v>-73.956832000000006</v>
      </c>
      <c r="R484" s="4">
        <v>40.803724000000003</v>
      </c>
      <c r="S484" s="4">
        <v>-73.957182000000003</v>
      </c>
      <c r="T484" s="2">
        <v>44391</v>
      </c>
      <c r="U484" t="s">
        <v>49</v>
      </c>
      <c r="V484" t="s">
        <v>71</v>
      </c>
      <c r="W484" t="s">
        <v>51</v>
      </c>
      <c r="X484" s="4">
        <v>4</v>
      </c>
      <c r="Z484" s="4">
        <v>3</v>
      </c>
      <c r="AA484" s="4">
        <v>3</v>
      </c>
      <c r="AE484" s="4">
        <v>6</v>
      </c>
      <c r="AF484" s="4">
        <v>2</v>
      </c>
      <c r="AG484" s="4">
        <v>2</v>
      </c>
      <c r="AL484" s="4">
        <v>10</v>
      </c>
      <c r="AN484" s="4">
        <v>10</v>
      </c>
      <c r="AO484" s="4">
        <v>10</v>
      </c>
    </row>
    <row r="485" spans="1:41" hidden="1" x14ac:dyDescent="0.2">
      <c r="A485" t="s">
        <v>1101</v>
      </c>
      <c r="B485" t="s">
        <v>1102</v>
      </c>
      <c r="C485" s="2">
        <v>44120</v>
      </c>
      <c r="D485" s="2">
        <v>44391</v>
      </c>
      <c r="E485" s="3">
        <v>38228</v>
      </c>
      <c r="F485" t="s">
        <v>1123</v>
      </c>
      <c r="G485" t="s">
        <v>317</v>
      </c>
      <c r="H485" t="s">
        <v>45</v>
      </c>
      <c r="I485" s="3">
        <v>10026</v>
      </c>
      <c r="J485" s="3">
        <v>1018310121</v>
      </c>
      <c r="K485" s="3">
        <v>1055252</v>
      </c>
      <c r="L485" t="s">
        <v>146</v>
      </c>
      <c r="M485" s="4">
        <v>9</v>
      </c>
      <c r="N485" t="s">
        <v>318</v>
      </c>
      <c r="O485" t="s">
        <v>148</v>
      </c>
      <c r="P485" s="4">
        <v>40.802863000000002</v>
      </c>
      <c r="Q485" s="4">
        <v>-73.953781000000006</v>
      </c>
      <c r="R485" s="4">
        <v>40.803173000000001</v>
      </c>
      <c r="S485" s="4">
        <v>-73.953928000000005</v>
      </c>
      <c r="T485" s="2">
        <v>44391</v>
      </c>
      <c r="U485" t="s">
        <v>49</v>
      </c>
      <c r="V485" t="s">
        <v>71</v>
      </c>
      <c r="W485" t="s">
        <v>51</v>
      </c>
      <c r="X485" s="4">
        <v>3</v>
      </c>
      <c r="Y485" s="4">
        <v>2</v>
      </c>
      <c r="AA485" s="4">
        <v>1</v>
      </c>
      <c r="AD485" s="4">
        <v>1</v>
      </c>
      <c r="AF485" s="4">
        <v>1</v>
      </c>
      <c r="AG485" s="4">
        <v>4</v>
      </c>
      <c r="AL485" s="4">
        <v>6</v>
      </c>
      <c r="AN485" s="4">
        <v>6</v>
      </c>
      <c r="AO485" s="4">
        <v>6</v>
      </c>
    </row>
    <row r="486" spans="1:41" hidden="1" x14ac:dyDescent="0.2">
      <c r="A486" t="s">
        <v>1101</v>
      </c>
      <c r="B486" t="s">
        <v>1102</v>
      </c>
      <c r="C486" s="2">
        <v>44120</v>
      </c>
      <c r="D486" s="2">
        <v>44391</v>
      </c>
      <c r="E486" s="3">
        <v>38232</v>
      </c>
      <c r="F486" t="s">
        <v>836</v>
      </c>
      <c r="G486" t="s">
        <v>317</v>
      </c>
      <c r="H486" t="s">
        <v>45</v>
      </c>
      <c r="I486" s="3">
        <v>10026</v>
      </c>
      <c r="J486" s="3">
        <v>1018310018</v>
      </c>
      <c r="K486" s="3">
        <v>1055231</v>
      </c>
      <c r="L486" t="s">
        <v>146</v>
      </c>
      <c r="M486" s="4">
        <v>9</v>
      </c>
      <c r="N486" t="s">
        <v>318</v>
      </c>
      <c r="O486" t="s">
        <v>148</v>
      </c>
      <c r="P486" s="4">
        <v>40.803001000000002</v>
      </c>
      <c r="Q486" s="4">
        <v>-73.954098000000002</v>
      </c>
      <c r="R486" s="4">
        <v>40.803280999999998</v>
      </c>
      <c r="S486" s="4">
        <v>-73.954177999999999</v>
      </c>
      <c r="T486" s="2">
        <v>44391</v>
      </c>
      <c r="U486" t="s">
        <v>49</v>
      </c>
      <c r="V486" t="s">
        <v>71</v>
      </c>
      <c r="W486" t="s">
        <v>51</v>
      </c>
      <c r="X486" s="4">
        <v>2</v>
      </c>
      <c r="Z486" s="4">
        <v>1</v>
      </c>
      <c r="AA486" s="4">
        <v>2</v>
      </c>
      <c r="AF486" s="4">
        <v>3</v>
      </c>
      <c r="AG486" s="4">
        <v>1</v>
      </c>
      <c r="AI486" s="4">
        <v>1</v>
      </c>
      <c r="AL486" s="4">
        <v>5</v>
      </c>
      <c r="AN486" s="4">
        <v>5</v>
      </c>
      <c r="AO486" s="4">
        <v>5</v>
      </c>
    </row>
    <row r="487" spans="1:41" hidden="1" x14ac:dyDescent="0.2">
      <c r="A487" t="s">
        <v>1101</v>
      </c>
      <c r="B487" t="s">
        <v>1102</v>
      </c>
      <c r="C487" s="2">
        <v>44120</v>
      </c>
      <c r="D487" s="2">
        <v>44391</v>
      </c>
      <c r="E487" s="3">
        <v>38236</v>
      </c>
      <c r="F487" t="s">
        <v>440</v>
      </c>
      <c r="G487" t="s">
        <v>317</v>
      </c>
      <c r="H487" t="s">
        <v>45</v>
      </c>
      <c r="I487" s="3">
        <v>10026</v>
      </c>
      <c r="J487" s="3">
        <v>1018310014</v>
      </c>
      <c r="K487" s="3">
        <v>1055229</v>
      </c>
      <c r="L487" t="s">
        <v>146</v>
      </c>
      <c r="M487" s="4">
        <v>9</v>
      </c>
      <c r="N487" t="s">
        <v>318</v>
      </c>
      <c r="O487" t="s">
        <v>148</v>
      </c>
      <c r="P487" s="4">
        <v>40.803207</v>
      </c>
      <c r="Q487" s="4">
        <v>-73.954582000000002</v>
      </c>
      <c r="R487" s="4">
        <v>40.803401000000001</v>
      </c>
      <c r="S487" s="4">
        <v>-73.954463000000004</v>
      </c>
      <c r="T487" s="2">
        <v>44391</v>
      </c>
      <c r="U487" t="s">
        <v>49</v>
      </c>
      <c r="V487" t="s">
        <v>71</v>
      </c>
      <c r="W487" t="s">
        <v>51</v>
      </c>
      <c r="X487" s="4">
        <v>1</v>
      </c>
      <c r="Y487" s="4">
        <v>2</v>
      </c>
      <c r="Z487" s="4">
        <v>2</v>
      </c>
      <c r="AA487" s="4">
        <v>15</v>
      </c>
      <c r="AE487" s="4">
        <v>2</v>
      </c>
      <c r="AF487" s="4">
        <v>4</v>
      </c>
      <c r="AG487" s="4">
        <v>7</v>
      </c>
      <c r="AH487" s="4">
        <v>7</v>
      </c>
      <c r="AL487" s="4">
        <v>20</v>
      </c>
      <c r="AN487" s="4">
        <v>20</v>
      </c>
      <c r="AO487" s="4">
        <v>20</v>
      </c>
    </row>
    <row r="488" spans="1:41" hidden="1" x14ac:dyDescent="0.2">
      <c r="A488" t="s">
        <v>1101</v>
      </c>
      <c r="B488" t="s">
        <v>1102</v>
      </c>
      <c r="C488" s="2">
        <v>44120</v>
      </c>
      <c r="D488" s="2">
        <v>44391</v>
      </c>
      <c r="E488" s="3">
        <v>38237</v>
      </c>
      <c r="F488" t="s">
        <v>1062</v>
      </c>
      <c r="G488" t="s">
        <v>317</v>
      </c>
      <c r="H488" t="s">
        <v>45</v>
      </c>
      <c r="I488" s="3">
        <v>10026</v>
      </c>
      <c r="J488" s="3">
        <v>1018310013</v>
      </c>
      <c r="K488" s="3">
        <v>1055228</v>
      </c>
      <c r="L488" t="s">
        <v>146</v>
      </c>
      <c r="M488" s="4">
        <v>9</v>
      </c>
      <c r="N488" t="s">
        <v>318</v>
      </c>
      <c r="O488" t="s">
        <v>148</v>
      </c>
      <c r="P488" s="4">
        <v>40.803258999999997</v>
      </c>
      <c r="Q488" s="4">
        <v>-73.954701</v>
      </c>
      <c r="R488" s="4">
        <v>40.803451000000003</v>
      </c>
      <c r="S488" s="4">
        <v>-73.954582000000002</v>
      </c>
      <c r="T488" s="2">
        <v>44391</v>
      </c>
      <c r="U488" t="s">
        <v>49</v>
      </c>
      <c r="V488" t="s">
        <v>71</v>
      </c>
      <c r="W488" t="s">
        <v>51</v>
      </c>
      <c r="X488" s="4">
        <v>5</v>
      </c>
      <c r="Z488" s="4">
        <v>1</v>
      </c>
      <c r="AA488" s="4">
        <v>6</v>
      </c>
      <c r="AC488" s="4">
        <v>1</v>
      </c>
      <c r="AE488" s="4">
        <v>6</v>
      </c>
      <c r="AF488" s="4">
        <v>2</v>
      </c>
      <c r="AG488" s="4">
        <v>3</v>
      </c>
      <c r="AH488" s="4">
        <v>2</v>
      </c>
      <c r="AL488" s="4">
        <v>13</v>
      </c>
      <c r="AN488" s="4">
        <v>13</v>
      </c>
      <c r="AO488" s="4">
        <v>13</v>
      </c>
    </row>
    <row r="489" spans="1:41" hidden="1" x14ac:dyDescent="0.2">
      <c r="A489" t="s">
        <v>1101</v>
      </c>
      <c r="B489" t="s">
        <v>1102</v>
      </c>
      <c r="C489" s="2">
        <v>44120</v>
      </c>
      <c r="D489" s="2">
        <v>44391</v>
      </c>
      <c r="E489" s="3">
        <v>38240</v>
      </c>
      <c r="F489" t="s">
        <v>323</v>
      </c>
      <c r="G489" t="s">
        <v>317</v>
      </c>
      <c r="H489" t="s">
        <v>45</v>
      </c>
      <c r="I489" s="3">
        <v>10026</v>
      </c>
      <c r="J489" s="3">
        <v>1018310009</v>
      </c>
      <c r="K489" s="3">
        <v>1055225</v>
      </c>
      <c r="L489" t="s">
        <v>146</v>
      </c>
      <c r="M489" s="4">
        <v>9</v>
      </c>
      <c r="N489" t="s">
        <v>318</v>
      </c>
      <c r="O489" t="s">
        <v>148</v>
      </c>
      <c r="P489" s="4">
        <v>40.803379999999997</v>
      </c>
      <c r="Q489" s="4">
        <v>-73.954987000000003</v>
      </c>
      <c r="R489" s="4">
        <v>40.803583000000003</v>
      </c>
      <c r="S489" s="4">
        <v>-73.954896000000005</v>
      </c>
      <c r="T489" s="2">
        <v>44391</v>
      </c>
      <c r="U489" t="s">
        <v>49</v>
      </c>
      <c r="V489" t="s">
        <v>71</v>
      </c>
      <c r="W489" t="s">
        <v>51</v>
      </c>
      <c r="X489" s="4">
        <v>3</v>
      </c>
      <c r="Y489" s="4">
        <v>1</v>
      </c>
      <c r="AA489" s="4">
        <v>6</v>
      </c>
      <c r="AE489" s="4">
        <v>2</v>
      </c>
      <c r="AF489" s="4">
        <v>6</v>
      </c>
      <c r="AG489" s="4">
        <v>2</v>
      </c>
      <c r="AL489" s="4">
        <v>10</v>
      </c>
      <c r="AN489" s="4">
        <v>10</v>
      </c>
      <c r="AO489" s="4">
        <v>10</v>
      </c>
    </row>
    <row r="490" spans="1:41" hidden="1" x14ac:dyDescent="0.2">
      <c r="A490" t="s">
        <v>1101</v>
      </c>
      <c r="B490" t="s">
        <v>1102</v>
      </c>
      <c r="C490" s="2">
        <v>44120</v>
      </c>
      <c r="D490" s="2">
        <v>44391</v>
      </c>
      <c r="E490" s="3">
        <v>38241</v>
      </c>
      <c r="F490" t="s">
        <v>1119</v>
      </c>
      <c r="G490" t="s">
        <v>317</v>
      </c>
      <c r="H490" t="s">
        <v>45</v>
      </c>
      <c r="I490" s="3">
        <v>10026</v>
      </c>
      <c r="J490" s="3">
        <v>1018310008</v>
      </c>
      <c r="K490" s="3">
        <v>1055224</v>
      </c>
      <c r="L490" t="s">
        <v>146</v>
      </c>
      <c r="M490" s="4">
        <v>9</v>
      </c>
      <c r="N490" t="s">
        <v>318</v>
      </c>
      <c r="O490" t="s">
        <v>148</v>
      </c>
      <c r="P490" s="4">
        <v>40.803412999999999</v>
      </c>
      <c r="Q490" s="4">
        <v>-73.955061999999998</v>
      </c>
      <c r="R490" s="4">
        <v>40.803615999999998</v>
      </c>
      <c r="S490" s="4">
        <v>-73.954971999999998</v>
      </c>
      <c r="T490" s="2">
        <v>44391</v>
      </c>
      <c r="U490" t="s">
        <v>49</v>
      </c>
      <c r="V490" t="s">
        <v>71</v>
      </c>
      <c r="W490" t="s">
        <v>51</v>
      </c>
      <c r="X490" s="4">
        <v>1</v>
      </c>
      <c r="Y490" s="4">
        <v>1</v>
      </c>
      <c r="AA490" s="4">
        <v>8</v>
      </c>
      <c r="AF490" s="4">
        <v>4</v>
      </c>
      <c r="AG490" s="4">
        <v>4</v>
      </c>
      <c r="AH490" s="4">
        <v>2</v>
      </c>
      <c r="AL490" s="4">
        <v>10</v>
      </c>
      <c r="AN490" s="4">
        <v>10</v>
      </c>
      <c r="AO490" s="4">
        <v>10</v>
      </c>
    </row>
    <row r="491" spans="1:41" hidden="1" x14ac:dyDescent="0.2">
      <c r="A491" t="s">
        <v>1124</v>
      </c>
      <c r="B491" t="s">
        <v>1125</v>
      </c>
      <c r="C491" s="2">
        <v>44119</v>
      </c>
      <c r="D491" s="2">
        <v>45274</v>
      </c>
      <c r="E491" s="3">
        <v>991649</v>
      </c>
      <c r="F491" t="s">
        <v>323</v>
      </c>
      <c r="G491" t="s">
        <v>1126</v>
      </c>
      <c r="H491" t="s">
        <v>45</v>
      </c>
      <c r="I491" s="3">
        <v>10001</v>
      </c>
      <c r="J491" s="3">
        <v>1007780018</v>
      </c>
      <c r="K491" s="3">
        <v>1014254</v>
      </c>
      <c r="L491" t="s">
        <v>655</v>
      </c>
      <c r="M491" s="4">
        <v>3</v>
      </c>
      <c r="N491" t="s">
        <v>900</v>
      </c>
      <c r="O491" t="s">
        <v>1127</v>
      </c>
      <c r="P491" s="4">
        <v>40.747768999999998</v>
      </c>
      <c r="Q491" s="4">
        <v>-73.994590000000002</v>
      </c>
      <c r="R491" s="4">
        <v>40.748367000000002</v>
      </c>
      <c r="S491" s="4">
        <v>-73.995109999999997</v>
      </c>
      <c r="T491" s="2">
        <v>45274</v>
      </c>
      <c r="U491" t="s">
        <v>117</v>
      </c>
      <c r="V491" t="s">
        <v>71</v>
      </c>
      <c r="W491" t="s">
        <v>51</v>
      </c>
      <c r="Z491" s="4">
        <v>144</v>
      </c>
      <c r="AD491" s="4">
        <v>58</v>
      </c>
      <c r="AE491" s="4">
        <v>75</v>
      </c>
      <c r="AF491" s="4">
        <v>10</v>
      </c>
      <c r="AG491" s="4">
        <v>1</v>
      </c>
      <c r="AL491" s="4">
        <v>144</v>
      </c>
      <c r="AN491" s="4">
        <v>144</v>
      </c>
      <c r="AO491" s="4">
        <v>480</v>
      </c>
    </row>
    <row r="492" spans="1:41" hidden="1" x14ac:dyDescent="0.2">
      <c r="A492" t="s">
        <v>1128</v>
      </c>
      <c r="B492" t="s">
        <v>1129</v>
      </c>
      <c r="C492" s="2">
        <v>44105</v>
      </c>
      <c r="D492" s="2">
        <v>44274</v>
      </c>
      <c r="E492" s="3">
        <v>13694</v>
      </c>
      <c r="F492" t="s">
        <v>313</v>
      </c>
      <c r="G492" t="s">
        <v>1130</v>
      </c>
      <c r="H492" t="s">
        <v>45</v>
      </c>
      <c r="I492" s="3">
        <v>10017</v>
      </c>
      <c r="J492" s="3">
        <v>1013177501</v>
      </c>
      <c r="K492" s="3">
        <v>1000000</v>
      </c>
      <c r="L492" t="s">
        <v>165</v>
      </c>
      <c r="M492" s="4">
        <v>4</v>
      </c>
      <c r="N492" t="s">
        <v>358</v>
      </c>
      <c r="O492" t="s">
        <v>239</v>
      </c>
      <c r="P492" s="4">
        <v>40.751835999999997</v>
      </c>
      <c r="Q492" s="4">
        <v>-73.972981000000004</v>
      </c>
      <c r="R492" s="4">
        <v>40.751311999999999</v>
      </c>
      <c r="S492" s="4">
        <v>-73.972689000000003</v>
      </c>
      <c r="T492" s="2">
        <v>44274</v>
      </c>
      <c r="U492" t="s">
        <v>117</v>
      </c>
      <c r="V492" t="s">
        <v>71</v>
      </c>
      <c r="W492" t="s">
        <v>51</v>
      </c>
      <c r="AA492" s="4">
        <v>16</v>
      </c>
      <c r="AD492" s="4">
        <v>8</v>
      </c>
      <c r="AE492" s="4">
        <v>7</v>
      </c>
      <c r="AF492" s="4">
        <v>1</v>
      </c>
      <c r="AL492" s="4">
        <v>16</v>
      </c>
      <c r="AN492" s="4">
        <v>16</v>
      </c>
      <c r="AO492" s="4">
        <v>429</v>
      </c>
    </row>
    <row r="493" spans="1:41" hidden="1" x14ac:dyDescent="0.2">
      <c r="A493" t="s">
        <v>1131</v>
      </c>
      <c r="B493" t="s">
        <v>1132</v>
      </c>
      <c r="C493" s="2">
        <v>44104</v>
      </c>
      <c r="D493" s="2">
        <v>45014</v>
      </c>
      <c r="E493" s="3">
        <v>38449</v>
      </c>
      <c r="F493" t="s">
        <v>431</v>
      </c>
      <c r="G493" t="s">
        <v>1133</v>
      </c>
      <c r="H493" t="s">
        <v>45</v>
      </c>
      <c r="I493" s="3">
        <v>10026</v>
      </c>
      <c r="J493" s="3">
        <v>1019010051</v>
      </c>
      <c r="K493" s="3">
        <v>1057415</v>
      </c>
      <c r="L493" t="s">
        <v>146</v>
      </c>
      <c r="M493" s="4">
        <v>9</v>
      </c>
      <c r="N493" t="s">
        <v>318</v>
      </c>
      <c r="O493" t="s">
        <v>148</v>
      </c>
      <c r="P493" s="4">
        <v>40.803421999999998</v>
      </c>
      <c r="Q493" s="4">
        <v>-73.95093</v>
      </c>
      <c r="R493" s="4">
        <v>40.803207999999998</v>
      </c>
      <c r="S493" s="4">
        <v>-73.950987999999995</v>
      </c>
      <c r="T493" s="2">
        <v>45014</v>
      </c>
      <c r="U493" t="s">
        <v>49</v>
      </c>
      <c r="V493" t="s">
        <v>71</v>
      </c>
      <c r="W493" t="s">
        <v>51</v>
      </c>
      <c r="Y493" s="4">
        <v>12</v>
      </c>
      <c r="Z493" s="4">
        <v>14</v>
      </c>
      <c r="AC493" s="4">
        <v>1</v>
      </c>
      <c r="AD493" s="4">
        <v>4</v>
      </c>
      <c r="AE493" s="4">
        <v>11</v>
      </c>
      <c r="AF493" s="4">
        <v>11</v>
      </c>
      <c r="AG493" s="4">
        <v>1</v>
      </c>
      <c r="AL493" s="4">
        <v>27</v>
      </c>
      <c r="AN493" s="4">
        <v>27</v>
      </c>
      <c r="AO493" s="4">
        <v>27</v>
      </c>
    </row>
    <row r="494" spans="1:41" hidden="1" x14ac:dyDescent="0.2">
      <c r="A494" t="s">
        <v>1131</v>
      </c>
      <c r="B494" t="s">
        <v>1132</v>
      </c>
      <c r="C494" s="2">
        <v>44104</v>
      </c>
      <c r="D494" s="2">
        <v>45014</v>
      </c>
      <c r="E494" s="3">
        <v>38468</v>
      </c>
      <c r="F494" t="s">
        <v>1134</v>
      </c>
      <c r="G494" t="s">
        <v>1133</v>
      </c>
      <c r="H494" t="s">
        <v>45</v>
      </c>
      <c r="I494" s="3">
        <v>10026</v>
      </c>
      <c r="J494" s="3">
        <v>1019220053</v>
      </c>
      <c r="K494" s="3">
        <v>1058380</v>
      </c>
      <c r="L494" t="s">
        <v>146</v>
      </c>
      <c r="M494" s="4">
        <v>9</v>
      </c>
      <c r="N494" t="s">
        <v>318</v>
      </c>
      <c r="O494" t="s">
        <v>148</v>
      </c>
      <c r="P494" s="4">
        <v>40.804710999999998</v>
      </c>
      <c r="Q494" s="4">
        <v>-73.953978000000006</v>
      </c>
      <c r="R494" s="4">
        <v>40.804461000000003</v>
      </c>
      <c r="S494" s="4">
        <v>-73.953948999999994</v>
      </c>
      <c r="T494" s="2">
        <v>44728</v>
      </c>
      <c r="U494" t="s">
        <v>49</v>
      </c>
      <c r="V494" t="s">
        <v>71</v>
      </c>
      <c r="W494" t="s">
        <v>51</v>
      </c>
      <c r="Y494" s="4">
        <v>5</v>
      </c>
      <c r="Z494" s="4">
        <v>9</v>
      </c>
      <c r="AD494" s="4">
        <v>4</v>
      </c>
      <c r="AE494" s="4">
        <v>5</v>
      </c>
      <c r="AF494" s="4">
        <v>4</v>
      </c>
      <c r="AG494" s="4">
        <v>1</v>
      </c>
      <c r="AL494" s="4">
        <v>14</v>
      </c>
      <c r="AN494" s="4">
        <v>14</v>
      </c>
      <c r="AO494" s="4">
        <v>14</v>
      </c>
    </row>
    <row r="495" spans="1:41" hidden="1" x14ac:dyDescent="0.2">
      <c r="A495" t="s">
        <v>1135</v>
      </c>
      <c r="B495" t="s">
        <v>1136</v>
      </c>
      <c r="C495" s="2">
        <v>44103</v>
      </c>
      <c r="E495" s="3">
        <v>23442</v>
      </c>
      <c r="F495" t="s">
        <v>126</v>
      </c>
      <c r="G495" t="s">
        <v>274</v>
      </c>
      <c r="H495" t="s">
        <v>45</v>
      </c>
      <c r="I495" s="3">
        <v>10026</v>
      </c>
      <c r="J495" s="3">
        <v>1017170069</v>
      </c>
      <c r="K495" s="3">
        <v>1053222</v>
      </c>
      <c r="L495" t="s">
        <v>146</v>
      </c>
      <c r="M495" s="4">
        <v>9</v>
      </c>
      <c r="N495" t="s">
        <v>275</v>
      </c>
      <c r="O495" t="s">
        <v>148</v>
      </c>
      <c r="P495" s="4">
        <v>40.803665000000002</v>
      </c>
      <c r="Q495" s="4">
        <v>-73.948474000000004</v>
      </c>
      <c r="R495" s="4">
        <v>40.803609999999999</v>
      </c>
      <c r="S495" s="4">
        <v>-73.948048</v>
      </c>
      <c r="U495" t="s">
        <v>49</v>
      </c>
      <c r="V495" t="s">
        <v>71</v>
      </c>
      <c r="W495" t="s">
        <v>51</v>
      </c>
      <c r="Y495" s="4">
        <v>2</v>
      </c>
      <c r="Z495" s="4">
        <v>27</v>
      </c>
      <c r="AC495" s="4">
        <v>1</v>
      </c>
      <c r="AD495" s="4">
        <v>1</v>
      </c>
      <c r="AE495" s="4">
        <v>1</v>
      </c>
      <c r="AG495" s="4">
        <v>15</v>
      </c>
      <c r="AI495" s="4">
        <v>13</v>
      </c>
      <c r="AL495" s="4">
        <v>3</v>
      </c>
      <c r="AM495" s="4">
        <v>27</v>
      </c>
      <c r="AN495" s="4">
        <v>30</v>
      </c>
      <c r="AO495" s="4">
        <v>30</v>
      </c>
    </row>
    <row r="496" spans="1:41" hidden="1" x14ac:dyDescent="0.2">
      <c r="A496" t="s">
        <v>1137</v>
      </c>
      <c r="B496" t="s">
        <v>1138</v>
      </c>
      <c r="C496" s="2">
        <v>44097</v>
      </c>
      <c r="D496" s="2">
        <v>44232</v>
      </c>
      <c r="E496" s="3">
        <v>994198</v>
      </c>
      <c r="F496" t="s">
        <v>471</v>
      </c>
      <c r="G496" t="s">
        <v>1139</v>
      </c>
      <c r="H496" t="s">
        <v>45</v>
      </c>
      <c r="I496" s="3">
        <v>10029</v>
      </c>
      <c r="J496" s="3">
        <v>1016270042</v>
      </c>
      <c r="K496" s="3">
        <v>1090703</v>
      </c>
      <c r="L496" t="s">
        <v>153</v>
      </c>
      <c r="M496" s="4">
        <v>8</v>
      </c>
      <c r="N496" t="s">
        <v>468</v>
      </c>
      <c r="O496" t="s">
        <v>267</v>
      </c>
      <c r="P496" s="4">
        <v>40.788144000000003</v>
      </c>
      <c r="Q496" s="4">
        <v>-73.948406000000006</v>
      </c>
      <c r="R496" s="4">
        <v>40.787816999999997</v>
      </c>
      <c r="S496" s="4">
        <v>-73.948189999999997</v>
      </c>
      <c r="T496" s="2">
        <v>44232</v>
      </c>
      <c r="U496" t="s">
        <v>117</v>
      </c>
      <c r="V496" t="s">
        <v>71</v>
      </c>
      <c r="W496" t="s">
        <v>51</v>
      </c>
      <c r="AB496" s="4">
        <v>5</v>
      </c>
      <c r="AE496" s="4">
        <v>5</v>
      </c>
      <c r="AL496" s="4">
        <v>5</v>
      </c>
      <c r="AN496" s="4">
        <v>5</v>
      </c>
      <c r="AO496" s="4">
        <v>16</v>
      </c>
    </row>
    <row r="497" spans="1:41" hidden="1" x14ac:dyDescent="0.2">
      <c r="A497" t="s">
        <v>1140</v>
      </c>
      <c r="B497" t="s">
        <v>140</v>
      </c>
      <c r="C497" s="2">
        <v>44092</v>
      </c>
      <c r="D497" s="2">
        <v>44092</v>
      </c>
      <c r="F497" t="s">
        <v>141</v>
      </c>
      <c r="G497" t="s">
        <v>141</v>
      </c>
      <c r="H497" t="s">
        <v>45</v>
      </c>
      <c r="L497" t="s">
        <v>169</v>
      </c>
      <c r="M497" s="4">
        <v>7</v>
      </c>
      <c r="T497" s="2">
        <v>44092</v>
      </c>
      <c r="U497" t="s">
        <v>117</v>
      </c>
      <c r="V497" t="s">
        <v>71</v>
      </c>
      <c r="W497" t="s">
        <v>51</v>
      </c>
      <c r="Z497" s="4">
        <v>1</v>
      </c>
      <c r="AE497" s="4">
        <v>1</v>
      </c>
      <c r="AM497" s="4">
        <v>1</v>
      </c>
      <c r="AN497" s="4">
        <v>1</v>
      </c>
      <c r="AO497" s="4">
        <v>1</v>
      </c>
    </row>
    <row r="498" spans="1:41" hidden="1" x14ac:dyDescent="0.2">
      <c r="A498" t="s">
        <v>1141</v>
      </c>
      <c r="B498" t="s">
        <v>1142</v>
      </c>
      <c r="C498" s="2">
        <v>44068</v>
      </c>
      <c r="D498" s="2">
        <v>44068</v>
      </c>
      <c r="E498" s="3">
        <v>993798</v>
      </c>
      <c r="F498" t="s">
        <v>1143</v>
      </c>
      <c r="G498" t="s">
        <v>1144</v>
      </c>
      <c r="H498" t="s">
        <v>45</v>
      </c>
      <c r="I498" s="3">
        <v>10037</v>
      </c>
      <c r="J498" s="3">
        <v>1017560048</v>
      </c>
      <c r="K498" s="3">
        <v>1089943</v>
      </c>
      <c r="L498" t="s">
        <v>153</v>
      </c>
      <c r="M498" s="4">
        <v>9</v>
      </c>
      <c r="N498" t="s">
        <v>192</v>
      </c>
      <c r="O498" t="s">
        <v>155</v>
      </c>
      <c r="P498" s="4">
        <v>40.809994000000003</v>
      </c>
      <c r="Q498" s="4">
        <v>-73.937003000000004</v>
      </c>
      <c r="R498" s="4">
        <v>40.809764000000001</v>
      </c>
      <c r="S498" s="4">
        <v>-73.937089999999998</v>
      </c>
      <c r="T498" s="2">
        <v>44068</v>
      </c>
      <c r="U498" t="s">
        <v>117</v>
      </c>
      <c r="V498" t="s">
        <v>71</v>
      </c>
      <c r="W498" t="s">
        <v>51</v>
      </c>
      <c r="Z498" s="4">
        <v>3</v>
      </c>
      <c r="AE498" s="4">
        <v>2</v>
      </c>
      <c r="AF498" s="4">
        <v>1</v>
      </c>
      <c r="AL498" s="4">
        <v>3</v>
      </c>
      <c r="AN498" s="4">
        <v>3</v>
      </c>
      <c r="AO498" s="4">
        <v>12</v>
      </c>
    </row>
    <row r="499" spans="1:41" hidden="1" x14ac:dyDescent="0.2">
      <c r="A499" t="s">
        <v>1145</v>
      </c>
      <c r="B499" t="s">
        <v>1146</v>
      </c>
      <c r="C499" s="2">
        <v>44063</v>
      </c>
      <c r="D499" s="2">
        <v>45272</v>
      </c>
      <c r="E499" s="3">
        <v>986618</v>
      </c>
      <c r="F499" t="s">
        <v>303</v>
      </c>
      <c r="G499" t="s">
        <v>1147</v>
      </c>
      <c r="H499" t="s">
        <v>45</v>
      </c>
      <c r="I499" s="3">
        <v>10040</v>
      </c>
      <c r="J499" s="3">
        <v>1021700118</v>
      </c>
      <c r="K499" s="3">
        <v>1091669</v>
      </c>
      <c r="L499" t="s">
        <v>114</v>
      </c>
      <c r="M499" s="4">
        <v>10</v>
      </c>
      <c r="N499" t="s">
        <v>480</v>
      </c>
      <c r="O499" t="s">
        <v>116</v>
      </c>
      <c r="P499" s="4">
        <v>40.858536000000001</v>
      </c>
      <c r="Q499" s="4">
        <v>-73.929601000000005</v>
      </c>
      <c r="R499" s="4">
        <v>40.858187000000001</v>
      </c>
      <c r="S499" s="4">
        <v>-73.929683999999995</v>
      </c>
      <c r="T499" s="2">
        <v>45272</v>
      </c>
      <c r="U499" t="s">
        <v>117</v>
      </c>
      <c r="V499" t="s">
        <v>71</v>
      </c>
      <c r="W499" t="s">
        <v>123</v>
      </c>
      <c r="X499" s="4">
        <v>163</v>
      </c>
      <c r="AC499" s="4">
        <v>1</v>
      </c>
      <c r="AD499" s="4">
        <v>118</v>
      </c>
      <c r="AE499" s="4">
        <v>45</v>
      </c>
      <c r="AF499" s="4">
        <v>1</v>
      </c>
      <c r="AL499" s="4">
        <v>164</v>
      </c>
      <c r="AN499" s="4">
        <v>164</v>
      </c>
      <c r="AO499" s="4">
        <v>164</v>
      </c>
    </row>
    <row r="500" spans="1:41" hidden="1" x14ac:dyDescent="0.2">
      <c r="A500" t="s">
        <v>1148</v>
      </c>
      <c r="B500" t="s">
        <v>1149</v>
      </c>
      <c r="C500" s="2">
        <v>44046</v>
      </c>
      <c r="D500" s="2">
        <v>44046</v>
      </c>
      <c r="E500" s="3">
        <v>41505</v>
      </c>
      <c r="F500" t="s">
        <v>305</v>
      </c>
      <c r="G500" t="s">
        <v>538</v>
      </c>
      <c r="H500" t="s">
        <v>45</v>
      </c>
      <c r="I500" s="3">
        <v>10030</v>
      </c>
      <c r="J500" s="3">
        <v>1020260041</v>
      </c>
      <c r="K500" s="3">
        <v>1060414</v>
      </c>
      <c r="L500" t="s">
        <v>146</v>
      </c>
      <c r="M500" s="4">
        <v>9</v>
      </c>
      <c r="N500" t="s">
        <v>222</v>
      </c>
      <c r="O500" t="s">
        <v>177</v>
      </c>
      <c r="P500" s="4">
        <v>40.819361999999998</v>
      </c>
      <c r="Q500" s="4">
        <v>-73.941582999999994</v>
      </c>
      <c r="R500" s="4">
        <v>40.819265999999999</v>
      </c>
      <c r="S500" s="4">
        <v>-73.941925999999995</v>
      </c>
      <c r="T500" s="2">
        <v>44046</v>
      </c>
      <c r="U500" t="s">
        <v>49</v>
      </c>
      <c r="V500" t="s">
        <v>71</v>
      </c>
      <c r="W500" t="s">
        <v>51</v>
      </c>
      <c r="X500" s="4">
        <v>17</v>
      </c>
      <c r="Y500" s="4">
        <v>6</v>
      </c>
      <c r="Z500" s="4">
        <v>1</v>
      </c>
      <c r="AE500" s="4">
        <v>7</v>
      </c>
      <c r="AF500" s="4">
        <v>10</v>
      </c>
      <c r="AG500" s="4">
        <v>7</v>
      </c>
      <c r="AL500" s="4">
        <v>24</v>
      </c>
      <c r="AN500" s="4">
        <v>24</v>
      </c>
      <c r="AO500" s="4">
        <v>24</v>
      </c>
    </row>
    <row r="501" spans="1:41" hidden="1" x14ac:dyDescent="0.2">
      <c r="A501" t="s">
        <v>1148</v>
      </c>
      <c r="B501" t="s">
        <v>1149</v>
      </c>
      <c r="C501" s="2">
        <v>44046</v>
      </c>
      <c r="D501" s="2">
        <v>44046</v>
      </c>
      <c r="E501" s="3">
        <v>41507</v>
      </c>
      <c r="F501" t="s">
        <v>313</v>
      </c>
      <c r="G501" t="s">
        <v>538</v>
      </c>
      <c r="H501" t="s">
        <v>45</v>
      </c>
      <c r="I501" s="3">
        <v>10030</v>
      </c>
      <c r="J501" s="3">
        <v>1020260043</v>
      </c>
      <c r="K501" s="3">
        <v>1060415</v>
      </c>
      <c r="L501" t="s">
        <v>146</v>
      </c>
      <c r="M501" s="4">
        <v>9</v>
      </c>
      <c r="N501" t="s">
        <v>222</v>
      </c>
      <c r="O501" t="s">
        <v>177</v>
      </c>
      <c r="P501" s="4">
        <v>40.819397000000002</v>
      </c>
      <c r="Q501" s="4">
        <v>-73.941661999999994</v>
      </c>
      <c r="R501" s="4">
        <v>40.819339999999997</v>
      </c>
      <c r="S501" s="4">
        <v>-73.942098999999999</v>
      </c>
      <c r="T501" s="2">
        <v>44046</v>
      </c>
      <c r="U501" t="s">
        <v>49</v>
      </c>
      <c r="V501" t="s">
        <v>71</v>
      </c>
      <c r="W501" t="s">
        <v>51</v>
      </c>
      <c r="X501" s="4">
        <v>6</v>
      </c>
      <c r="Y501" s="4">
        <v>12</v>
      </c>
      <c r="AE501" s="4">
        <v>2</v>
      </c>
      <c r="AF501" s="4">
        <v>11</v>
      </c>
      <c r="AG501" s="4">
        <v>5</v>
      </c>
      <c r="AL501" s="4">
        <v>18</v>
      </c>
      <c r="AN501" s="4">
        <v>18</v>
      </c>
      <c r="AO501" s="4">
        <v>18</v>
      </c>
    </row>
    <row r="502" spans="1:41" hidden="1" x14ac:dyDescent="0.2">
      <c r="A502" t="s">
        <v>1148</v>
      </c>
      <c r="B502" t="s">
        <v>1149</v>
      </c>
      <c r="C502" s="2">
        <v>44046</v>
      </c>
      <c r="D502" s="2">
        <v>44046</v>
      </c>
      <c r="E502" s="3">
        <v>41699</v>
      </c>
      <c r="F502" t="s">
        <v>427</v>
      </c>
      <c r="G502" t="s">
        <v>419</v>
      </c>
      <c r="H502" t="s">
        <v>45</v>
      </c>
      <c r="I502" s="3">
        <v>10030</v>
      </c>
      <c r="J502" s="3">
        <v>1020120022</v>
      </c>
      <c r="K502" s="3">
        <v>1060138</v>
      </c>
      <c r="L502" t="s">
        <v>146</v>
      </c>
      <c r="M502" s="4">
        <v>9</v>
      </c>
      <c r="N502" t="s">
        <v>425</v>
      </c>
      <c r="O502" t="s">
        <v>177</v>
      </c>
      <c r="P502" s="4">
        <v>40.819513999999998</v>
      </c>
      <c r="Q502" s="4">
        <v>-73.938030999999995</v>
      </c>
      <c r="R502" s="4">
        <v>40.819755000000001</v>
      </c>
      <c r="S502" s="4">
        <v>-73.938056000000003</v>
      </c>
      <c r="T502" s="2">
        <v>44046</v>
      </c>
      <c r="U502" t="s">
        <v>49</v>
      </c>
      <c r="V502" t="s">
        <v>71</v>
      </c>
      <c r="W502" t="s">
        <v>51</v>
      </c>
      <c r="X502" s="4">
        <v>10</v>
      </c>
      <c r="Y502" s="4">
        <v>11</v>
      </c>
      <c r="Z502" s="4">
        <v>2</v>
      </c>
      <c r="AC502" s="4">
        <v>1</v>
      </c>
      <c r="AE502" s="4">
        <v>14</v>
      </c>
      <c r="AF502" s="4">
        <v>10</v>
      </c>
      <c r="AL502" s="4">
        <v>24</v>
      </c>
      <c r="AN502" s="4">
        <v>24</v>
      </c>
      <c r="AO502" s="4">
        <v>24</v>
      </c>
    </row>
    <row r="503" spans="1:41" hidden="1" x14ac:dyDescent="0.2">
      <c r="A503" t="s">
        <v>1148</v>
      </c>
      <c r="B503" t="s">
        <v>1149</v>
      </c>
      <c r="C503" s="2">
        <v>44046</v>
      </c>
      <c r="D503" s="2">
        <v>44046</v>
      </c>
      <c r="E503" s="3">
        <v>41701</v>
      </c>
      <c r="F503" t="s">
        <v>716</v>
      </c>
      <c r="G503" t="s">
        <v>419</v>
      </c>
      <c r="H503" t="s">
        <v>45</v>
      </c>
      <c r="I503" s="3">
        <v>10030</v>
      </c>
      <c r="J503" s="3">
        <v>1020110050</v>
      </c>
      <c r="K503" s="3">
        <v>1060121</v>
      </c>
      <c r="L503" t="s">
        <v>146</v>
      </c>
      <c r="M503" s="4">
        <v>9</v>
      </c>
      <c r="N503" t="s">
        <v>425</v>
      </c>
      <c r="O503" t="s">
        <v>177</v>
      </c>
      <c r="P503" s="4">
        <v>40.819614999999999</v>
      </c>
      <c r="Q503" s="4">
        <v>-73.938316</v>
      </c>
      <c r="R503" s="4">
        <v>40.819605000000003</v>
      </c>
      <c r="S503" s="4">
        <v>-73.938857999999996</v>
      </c>
      <c r="T503" s="2">
        <v>44046</v>
      </c>
      <c r="U503" t="s">
        <v>49</v>
      </c>
      <c r="V503" t="s">
        <v>71</v>
      </c>
      <c r="W503" t="s">
        <v>51</v>
      </c>
      <c r="X503" s="4">
        <v>7</v>
      </c>
      <c r="Y503" s="4">
        <v>11</v>
      </c>
      <c r="Z503" s="4">
        <v>1</v>
      </c>
      <c r="AD503" s="4">
        <v>2</v>
      </c>
      <c r="AF503" s="4">
        <v>12</v>
      </c>
      <c r="AG503" s="4">
        <v>5</v>
      </c>
      <c r="AL503" s="4">
        <v>19</v>
      </c>
      <c r="AN503" s="4">
        <v>19</v>
      </c>
      <c r="AO503" s="4">
        <v>19</v>
      </c>
    </row>
    <row r="504" spans="1:41" hidden="1" x14ac:dyDescent="0.2">
      <c r="A504" t="s">
        <v>1148</v>
      </c>
      <c r="B504" t="s">
        <v>1149</v>
      </c>
      <c r="C504" s="2">
        <v>44046</v>
      </c>
      <c r="D504" s="2">
        <v>44046</v>
      </c>
      <c r="E504" s="3">
        <v>41705</v>
      </c>
      <c r="F504" t="s">
        <v>642</v>
      </c>
      <c r="G504" t="s">
        <v>419</v>
      </c>
      <c r="H504" t="s">
        <v>45</v>
      </c>
      <c r="I504" s="3">
        <v>10030</v>
      </c>
      <c r="J504" s="3">
        <v>1020120017</v>
      </c>
      <c r="K504" s="3">
        <v>1060135</v>
      </c>
      <c r="L504" t="s">
        <v>146</v>
      </c>
      <c r="M504" s="4">
        <v>9</v>
      </c>
      <c r="N504" t="s">
        <v>425</v>
      </c>
      <c r="O504" t="s">
        <v>177</v>
      </c>
      <c r="P504" s="4">
        <v>40.819747</v>
      </c>
      <c r="Q504" s="4">
        <v>-73.938586999999998</v>
      </c>
      <c r="R504" s="4">
        <v>40.819920000000003</v>
      </c>
      <c r="S504" s="4">
        <v>-73.938445999999999</v>
      </c>
      <c r="T504" s="2">
        <v>44046</v>
      </c>
      <c r="U504" t="s">
        <v>49</v>
      </c>
      <c r="V504" t="s">
        <v>71</v>
      </c>
      <c r="W504" t="s">
        <v>51</v>
      </c>
      <c r="X504" s="4">
        <v>1</v>
      </c>
      <c r="Y504" s="4">
        <v>16</v>
      </c>
      <c r="AF504" s="4">
        <v>12</v>
      </c>
      <c r="AG504" s="4">
        <v>5</v>
      </c>
      <c r="AL504" s="4">
        <v>17</v>
      </c>
      <c r="AN504" s="4">
        <v>17</v>
      </c>
      <c r="AO504" s="4">
        <v>17</v>
      </c>
    </row>
    <row r="505" spans="1:41" hidden="1" x14ac:dyDescent="0.2">
      <c r="A505" t="s">
        <v>1148</v>
      </c>
      <c r="B505" t="s">
        <v>1149</v>
      </c>
      <c r="C505" s="2">
        <v>44046</v>
      </c>
      <c r="D505" s="2">
        <v>44046</v>
      </c>
      <c r="E505" s="3">
        <v>41782</v>
      </c>
      <c r="F505" t="s">
        <v>1150</v>
      </c>
      <c r="G505" t="s">
        <v>539</v>
      </c>
      <c r="H505" t="s">
        <v>45</v>
      </c>
      <c r="I505" s="3">
        <v>10030</v>
      </c>
      <c r="J505" s="3">
        <v>1020130012</v>
      </c>
      <c r="K505" s="3">
        <v>1060162</v>
      </c>
      <c r="L505" t="s">
        <v>146</v>
      </c>
      <c r="M505" s="4">
        <v>9</v>
      </c>
      <c r="N505" t="s">
        <v>425</v>
      </c>
      <c r="O505" t="s">
        <v>177</v>
      </c>
      <c r="P505" s="4">
        <v>40.820490999999997</v>
      </c>
      <c r="Q505" s="4">
        <v>-73.938417000000001</v>
      </c>
      <c r="R505" s="4">
        <v>40.820718999999997</v>
      </c>
      <c r="S505" s="4">
        <v>-73.938398000000007</v>
      </c>
      <c r="T505" s="2">
        <v>44046</v>
      </c>
      <c r="U505" t="s">
        <v>49</v>
      </c>
      <c r="V505" t="s">
        <v>71</v>
      </c>
      <c r="W505" t="s">
        <v>51</v>
      </c>
      <c r="X505" s="4">
        <v>10</v>
      </c>
      <c r="Y505" s="4">
        <v>8</v>
      </c>
      <c r="Z505" s="4">
        <v>1</v>
      </c>
      <c r="AC505" s="4">
        <v>1</v>
      </c>
      <c r="AD505" s="4">
        <v>2</v>
      </c>
      <c r="AE505" s="4">
        <v>4</v>
      </c>
      <c r="AF505" s="4">
        <v>5</v>
      </c>
      <c r="AG505" s="4">
        <v>9</v>
      </c>
      <c r="AL505" s="4">
        <v>20</v>
      </c>
      <c r="AN505" s="4">
        <v>20</v>
      </c>
      <c r="AO505" s="4">
        <v>20</v>
      </c>
    </row>
    <row r="506" spans="1:41" hidden="1" x14ac:dyDescent="0.2">
      <c r="A506" t="s">
        <v>1148</v>
      </c>
      <c r="B506" t="s">
        <v>1149</v>
      </c>
      <c r="C506" s="2">
        <v>44046</v>
      </c>
      <c r="D506" s="2">
        <v>44046</v>
      </c>
      <c r="E506" s="3">
        <v>41789</v>
      </c>
      <c r="F506" t="s">
        <v>920</v>
      </c>
      <c r="G506" t="s">
        <v>539</v>
      </c>
      <c r="H506" t="s">
        <v>45</v>
      </c>
      <c r="I506" s="3">
        <v>10030</v>
      </c>
      <c r="J506" s="3">
        <v>1020120057</v>
      </c>
      <c r="K506" s="3">
        <v>1060153</v>
      </c>
      <c r="L506" t="s">
        <v>146</v>
      </c>
      <c r="M506" s="4">
        <v>9</v>
      </c>
      <c r="N506" t="s">
        <v>425</v>
      </c>
      <c r="O506" t="s">
        <v>177</v>
      </c>
      <c r="P506" s="4">
        <v>40.820718999999997</v>
      </c>
      <c r="Q506" s="4">
        <v>-73.939002000000002</v>
      </c>
      <c r="R506" s="4">
        <v>40.820464000000001</v>
      </c>
      <c r="S506" s="4">
        <v>-73.938980000000001</v>
      </c>
      <c r="T506" s="2">
        <v>44046</v>
      </c>
      <c r="U506" t="s">
        <v>49</v>
      </c>
      <c r="V506" t="s">
        <v>71</v>
      </c>
      <c r="W506" t="s">
        <v>51</v>
      </c>
      <c r="X506" s="4">
        <v>8</v>
      </c>
      <c r="Y506" s="4">
        <v>4</v>
      </c>
      <c r="Z506" s="4">
        <v>3</v>
      </c>
      <c r="AD506" s="4">
        <v>1</v>
      </c>
      <c r="AE506" s="4">
        <v>4</v>
      </c>
      <c r="AF506" s="4">
        <v>10</v>
      </c>
      <c r="AL506" s="4">
        <v>15</v>
      </c>
      <c r="AN506" s="4">
        <v>15</v>
      </c>
      <c r="AO506" s="4">
        <v>15</v>
      </c>
    </row>
    <row r="507" spans="1:41" hidden="1" x14ac:dyDescent="0.2">
      <c r="A507" t="s">
        <v>1148</v>
      </c>
      <c r="B507" t="s">
        <v>1149</v>
      </c>
      <c r="C507" s="2">
        <v>44046</v>
      </c>
      <c r="D507" s="2">
        <v>44046</v>
      </c>
      <c r="E507" s="3">
        <v>41899</v>
      </c>
      <c r="F507" t="s">
        <v>420</v>
      </c>
      <c r="G507" t="s">
        <v>439</v>
      </c>
      <c r="H507" t="s">
        <v>45</v>
      </c>
      <c r="I507" s="3">
        <v>10039</v>
      </c>
      <c r="J507" s="3">
        <v>1020310017</v>
      </c>
      <c r="K507" s="3">
        <v>1060478</v>
      </c>
      <c r="L507" t="s">
        <v>146</v>
      </c>
      <c r="M507" s="4">
        <v>9</v>
      </c>
      <c r="N507" t="s">
        <v>425</v>
      </c>
      <c r="O507" t="s">
        <v>177</v>
      </c>
      <c r="P507" s="4">
        <v>40.822069999999997</v>
      </c>
      <c r="Q507" s="4">
        <v>-73.940073999999996</v>
      </c>
      <c r="R507" s="4">
        <v>40.822468000000001</v>
      </c>
      <c r="S507" s="4">
        <v>-73.940312000000006</v>
      </c>
      <c r="T507" s="2">
        <v>44046</v>
      </c>
      <c r="U507" t="s">
        <v>49</v>
      </c>
      <c r="V507" t="s">
        <v>71</v>
      </c>
      <c r="W507" t="s">
        <v>51</v>
      </c>
      <c r="X507" s="4">
        <v>2</v>
      </c>
      <c r="Y507" s="4">
        <v>15</v>
      </c>
      <c r="AE507" s="4">
        <v>6</v>
      </c>
      <c r="AF507" s="4">
        <v>6</v>
      </c>
      <c r="AG507" s="4">
        <v>5</v>
      </c>
      <c r="AL507" s="4">
        <v>17</v>
      </c>
      <c r="AN507" s="4">
        <v>17</v>
      </c>
      <c r="AO507" s="4">
        <v>17</v>
      </c>
    </row>
    <row r="508" spans="1:41" hidden="1" x14ac:dyDescent="0.2">
      <c r="A508" t="s">
        <v>1151</v>
      </c>
      <c r="B508" t="s">
        <v>1152</v>
      </c>
      <c r="C508" s="2">
        <v>44042</v>
      </c>
      <c r="D508" s="2">
        <v>44324</v>
      </c>
      <c r="E508" s="3">
        <v>869382</v>
      </c>
      <c r="F508" t="s">
        <v>55</v>
      </c>
      <c r="G508" t="s">
        <v>260</v>
      </c>
      <c r="H508" t="s">
        <v>45</v>
      </c>
      <c r="I508" s="3">
        <v>10027</v>
      </c>
      <c r="J508" s="3">
        <v>1019107501</v>
      </c>
      <c r="K508" s="3">
        <v>1081601</v>
      </c>
      <c r="L508" t="s">
        <v>146</v>
      </c>
      <c r="M508" s="4">
        <v>9</v>
      </c>
      <c r="N508" t="s">
        <v>147</v>
      </c>
      <c r="O508" t="s">
        <v>148</v>
      </c>
      <c r="P508" s="4">
        <v>40.808214999999997</v>
      </c>
      <c r="Q508" s="4">
        <v>-73.946501999999995</v>
      </c>
      <c r="R508" s="4">
        <v>40.808664999999998</v>
      </c>
      <c r="S508" s="4">
        <v>-73.946841000000006</v>
      </c>
      <c r="T508" s="2">
        <v>44324</v>
      </c>
      <c r="U508" t="s">
        <v>117</v>
      </c>
      <c r="V508" t="s">
        <v>71</v>
      </c>
      <c r="W508" t="s">
        <v>51</v>
      </c>
      <c r="X508" s="4">
        <v>18</v>
      </c>
      <c r="Y508" s="4">
        <v>68</v>
      </c>
      <c r="Z508" s="4">
        <v>84</v>
      </c>
      <c r="AC508" s="4">
        <v>1</v>
      </c>
      <c r="AD508" s="4">
        <v>21</v>
      </c>
      <c r="AE508" s="4">
        <v>86</v>
      </c>
      <c r="AF508" s="4">
        <v>64</v>
      </c>
      <c r="AL508" s="4">
        <v>171</v>
      </c>
      <c r="AN508" s="4">
        <v>171</v>
      </c>
      <c r="AO508" s="4">
        <v>171</v>
      </c>
    </row>
    <row r="509" spans="1:41" hidden="1" x14ac:dyDescent="0.2">
      <c r="A509" t="s">
        <v>1153</v>
      </c>
      <c r="B509" t="s">
        <v>1154</v>
      </c>
      <c r="C509" s="2">
        <v>44011</v>
      </c>
      <c r="D509" s="2">
        <v>44011</v>
      </c>
      <c r="E509" s="3">
        <v>969461</v>
      </c>
      <c r="F509" t="s">
        <v>873</v>
      </c>
      <c r="G509" t="s">
        <v>1155</v>
      </c>
      <c r="H509" t="s">
        <v>45</v>
      </c>
      <c r="I509" s="3">
        <v>10032</v>
      </c>
      <c r="J509" s="3">
        <v>1021300057</v>
      </c>
      <c r="K509" s="3">
        <v>1090339</v>
      </c>
      <c r="L509" t="s">
        <v>114</v>
      </c>
      <c r="M509" s="4">
        <v>10</v>
      </c>
      <c r="N509" t="s">
        <v>346</v>
      </c>
      <c r="O509" t="s">
        <v>134</v>
      </c>
      <c r="P509" s="4">
        <v>40.843279000000003</v>
      </c>
      <c r="Q509" s="4">
        <v>-73.935439000000002</v>
      </c>
      <c r="R509" s="4">
        <v>40.843514999999996</v>
      </c>
      <c r="S509" s="4">
        <v>-73.935402999999994</v>
      </c>
      <c r="T509" s="2">
        <v>44011</v>
      </c>
      <c r="U509" t="s">
        <v>117</v>
      </c>
      <c r="V509" t="s">
        <v>71</v>
      </c>
      <c r="W509" t="s">
        <v>51</v>
      </c>
      <c r="Z509" s="4">
        <v>2</v>
      </c>
      <c r="AD509" s="4">
        <v>1</v>
      </c>
      <c r="AE509" s="4">
        <v>1</v>
      </c>
      <c r="AL509" s="4">
        <v>2</v>
      </c>
      <c r="AN509" s="4">
        <v>2</v>
      </c>
      <c r="AO509" s="4">
        <v>8</v>
      </c>
    </row>
    <row r="510" spans="1:41" hidden="1" x14ac:dyDescent="0.2">
      <c r="A510" t="s">
        <v>1156</v>
      </c>
      <c r="B510" t="s">
        <v>1157</v>
      </c>
      <c r="C510" s="2">
        <v>44008</v>
      </c>
      <c r="D510" s="2">
        <v>44008</v>
      </c>
      <c r="E510" s="3">
        <v>11158</v>
      </c>
      <c r="F510" t="s">
        <v>1158</v>
      </c>
      <c r="G510" t="s">
        <v>1159</v>
      </c>
      <c r="H510" t="s">
        <v>45</v>
      </c>
      <c r="I510" s="3">
        <v>10009</v>
      </c>
      <c r="J510" s="3">
        <v>1003760028</v>
      </c>
      <c r="K510" s="3">
        <v>1004485</v>
      </c>
      <c r="L510" t="s">
        <v>64</v>
      </c>
      <c r="M510" s="4">
        <v>2</v>
      </c>
      <c r="N510" t="s">
        <v>603</v>
      </c>
      <c r="O510" t="s">
        <v>197</v>
      </c>
      <c r="P510" s="4">
        <v>40.723489999999998</v>
      </c>
      <c r="Q510" s="4">
        <v>-73.977476999999993</v>
      </c>
      <c r="R510" s="4">
        <v>40.723171000000001</v>
      </c>
      <c r="S510" s="4">
        <v>-73.977264000000005</v>
      </c>
      <c r="T510" s="2">
        <v>44008</v>
      </c>
      <c r="U510" t="s">
        <v>49</v>
      </c>
      <c r="V510" t="s">
        <v>50</v>
      </c>
      <c r="W510" t="s">
        <v>51</v>
      </c>
      <c r="X510" s="4">
        <v>21</v>
      </c>
      <c r="AD510" s="4">
        <v>18</v>
      </c>
      <c r="AF510" s="4">
        <v>3</v>
      </c>
      <c r="AL510" s="4">
        <v>21</v>
      </c>
      <c r="AN510" s="4">
        <v>21</v>
      </c>
      <c r="AO510" s="4">
        <v>21</v>
      </c>
    </row>
    <row r="511" spans="1:41" hidden="1" x14ac:dyDescent="0.2">
      <c r="A511" t="s">
        <v>1160</v>
      </c>
      <c r="B511" t="s">
        <v>1161</v>
      </c>
      <c r="C511" s="2">
        <v>43983</v>
      </c>
      <c r="D511" s="2">
        <v>44386</v>
      </c>
      <c r="E511" s="3">
        <v>19044</v>
      </c>
      <c r="F511" t="s">
        <v>836</v>
      </c>
      <c r="G511" t="s">
        <v>1162</v>
      </c>
      <c r="H511" t="s">
        <v>45</v>
      </c>
      <c r="I511" s="3">
        <v>10029</v>
      </c>
      <c r="J511" s="3">
        <v>1016550009</v>
      </c>
      <c r="K511" s="3">
        <v>1091698</v>
      </c>
      <c r="L511" t="s">
        <v>153</v>
      </c>
      <c r="M511" s="4">
        <v>8</v>
      </c>
      <c r="N511" t="s">
        <v>126</v>
      </c>
      <c r="O511" t="s">
        <v>267</v>
      </c>
      <c r="P511" s="4">
        <v>40.790626000000003</v>
      </c>
      <c r="Q511" s="4">
        <v>-73.944507999999999</v>
      </c>
      <c r="R511" s="4">
        <v>40.790697000000002</v>
      </c>
      <c r="S511" s="4">
        <v>-73.944113999999999</v>
      </c>
      <c r="T511" s="2">
        <v>44386</v>
      </c>
      <c r="U511" t="s">
        <v>117</v>
      </c>
      <c r="V511" t="s">
        <v>71</v>
      </c>
      <c r="W511" t="s">
        <v>51</v>
      </c>
      <c r="AB511" s="4">
        <v>7</v>
      </c>
      <c r="AE511" s="4">
        <v>7</v>
      </c>
      <c r="AL511" s="4">
        <v>7</v>
      </c>
      <c r="AN511" s="4">
        <v>7</v>
      </c>
      <c r="AO511" s="4">
        <v>23</v>
      </c>
    </row>
    <row r="512" spans="1:41" hidden="1" x14ac:dyDescent="0.2">
      <c r="A512" t="s">
        <v>1163</v>
      </c>
      <c r="B512" t="s">
        <v>1164</v>
      </c>
      <c r="C512" s="2">
        <v>43965</v>
      </c>
      <c r="D512" s="2">
        <v>44967</v>
      </c>
      <c r="E512" s="3">
        <v>967600</v>
      </c>
      <c r="F512" t="s">
        <v>1165</v>
      </c>
      <c r="G512" t="s">
        <v>106</v>
      </c>
      <c r="H512" t="s">
        <v>45</v>
      </c>
      <c r="I512" s="3">
        <v>10035</v>
      </c>
      <c r="J512" s="3">
        <v>1017960051</v>
      </c>
      <c r="K512" s="3">
        <v>1090486</v>
      </c>
      <c r="L512" t="s">
        <v>153</v>
      </c>
      <c r="M512" s="4">
        <v>8</v>
      </c>
      <c r="N512" t="s">
        <v>374</v>
      </c>
      <c r="O512" t="s">
        <v>155</v>
      </c>
      <c r="P512" s="4">
        <v>40.799354999999998</v>
      </c>
      <c r="Q512" s="4">
        <v>-73.936044999999993</v>
      </c>
      <c r="R512" s="4">
        <v>40.799368999999999</v>
      </c>
      <c r="S512" s="4">
        <v>-73.935709000000003</v>
      </c>
      <c r="T512" s="2">
        <v>44967</v>
      </c>
      <c r="U512" t="s">
        <v>117</v>
      </c>
      <c r="V512" t="s">
        <v>71</v>
      </c>
      <c r="W512" t="s">
        <v>51</v>
      </c>
      <c r="AB512" s="4">
        <v>9</v>
      </c>
      <c r="AE512" s="4">
        <v>6</v>
      </c>
      <c r="AF512" s="4">
        <v>3</v>
      </c>
      <c r="AL512" s="4">
        <v>9</v>
      </c>
      <c r="AN512" s="4">
        <v>9</v>
      </c>
      <c r="AO512" s="4">
        <v>30</v>
      </c>
    </row>
    <row r="513" spans="1:41" hidden="1" x14ac:dyDescent="0.2">
      <c r="A513" t="s">
        <v>1166</v>
      </c>
      <c r="B513" t="s">
        <v>1167</v>
      </c>
      <c r="C513" s="2">
        <v>43921</v>
      </c>
      <c r="E513" s="3">
        <v>1564</v>
      </c>
      <c r="F513" t="s">
        <v>727</v>
      </c>
      <c r="G513" t="s">
        <v>106</v>
      </c>
      <c r="H513" t="s">
        <v>45</v>
      </c>
      <c r="I513" s="3">
        <v>10003</v>
      </c>
      <c r="J513" s="3">
        <v>1004600035</v>
      </c>
      <c r="K513" s="3">
        <v>1006591</v>
      </c>
      <c r="L513" t="s">
        <v>64</v>
      </c>
      <c r="M513" s="4">
        <v>2</v>
      </c>
      <c r="N513" t="s">
        <v>1168</v>
      </c>
      <c r="O513" t="s">
        <v>197</v>
      </c>
      <c r="P513" s="4">
        <v>40.726641999999998</v>
      </c>
      <c r="Q513" s="4">
        <v>-73.989101000000005</v>
      </c>
      <c r="R513" s="4">
        <v>40.726765999999998</v>
      </c>
      <c r="S513" s="4">
        <v>-73.989367999999999</v>
      </c>
      <c r="T513" s="2">
        <v>43921</v>
      </c>
      <c r="U513" t="s">
        <v>49</v>
      </c>
      <c r="V513" t="s">
        <v>71</v>
      </c>
      <c r="W513" t="s">
        <v>51</v>
      </c>
      <c r="Y513" s="4">
        <v>4</v>
      </c>
      <c r="AG513" s="4">
        <v>4</v>
      </c>
      <c r="AL513" s="4">
        <v>1</v>
      </c>
      <c r="AM513" s="4">
        <v>3</v>
      </c>
      <c r="AN513" s="4">
        <v>4</v>
      </c>
      <c r="AO513" s="4">
        <v>4</v>
      </c>
    </row>
    <row r="514" spans="1:41" hidden="1" x14ac:dyDescent="0.2">
      <c r="A514" t="s">
        <v>1166</v>
      </c>
      <c r="B514" t="s">
        <v>1167</v>
      </c>
      <c r="C514" s="2">
        <v>43921</v>
      </c>
      <c r="E514" s="3">
        <v>10537</v>
      </c>
      <c r="F514" t="s">
        <v>924</v>
      </c>
      <c r="G514" t="s">
        <v>1169</v>
      </c>
      <c r="H514" t="s">
        <v>45</v>
      </c>
      <c r="I514" s="3">
        <v>10003</v>
      </c>
      <c r="J514" s="3">
        <v>1004590043</v>
      </c>
      <c r="K514" s="3">
        <v>1077971</v>
      </c>
      <c r="L514" t="s">
        <v>64</v>
      </c>
      <c r="M514" s="4">
        <v>2</v>
      </c>
      <c r="N514" t="s">
        <v>1168</v>
      </c>
      <c r="O514" t="s">
        <v>197</v>
      </c>
      <c r="P514" s="4">
        <v>40.726061000000001</v>
      </c>
      <c r="Q514" s="4">
        <v>-73.990983999999997</v>
      </c>
      <c r="R514" s="4">
        <v>40.726202999999998</v>
      </c>
      <c r="S514" s="4">
        <v>-73.990810999999994</v>
      </c>
      <c r="T514" s="2">
        <v>43921</v>
      </c>
      <c r="U514" t="s">
        <v>49</v>
      </c>
      <c r="V514" t="s">
        <v>71</v>
      </c>
      <c r="W514" t="s">
        <v>51</v>
      </c>
      <c r="Y514" s="4">
        <v>10</v>
      </c>
      <c r="AD514" s="4">
        <v>2</v>
      </c>
      <c r="AE514" s="4">
        <v>6</v>
      </c>
      <c r="AF514" s="4">
        <v>2</v>
      </c>
      <c r="AL514" s="4">
        <v>1</v>
      </c>
      <c r="AM514" s="4">
        <v>9</v>
      </c>
      <c r="AN514" s="4">
        <v>10</v>
      </c>
      <c r="AO514" s="4">
        <v>10</v>
      </c>
    </row>
    <row r="515" spans="1:41" hidden="1" x14ac:dyDescent="0.2">
      <c r="A515" t="s">
        <v>1166</v>
      </c>
      <c r="B515" t="s">
        <v>1167</v>
      </c>
      <c r="C515" s="2">
        <v>43921</v>
      </c>
      <c r="E515" s="3">
        <v>10557</v>
      </c>
      <c r="F515" t="s">
        <v>1170</v>
      </c>
      <c r="G515" t="s">
        <v>1169</v>
      </c>
      <c r="H515" t="s">
        <v>45</v>
      </c>
      <c r="I515" s="3">
        <v>10003</v>
      </c>
      <c r="J515" s="3">
        <v>1004590039</v>
      </c>
      <c r="K515" s="3">
        <v>1077972</v>
      </c>
      <c r="L515" t="s">
        <v>64</v>
      </c>
      <c r="M515" s="4">
        <v>2</v>
      </c>
      <c r="N515" t="s">
        <v>1168</v>
      </c>
      <c r="O515" t="s">
        <v>197</v>
      </c>
      <c r="P515" s="4">
        <v>40.725932</v>
      </c>
      <c r="Q515" s="4">
        <v>-73.990677000000005</v>
      </c>
      <c r="R515" s="4">
        <v>40.726080000000003</v>
      </c>
      <c r="S515" s="4">
        <v>-73.990486000000004</v>
      </c>
      <c r="T515" s="2">
        <v>43921</v>
      </c>
      <c r="U515" t="s">
        <v>49</v>
      </c>
      <c r="V515" t="s">
        <v>71</v>
      </c>
      <c r="W515" t="s">
        <v>51</v>
      </c>
      <c r="X515" s="4">
        <v>15</v>
      </c>
      <c r="Y515" s="4">
        <v>1</v>
      </c>
      <c r="AD515" s="4">
        <v>6</v>
      </c>
      <c r="AE515" s="4">
        <v>5</v>
      </c>
      <c r="AF515" s="4">
        <v>5</v>
      </c>
      <c r="AL515" s="4">
        <v>5</v>
      </c>
      <c r="AM515" s="4">
        <v>11</v>
      </c>
      <c r="AN515" s="4">
        <v>16</v>
      </c>
      <c r="AO515" s="4">
        <v>16</v>
      </c>
    </row>
    <row r="516" spans="1:41" hidden="1" x14ac:dyDescent="0.2">
      <c r="A516" t="s">
        <v>1166</v>
      </c>
      <c r="B516" t="s">
        <v>1167</v>
      </c>
      <c r="C516" s="2">
        <v>43921</v>
      </c>
      <c r="E516" s="3">
        <v>10569</v>
      </c>
      <c r="F516" t="s">
        <v>1171</v>
      </c>
      <c r="G516" t="s">
        <v>1169</v>
      </c>
      <c r="H516" t="s">
        <v>45</v>
      </c>
      <c r="I516" s="3">
        <v>10003</v>
      </c>
      <c r="J516" s="3">
        <v>1004590038</v>
      </c>
      <c r="K516" s="3">
        <v>1077973</v>
      </c>
      <c r="L516" t="s">
        <v>64</v>
      </c>
      <c r="M516" s="4">
        <v>2</v>
      </c>
      <c r="N516" t="s">
        <v>1168</v>
      </c>
      <c r="O516" t="s">
        <v>197</v>
      </c>
      <c r="P516" s="4">
        <v>40.725901</v>
      </c>
      <c r="Q516" s="4">
        <v>-73.990601999999996</v>
      </c>
      <c r="R516" s="4">
        <v>40.726052000000003</v>
      </c>
      <c r="S516" s="4">
        <v>-73.990403000000001</v>
      </c>
      <c r="T516" s="2">
        <v>43921</v>
      </c>
      <c r="U516" t="s">
        <v>49</v>
      </c>
      <c r="V516" t="s">
        <v>71</v>
      </c>
      <c r="W516" t="s">
        <v>51</v>
      </c>
      <c r="X516" s="4">
        <v>14</v>
      </c>
      <c r="Y516" s="4">
        <v>3</v>
      </c>
      <c r="AD516" s="4">
        <v>8</v>
      </c>
      <c r="AE516" s="4">
        <v>6</v>
      </c>
      <c r="AF516" s="4">
        <v>3</v>
      </c>
      <c r="AL516" s="4">
        <v>3</v>
      </c>
      <c r="AM516" s="4">
        <v>14</v>
      </c>
      <c r="AN516" s="4">
        <v>17</v>
      </c>
      <c r="AO516" s="4">
        <v>17</v>
      </c>
    </row>
    <row r="517" spans="1:41" hidden="1" x14ac:dyDescent="0.2">
      <c r="A517" t="s">
        <v>1166</v>
      </c>
      <c r="B517" t="s">
        <v>1167</v>
      </c>
      <c r="C517" s="2">
        <v>43921</v>
      </c>
      <c r="E517" s="3">
        <v>10580</v>
      </c>
      <c r="F517" t="s">
        <v>278</v>
      </c>
      <c r="G517" t="s">
        <v>1169</v>
      </c>
      <c r="H517" t="s">
        <v>45</v>
      </c>
      <c r="I517" s="3">
        <v>10003</v>
      </c>
      <c r="J517" s="3">
        <v>1004590037</v>
      </c>
      <c r="K517" s="3">
        <v>1077974</v>
      </c>
      <c r="L517" t="s">
        <v>64</v>
      </c>
      <c r="M517" s="4">
        <v>2</v>
      </c>
      <c r="N517" t="s">
        <v>1168</v>
      </c>
      <c r="O517" t="s">
        <v>197</v>
      </c>
      <c r="P517" s="4">
        <v>40.725867999999998</v>
      </c>
      <c r="Q517" s="4">
        <v>-73.990526000000003</v>
      </c>
      <c r="R517" s="4">
        <v>40.726013999999999</v>
      </c>
      <c r="S517" s="4">
        <v>-73.990326999999994</v>
      </c>
      <c r="T517" s="2">
        <v>43921</v>
      </c>
      <c r="U517" t="s">
        <v>49</v>
      </c>
      <c r="V517" t="s">
        <v>71</v>
      </c>
      <c r="W517" t="s">
        <v>51</v>
      </c>
      <c r="X517" s="4">
        <v>17</v>
      </c>
      <c r="Y517" s="4">
        <v>1</v>
      </c>
      <c r="AD517" s="4">
        <v>9</v>
      </c>
      <c r="AE517" s="4">
        <v>7</v>
      </c>
      <c r="AF517" s="4">
        <v>2</v>
      </c>
      <c r="AL517" s="4">
        <v>2</v>
      </c>
      <c r="AM517" s="4">
        <v>16</v>
      </c>
      <c r="AN517" s="4">
        <v>18</v>
      </c>
      <c r="AO517" s="4">
        <v>18</v>
      </c>
    </row>
    <row r="518" spans="1:41" hidden="1" x14ac:dyDescent="0.2">
      <c r="A518" t="s">
        <v>1166</v>
      </c>
      <c r="B518" t="s">
        <v>1167</v>
      </c>
      <c r="C518" s="2">
        <v>43921</v>
      </c>
      <c r="E518" s="3">
        <v>10582</v>
      </c>
      <c r="F518" t="s">
        <v>1172</v>
      </c>
      <c r="G518" t="s">
        <v>1169</v>
      </c>
      <c r="H518" t="s">
        <v>45</v>
      </c>
      <c r="I518" s="3">
        <v>10003</v>
      </c>
      <c r="J518" s="3">
        <v>1004590036</v>
      </c>
      <c r="K518" s="3">
        <v>1077975</v>
      </c>
      <c r="L518" t="s">
        <v>64</v>
      </c>
      <c r="M518" s="4">
        <v>2</v>
      </c>
      <c r="N518" t="s">
        <v>1168</v>
      </c>
      <c r="O518" t="s">
        <v>197</v>
      </c>
      <c r="P518" s="4">
        <v>40.725834999999996</v>
      </c>
      <c r="Q518" s="4">
        <v>-73.990446000000006</v>
      </c>
      <c r="R518" s="4">
        <v>40.725962000000003</v>
      </c>
      <c r="S518" s="4">
        <v>-73.990258999999995</v>
      </c>
      <c r="T518" s="2">
        <v>43921</v>
      </c>
      <c r="U518" t="s">
        <v>49</v>
      </c>
      <c r="V518" t="s">
        <v>71</v>
      </c>
      <c r="W518" t="s">
        <v>51</v>
      </c>
      <c r="X518" s="4">
        <v>10</v>
      </c>
      <c r="Y518" s="4">
        <v>3</v>
      </c>
      <c r="AE518" s="4">
        <v>10</v>
      </c>
      <c r="AF518" s="4">
        <v>3</v>
      </c>
      <c r="AL518" s="4">
        <v>1</v>
      </c>
      <c r="AM518" s="4">
        <v>12</v>
      </c>
      <c r="AN518" s="4">
        <v>13</v>
      </c>
      <c r="AO518" s="4">
        <v>13</v>
      </c>
    </row>
    <row r="519" spans="1:41" hidden="1" x14ac:dyDescent="0.2">
      <c r="A519" t="s">
        <v>1166</v>
      </c>
      <c r="B519" t="s">
        <v>1167</v>
      </c>
      <c r="C519" s="2">
        <v>43921</v>
      </c>
      <c r="E519" s="3">
        <v>10659</v>
      </c>
      <c r="F519" t="s">
        <v>1173</v>
      </c>
      <c r="G519" t="s">
        <v>1169</v>
      </c>
      <c r="H519" t="s">
        <v>45</v>
      </c>
      <c r="I519" s="3">
        <v>10003</v>
      </c>
      <c r="J519" s="3">
        <v>1004450042</v>
      </c>
      <c r="K519" s="3">
        <v>1006185</v>
      </c>
      <c r="L519" t="s">
        <v>64</v>
      </c>
      <c r="M519" s="4">
        <v>2</v>
      </c>
      <c r="N519" t="s">
        <v>1168</v>
      </c>
      <c r="O519" t="s">
        <v>197</v>
      </c>
      <c r="P519" s="4">
        <v>40.724846999999997</v>
      </c>
      <c r="Q519" s="4">
        <v>-73.988108999999994</v>
      </c>
      <c r="R519" s="4">
        <v>40.724983999999999</v>
      </c>
      <c r="S519" s="4">
        <v>-73.987881000000002</v>
      </c>
      <c r="T519" s="2">
        <v>43921</v>
      </c>
      <c r="U519" t="s">
        <v>49</v>
      </c>
      <c r="V519" t="s">
        <v>71</v>
      </c>
      <c r="W519" t="s">
        <v>51</v>
      </c>
      <c r="X519" s="4">
        <v>6</v>
      </c>
      <c r="Y519" s="4">
        <v>9</v>
      </c>
      <c r="AD519" s="4">
        <v>7</v>
      </c>
      <c r="AE519" s="4">
        <v>5</v>
      </c>
      <c r="AF519" s="4">
        <v>3</v>
      </c>
      <c r="AM519" s="4">
        <v>15</v>
      </c>
      <c r="AN519" s="4">
        <v>15</v>
      </c>
      <c r="AO519" s="4">
        <v>15</v>
      </c>
    </row>
    <row r="520" spans="1:41" hidden="1" x14ac:dyDescent="0.2">
      <c r="A520" t="s">
        <v>1166</v>
      </c>
      <c r="B520" t="s">
        <v>1167</v>
      </c>
      <c r="C520" s="2">
        <v>43921</v>
      </c>
      <c r="E520" s="3">
        <v>10660</v>
      </c>
      <c r="F520" t="s">
        <v>216</v>
      </c>
      <c r="G520" t="s">
        <v>1169</v>
      </c>
      <c r="H520" t="s">
        <v>45</v>
      </c>
      <c r="I520" s="3">
        <v>10003</v>
      </c>
      <c r="J520" s="3">
        <v>1004590045</v>
      </c>
      <c r="K520" s="3">
        <v>1077970</v>
      </c>
      <c r="L520" t="s">
        <v>64</v>
      </c>
      <c r="M520" s="4">
        <v>2</v>
      </c>
      <c r="N520" t="s">
        <v>1168</v>
      </c>
      <c r="O520" t="s">
        <v>197</v>
      </c>
      <c r="P520" s="4">
        <v>40.726126000000001</v>
      </c>
      <c r="Q520" s="4">
        <v>-73.991135</v>
      </c>
      <c r="R520" s="4">
        <v>40.726266000000003</v>
      </c>
      <c r="S520" s="4">
        <v>-73.990969000000007</v>
      </c>
      <c r="T520" s="2">
        <v>43921</v>
      </c>
      <c r="U520" t="s">
        <v>49</v>
      </c>
      <c r="V520" t="s">
        <v>71</v>
      </c>
      <c r="W520" t="s">
        <v>51</v>
      </c>
      <c r="X520" s="4">
        <v>13</v>
      </c>
      <c r="AD520" s="4">
        <v>6</v>
      </c>
      <c r="AF520" s="4">
        <v>5</v>
      </c>
      <c r="AG520" s="4">
        <v>2</v>
      </c>
      <c r="AM520" s="4">
        <v>13</v>
      </c>
      <c r="AN520" s="4">
        <v>13</v>
      </c>
      <c r="AO520" s="4">
        <v>13</v>
      </c>
    </row>
    <row r="521" spans="1:41" hidden="1" x14ac:dyDescent="0.2">
      <c r="A521" t="s">
        <v>1166</v>
      </c>
      <c r="B521" t="s">
        <v>1167</v>
      </c>
      <c r="C521" s="2">
        <v>43921</v>
      </c>
      <c r="E521" s="3">
        <v>10755</v>
      </c>
      <c r="F521" t="s">
        <v>1174</v>
      </c>
      <c r="G521" t="s">
        <v>1175</v>
      </c>
      <c r="H521" t="s">
        <v>45</v>
      </c>
      <c r="I521" s="3">
        <v>10003</v>
      </c>
      <c r="J521" s="3">
        <v>1004590014</v>
      </c>
      <c r="K521" s="3">
        <v>1077961</v>
      </c>
      <c r="L521" t="s">
        <v>64</v>
      </c>
      <c r="M521" s="4">
        <v>2</v>
      </c>
      <c r="N521" t="s">
        <v>1168</v>
      </c>
      <c r="O521" t="s">
        <v>197</v>
      </c>
      <c r="P521" s="4">
        <v>40.72681</v>
      </c>
      <c r="Q521" s="4">
        <v>-73.990911999999994</v>
      </c>
      <c r="R521" s="4">
        <v>40.726585</v>
      </c>
      <c r="S521" s="4">
        <v>-73.990943999999999</v>
      </c>
      <c r="T521" s="2">
        <v>43921</v>
      </c>
      <c r="U521" t="s">
        <v>49</v>
      </c>
      <c r="V521" t="s">
        <v>71</v>
      </c>
      <c r="W521" t="s">
        <v>51</v>
      </c>
      <c r="X521" s="4">
        <v>2</v>
      </c>
      <c r="Y521" s="4">
        <v>17</v>
      </c>
      <c r="AD521" s="4">
        <v>17</v>
      </c>
      <c r="AF521" s="4">
        <v>2</v>
      </c>
      <c r="AL521" s="4">
        <v>2</v>
      </c>
      <c r="AM521" s="4">
        <v>17</v>
      </c>
      <c r="AN521" s="4">
        <v>19</v>
      </c>
      <c r="AO521" s="4">
        <v>19</v>
      </c>
    </row>
    <row r="522" spans="1:41" hidden="1" x14ac:dyDescent="0.2">
      <c r="A522" t="s">
        <v>1166</v>
      </c>
      <c r="B522" t="s">
        <v>1167</v>
      </c>
      <c r="C522" s="2">
        <v>43921</v>
      </c>
      <c r="E522" s="3">
        <v>10756</v>
      </c>
      <c r="F522" t="s">
        <v>270</v>
      </c>
      <c r="G522" t="s">
        <v>1175</v>
      </c>
      <c r="H522" t="s">
        <v>45</v>
      </c>
      <c r="I522" s="3">
        <v>10003</v>
      </c>
      <c r="J522" s="3">
        <v>1004600059</v>
      </c>
      <c r="K522" s="3">
        <v>1082515</v>
      </c>
      <c r="L522" t="s">
        <v>64</v>
      </c>
      <c r="M522" s="4">
        <v>2</v>
      </c>
      <c r="N522" t="s">
        <v>1168</v>
      </c>
      <c r="O522" t="s">
        <v>197</v>
      </c>
      <c r="P522" s="4">
        <v>40.726815000000002</v>
      </c>
      <c r="Q522" s="4">
        <v>-73.990876</v>
      </c>
      <c r="R522" s="4">
        <v>40.727054000000003</v>
      </c>
      <c r="S522" s="4">
        <v>-73.990915000000001</v>
      </c>
      <c r="T522" s="2">
        <v>43921</v>
      </c>
      <c r="U522" t="s">
        <v>49</v>
      </c>
      <c r="V522" t="s">
        <v>71</v>
      </c>
      <c r="W522" t="s">
        <v>51</v>
      </c>
      <c r="X522" s="4">
        <v>13</v>
      </c>
      <c r="Y522" s="4">
        <v>4</v>
      </c>
      <c r="AD522" s="4">
        <v>1</v>
      </c>
      <c r="AE522" s="4">
        <v>5</v>
      </c>
      <c r="AF522" s="4">
        <v>11</v>
      </c>
      <c r="AL522" s="4">
        <v>2</v>
      </c>
      <c r="AM522" s="4">
        <v>15</v>
      </c>
      <c r="AN522" s="4">
        <v>17</v>
      </c>
      <c r="AO522" s="4">
        <v>17</v>
      </c>
    </row>
    <row r="523" spans="1:41" hidden="1" x14ac:dyDescent="0.2">
      <c r="A523" t="s">
        <v>1166</v>
      </c>
      <c r="B523" t="s">
        <v>1167</v>
      </c>
      <c r="C523" s="2">
        <v>43921</v>
      </c>
      <c r="E523" s="3">
        <v>10757</v>
      </c>
      <c r="F523" t="s">
        <v>1176</v>
      </c>
      <c r="G523" t="s">
        <v>1175</v>
      </c>
      <c r="H523" t="s">
        <v>45</v>
      </c>
      <c r="I523" s="3">
        <v>10003</v>
      </c>
      <c r="J523" s="3">
        <v>1004590015</v>
      </c>
      <c r="K523" s="3">
        <v>1077962</v>
      </c>
      <c r="L523" t="s">
        <v>64</v>
      </c>
      <c r="M523" s="4">
        <v>2</v>
      </c>
      <c r="N523" t="s">
        <v>1168</v>
      </c>
      <c r="O523" t="s">
        <v>197</v>
      </c>
      <c r="P523" s="4">
        <v>40.726773999999999</v>
      </c>
      <c r="Q523" s="4">
        <v>-73.990829000000005</v>
      </c>
      <c r="R523" s="4">
        <v>40.726551999999998</v>
      </c>
      <c r="S523" s="4">
        <v>-73.990864999999999</v>
      </c>
      <c r="T523" s="2">
        <v>43921</v>
      </c>
      <c r="U523" t="s">
        <v>49</v>
      </c>
      <c r="V523" t="s">
        <v>71</v>
      </c>
      <c r="W523" t="s">
        <v>51</v>
      </c>
      <c r="X523" s="4">
        <v>12</v>
      </c>
      <c r="Y523" s="4">
        <v>3</v>
      </c>
      <c r="AD523" s="4">
        <v>7</v>
      </c>
      <c r="AE523" s="4">
        <v>5</v>
      </c>
      <c r="AF523" s="4">
        <v>2</v>
      </c>
      <c r="AG523" s="4">
        <v>1</v>
      </c>
      <c r="AL523" s="4">
        <v>1</v>
      </c>
      <c r="AM523" s="4">
        <v>14</v>
      </c>
      <c r="AN523" s="4">
        <v>15</v>
      </c>
      <c r="AO523" s="4">
        <v>15</v>
      </c>
    </row>
    <row r="524" spans="1:41" hidden="1" x14ac:dyDescent="0.2">
      <c r="A524" t="s">
        <v>1166</v>
      </c>
      <c r="B524" t="s">
        <v>1167</v>
      </c>
      <c r="C524" s="2">
        <v>43921</v>
      </c>
      <c r="E524" s="3">
        <v>10759</v>
      </c>
      <c r="F524" t="s">
        <v>1177</v>
      </c>
      <c r="G524" t="s">
        <v>1175</v>
      </c>
      <c r="H524" t="s">
        <v>45</v>
      </c>
      <c r="I524" s="3">
        <v>10003</v>
      </c>
      <c r="J524" s="3">
        <v>1004590016</v>
      </c>
      <c r="K524" s="3">
        <v>1077963</v>
      </c>
      <c r="L524" t="s">
        <v>64</v>
      </c>
      <c r="M524" s="4">
        <v>2</v>
      </c>
      <c r="N524" t="s">
        <v>1168</v>
      </c>
      <c r="O524" t="s">
        <v>197</v>
      </c>
      <c r="P524" s="4">
        <v>40.726740999999997</v>
      </c>
      <c r="Q524" s="4">
        <v>-73.990746000000001</v>
      </c>
      <c r="R524" s="4">
        <v>40.726502000000004</v>
      </c>
      <c r="S524" s="4">
        <v>-73.990792999999996</v>
      </c>
      <c r="T524" s="2">
        <v>43921</v>
      </c>
      <c r="U524" t="s">
        <v>49</v>
      </c>
      <c r="V524" t="s">
        <v>71</v>
      </c>
      <c r="W524" t="s">
        <v>51</v>
      </c>
      <c r="X524" s="4">
        <v>12</v>
      </c>
      <c r="Y524" s="4">
        <v>10</v>
      </c>
      <c r="AD524" s="4">
        <v>12</v>
      </c>
      <c r="AE524" s="4">
        <v>10</v>
      </c>
      <c r="AL524" s="4">
        <v>3</v>
      </c>
      <c r="AM524" s="4">
        <v>19</v>
      </c>
      <c r="AN524" s="4">
        <v>22</v>
      </c>
      <c r="AO524" s="4">
        <v>22</v>
      </c>
    </row>
    <row r="525" spans="1:41" hidden="1" x14ac:dyDescent="0.2">
      <c r="A525" t="s">
        <v>1166</v>
      </c>
      <c r="B525" t="s">
        <v>1167</v>
      </c>
      <c r="C525" s="2">
        <v>43921</v>
      </c>
      <c r="E525" s="3">
        <v>10761</v>
      </c>
      <c r="F525" t="s">
        <v>1178</v>
      </c>
      <c r="G525" t="s">
        <v>1175</v>
      </c>
      <c r="H525" t="s">
        <v>45</v>
      </c>
      <c r="I525" s="3">
        <v>10003</v>
      </c>
      <c r="J525" s="3">
        <v>1004600055</v>
      </c>
      <c r="K525" s="3">
        <v>1077979</v>
      </c>
      <c r="L525" t="s">
        <v>64</v>
      </c>
      <c r="M525" s="4">
        <v>2</v>
      </c>
      <c r="N525" t="s">
        <v>1168</v>
      </c>
      <c r="O525" t="s">
        <v>197</v>
      </c>
      <c r="P525" s="4">
        <v>40.726725000000002</v>
      </c>
      <c r="Q525" s="4">
        <v>-73.990662999999998</v>
      </c>
      <c r="R525" s="4">
        <v>40.726961000000003</v>
      </c>
      <c r="S525" s="4">
        <v>-73.990673999999999</v>
      </c>
      <c r="T525" s="2">
        <v>43921</v>
      </c>
      <c r="U525" t="s">
        <v>49</v>
      </c>
      <c r="V525" t="s">
        <v>71</v>
      </c>
      <c r="W525" t="s">
        <v>51</v>
      </c>
      <c r="X525" s="4">
        <v>7</v>
      </c>
      <c r="Y525" s="4">
        <v>11</v>
      </c>
      <c r="AD525" s="4">
        <v>6</v>
      </c>
      <c r="AE525" s="4">
        <v>8</v>
      </c>
      <c r="AF525" s="4">
        <v>3</v>
      </c>
      <c r="AG525" s="4">
        <v>1</v>
      </c>
      <c r="AL525" s="4">
        <v>3</v>
      </c>
      <c r="AM525" s="4">
        <v>15</v>
      </c>
      <c r="AN525" s="4">
        <v>18</v>
      </c>
      <c r="AO525" s="4">
        <v>18</v>
      </c>
    </row>
    <row r="526" spans="1:41" hidden="1" x14ac:dyDescent="0.2">
      <c r="A526" t="s">
        <v>1166</v>
      </c>
      <c r="B526" t="s">
        <v>1167</v>
      </c>
      <c r="C526" s="2">
        <v>43921</v>
      </c>
      <c r="E526" s="3">
        <v>10763</v>
      </c>
      <c r="F526" t="s">
        <v>1179</v>
      </c>
      <c r="G526" t="s">
        <v>1175</v>
      </c>
      <c r="H526" t="s">
        <v>45</v>
      </c>
      <c r="I526" s="3">
        <v>10003</v>
      </c>
      <c r="J526" s="3">
        <v>1004600054</v>
      </c>
      <c r="K526" s="3">
        <v>1077980</v>
      </c>
      <c r="L526" t="s">
        <v>64</v>
      </c>
      <c r="M526" s="4">
        <v>2</v>
      </c>
      <c r="N526" t="s">
        <v>1168</v>
      </c>
      <c r="O526" t="s">
        <v>197</v>
      </c>
      <c r="P526" s="4">
        <v>40.726694999999999</v>
      </c>
      <c r="Q526" s="4">
        <v>-73.990594000000002</v>
      </c>
      <c r="R526" s="4">
        <v>40.726925000000001</v>
      </c>
      <c r="S526" s="4">
        <v>-73.990594000000002</v>
      </c>
      <c r="T526" s="2">
        <v>43921</v>
      </c>
      <c r="U526" t="s">
        <v>49</v>
      </c>
      <c r="V526" t="s">
        <v>71</v>
      </c>
      <c r="W526" t="s">
        <v>51</v>
      </c>
      <c r="X526" s="4">
        <v>13</v>
      </c>
      <c r="Y526" s="4">
        <v>1</v>
      </c>
      <c r="AD526" s="4">
        <v>2</v>
      </c>
      <c r="AE526" s="4">
        <v>4</v>
      </c>
      <c r="AF526" s="4">
        <v>5</v>
      </c>
      <c r="AG526" s="4">
        <v>3</v>
      </c>
      <c r="AL526" s="4">
        <v>2</v>
      </c>
      <c r="AM526" s="4">
        <v>12</v>
      </c>
      <c r="AN526" s="4">
        <v>14</v>
      </c>
      <c r="AO526" s="4">
        <v>14</v>
      </c>
    </row>
    <row r="527" spans="1:41" hidden="1" x14ac:dyDescent="0.2">
      <c r="A527" t="s">
        <v>1166</v>
      </c>
      <c r="B527" t="s">
        <v>1167</v>
      </c>
      <c r="C527" s="2">
        <v>43921</v>
      </c>
      <c r="E527" s="3">
        <v>10765</v>
      </c>
      <c r="F527" t="s">
        <v>325</v>
      </c>
      <c r="G527" t="s">
        <v>1175</v>
      </c>
      <c r="H527" t="s">
        <v>45</v>
      </c>
      <c r="I527" s="3">
        <v>10003</v>
      </c>
      <c r="J527" s="3">
        <v>1004600053</v>
      </c>
      <c r="K527" s="3">
        <v>1077981</v>
      </c>
      <c r="L527" t="s">
        <v>64</v>
      </c>
      <c r="M527" s="4">
        <v>2</v>
      </c>
      <c r="N527" t="s">
        <v>1168</v>
      </c>
      <c r="O527" t="s">
        <v>197</v>
      </c>
      <c r="P527" s="4">
        <v>40.726664</v>
      </c>
      <c r="Q527" s="4">
        <v>-73.990521999999999</v>
      </c>
      <c r="R527" s="4">
        <v>40.726891999999999</v>
      </c>
      <c r="S527" s="4">
        <v>-73.990515000000002</v>
      </c>
      <c r="T527" s="2">
        <v>43921</v>
      </c>
      <c r="U527" t="s">
        <v>49</v>
      </c>
      <c r="V527" t="s">
        <v>71</v>
      </c>
      <c r="W527" t="s">
        <v>51</v>
      </c>
      <c r="X527" s="4">
        <v>13</v>
      </c>
      <c r="Y527" s="4">
        <v>4</v>
      </c>
      <c r="AD527" s="4">
        <v>3</v>
      </c>
      <c r="AE527" s="4">
        <v>9</v>
      </c>
      <c r="AF527" s="4">
        <v>5</v>
      </c>
      <c r="AL527" s="4">
        <v>4</v>
      </c>
      <c r="AM527" s="4">
        <v>13</v>
      </c>
      <c r="AN527" s="4">
        <v>17</v>
      </c>
      <c r="AO527" s="4">
        <v>17</v>
      </c>
    </row>
    <row r="528" spans="1:41" hidden="1" x14ac:dyDescent="0.2">
      <c r="A528" t="s">
        <v>1166</v>
      </c>
      <c r="B528" t="s">
        <v>1167</v>
      </c>
      <c r="C528" s="2">
        <v>43921</v>
      </c>
      <c r="E528" s="3">
        <v>10766</v>
      </c>
      <c r="F528" t="s">
        <v>405</v>
      </c>
      <c r="G528" t="s">
        <v>1175</v>
      </c>
      <c r="H528" t="s">
        <v>45</v>
      </c>
      <c r="I528" s="3">
        <v>10003</v>
      </c>
      <c r="J528" s="3">
        <v>1004600052</v>
      </c>
      <c r="K528" s="3">
        <v>1077982</v>
      </c>
      <c r="L528" t="s">
        <v>64</v>
      </c>
      <c r="M528" s="4">
        <v>2</v>
      </c>
      <c r="N528" t="s">
        <v>1168</v>
      </c>
      <c r="O528" t="s">
        <v>197</v>
      </c>
      <c r="P528" s="4">
        <v>40.726633999999997</v>
      </c>
      <c r="Q528" s="4">
        <v>-73.990449999999996</v>
      </c>
      <c r="R528" s="4">
        <v>40.726858999999997</v>
      </c>
      <c r="S528" s="4">
        <v>-73.990435000000005</v>
      </c>
      <c r="U528" t="s">
        <v>49</v>
      </c>
      <c r="V528" t="s">
        <v>71</v>
      </c>
      <c r="W528" t="s">
        <v>51</v>
      </c>
      <c r="X528" s="4">
        <v>20</v>
      </c>
      <c r="Y528" s="4">
        <v>2</v>
      </c>
      <c r="AD528" s="4">
        <v>11</v>
      </c>
      <c r="AE528" s="4">
        <v>10</v>
      </c>
      <c r="AF528" s="4">
        <v>1</v>
      </c>
      <c r="AL528" s="4">
        <v>2</v>
      </c>
      <c r="AM528" s="4">
        <v>20</v>
      </c>
      <c r="AN528" s="4">
        <v>22</v>
      </c>
      <c r="AO528" s="4">
        <v>22</v>
      </c>
    </row>
    <row r="529" spans="1:41" hidden="1" x14ac:dyDescent="0.2">
      <c r="A529" t="s">
        <v>1166</v>
      </c>
      <c r="B529" t="s">
        <v>1167</v>
      </c>
      <c r="C529" s="2">
        <v>43921</v>
      </c>
      <c r="E529" s="3">
        <v>10768</v>
      </c>
      <c r="F529" t="s">
        <v>100</v>
      </c>
      <c r="G529" t="s">
        <v>1175</v>
      </c>
      <c r="H529" t="s">
        <v>45</v>
      </c>
      <c r="I529" s="3">
        <v>10003</v>
      </c>
      <c r="J529" s="3">
        <v>1004600051</v>
      </c>
      <c r="K529" s="3">
        <v>1077983</v>
      </c>
      <c r="L529" t="s">
        <v>64</v>
      </c>
      <c r="M529" s="4">
        <v>2</v>
      </c>
      <c r="N529" t="s">
        <v>1168</v>
      </c>
      <c r="O529" t="s">
        <v>197</v>
      </c>
      <c r="P529" s="4">
        <v>40.726604000000002</v>
      </c>
      <c r="Q529" s="4">
        <v>-73.990380999999999</v>
      </c>
      <c r="R529" s="4">
        <v>40.726826000000003</v>
      </c>
      <c r="S529" s="4">
        <v>-73.990356000000006</v>
      </c>
      <c r="U529" t="s">
        <v>49</v>
      </c>
      <c r="V529" t="s">
        <v>71</v>
      </c>
      <c r="W529" t="s">
        <v>51</v>
      </c>
      <c r="X529" s="4">
        <v>2</v>
      </c>
      <c r="Y529" s="4">
        <v>11</v>
      </c>
      <c r="AD529" s="4">
        <v>2</v>
      </c>
      <c r="AF529" s="4">
        <v>11</v>
      </c>
      <c r="AL529" s="4">
        <v>1</v>
      </c>
      <c r="AM529" s="4">
        <v>12</v>
      </c>
      <c r="AN529" s="4">
        <v>13</v>
      </c>
      <c r="AO529" s="4">
        <v>13</v>
      </c>
    </row>
    <row r="530" spans="1:41" hidden="1" x14ac:dyDescent="0.2">
      <c r="A530" t="s">
        <v>1166</v>
      </c>
      <c r="B530" t="s">
        <v>1167</v>
      </c>
      <c r="C530" s="2">
        <v>43921</v>
      </c>
      <c r="E530" s="3">
        <v>10770</v>
      </c>
      <c r="F530" t="s">
        <v>72</v>
      </c>
      <c r="G530" t="s">
        <v>1175</v>
      </c>
      <c r="H530" t="s">
        <v>45</v>
      </c>
      <c r="I530" s="3">
        <v>10003</v>
      </c>
      <c r="J530" s="3">
        <v>1004600050</v>
      </c>
      <c r="K530" s="3">
        <v>1077984</v>
      </c>
      <c r="L530" t="s">
        <v>64</v>
      </c>
      <c r="M530" s="4">
        <v>2</v>
      </c>
      <c r="N530" t="s">
        <v>1168</v>
      </c>
      <c r="O530" t="s">
        <v>197</v>
      </c>
      <c r="P530" s="4">
        <v>40.726573999999999</v>
      </c>
      <c r="Q530" s="4">
        <v>-73.990308999999996</v>
      </c>
      <c r="R530" s="4">
        <v>40.726793000000001</v>
      </c>
      <c r="S530" s="4">
        <v>-73.990277000000006</v>
      </c>
      <c r="U530" t="s">
        <v>49</v>
      </c>
      <c r="V530" t="s">
        <v>71</v>
      </c>
      <c r="W530" t="s">
        <v>51</v>
      </c>
      <c r="X530" s="4">
        <v>20</v>
      </c>
      <c r="AD530" s="4">
        <v>8</v>
      </c>
      <c r="AE530" s="4">
        <v>9</v>
      </c>
      <c r="AF530" s="4">
        <v>3</v>
      </c>
      <c r="AL530" s="4">
        <v>1</v>
      </c>
      <c r="AM530" s="4">
        <v>19</v>
      </c>
      <c r="AN530" s="4">
        <v>20</v>
      </c>
      <c r="AO530" s="4">
        <v>20</v>
      </c>
    </row>
    <row r="531" spans="1:41" hidden="1" x14ac:dyDescent="0.2">
      <c r="A531" t="s">
        <v>1166</v>
      </c>
      <c r="B531" t="s">
        <v>1167</v>
      </c>
      <c r="C531" s="2">
        <v>43921</v>
      </c>
      <c r="E531" s="3">
        <v>10772</v>
      </c>
      <c r="F531" t="s">
        <v>101</v>
      </c>
      <c r="G531" t="s">
        <v>1175</v>
      </c>
      <c r="H531" t="s">
        <v>45</v>
      </c>
      <c r="I531" s="3">
        <v>10003</v>
      </c>
      <c r="J531" s="3">
        <v>1004600049</v>
      </c>
      <c r="K531" s="3">
        <v>1077985</v>
      </c>
      <c r="L531" t="s">
        <v>64</v>
      </c>
      <c r="M531" s="4">
        <v>2</v>
      </c>
      <c r="N531" t="s">
        <v>1168</v>
      </c>
      <c r="O531" t="s">
        <v>197</v>
      </c>
      <c r="P531" s="4">
        <v>40.726543999999997</v>
      </c>
      <c r="Q531" s="4">
        <v>-73.990240999999997</v>
      </c>
      <c r="R531" s="4">
        <v>40.726759999999999</v>
      </c>
      <c r="S531" s="4">
        <v>-73.990196999999995</v>
      </c>
      <c r="U531" t="s">
        <v>49</v>
      </c>
      <c r="V531" t="s">
        <v>71</v>
      </c>
      <c r="W531" t="s">
        <v>51</v>
      </c>
      <c r="X531" s="4">
        <v>11</v>
      </c>
      <c r="Y531" s="4">
        <v>8</v>
      </c>
      <c r="AD531" s="4">
        <v>11</v>
      </c>
      <c r="AE531" s="4">
        <v>5</v>
      </c>
      <c r="AF531" s="4">
        <v>3</v>
      </c>
      <c r="AL531" s="4">
        <v>1</v>
      </c>
      <c r="AM531" s="4">
        <v>18</v>
      </c>
      <c r="AN531" s="4">
        <v>19</v>
      </c>
      <c r="AO531" s="4">
        <v>19</v>
      </c>
    </row>
    <row r="532" spans="1:41" hidden="1" x14ac:dyDescent="0.2">
      <c r="A532" t="s">
        <v>1166</v>
      </c>
      <c r="B532" t="s">
        <v>1167</v>
      </c>
      <c r="C532" s="2">
        <v>43921</v>
      </c>
      <c r="E532" s="3">
        <v>10773</v>
      </c>
      <c r="F532" t="s">
        <v>1180</v>
      </c>
      <c r="G532" t="s">
        <v>1175</v>
      </c>
      <c r="H532" t="s">
        <v>45</v>
      </c>
      <c r="I532" s="3">
        <v>10003</v>
      </c>
      <c r="J532" s="3">
        <v>1004600048</v>
      </c>
      <c r="K532" s="3">
        <v>1077986</v>
      </c>
      <c r="L532" t="s">
        <v>64</v>
      </c>
      <c r="M532" s="4">
        <v>2</v>
      </c>
      <c r="N532" t="s">
        <v>1168</v>
      </c>
      <c r="O532" t="s">
        <v>197</v>
      </c>
      <c r="P532" s="4">
        <v>40.726512999999997</v>
      </c>
      <c r="Q532" s="4">
        <v>-73.990168999999995</v>
      </c>
      <c r="R532" s="4">
        <v>40.726722000000002</v>
      </c>
      <c r="S532" s="4">
        <v>-73.990125000000006</v>
      </c>
      <c r="U532" t="s">
        <v>49</v>
      </c>
      <c r="V532" t="s">
        <v>71</v>
      </c>
      <c r="W532" t="s">
        <v>51</v>
      </c>
      <c r="Y532" s="4">
        <v>15</v>
      </c>
      <c r="AD532" s="4">
        <v>4</v>
      </c>
      <c r="AE532" s="4">
        <v>4</v>
      </c>
      <c r="AF532" s="4">
        <v>4</v>
      </c>
      <c r="AG532" s="4">
        <v>3</v>
      </c>
      <c r="AM532" s="4">
        <v>15</v>
      </c>
      <c r="AN532" s="4">
        <v>15</v>
      </c>
      <c r="AO532" s="4">
        <v>15</v>
      </c>
    </row>
    <row r="533" spans="1:41" hidden="1" x14ac:dyDescent="0.2">
      <c r="A533" t="s">
        <v>1166</v>
      </c>
      <c r="B533" t="s">
        <v>1167</v>
      </c>
      <c r="C533" s="2">
        <v>43921</v>
      </c>
      <c r="E533" s="3">
        <v>28370</v>
      </c>
      <c r="F533" t="s">
        <v>924</v>
      </c>
      <c r="G533" t="s">
        <v>63</v>
      </c>
      <c r="H533" t="s">
        <v>45</v>
      </c>
      <c r="I533" s="3">
        <v>10002</v>
      </c>
      <c r="J533" s="3">
        <v>1004260022</v>
      </c>
      <c r="K533" s="3">
        <v>1077245</v>
      </c>
      <c r="L533" t="s">
        <v>64</v>
      </c>
      <c r="M533" s="4">
        <v>1</v>
      </c>
      <c r="N533" t="s">
        <v>207</v>
      </c>
      <c r="O533" t="s">
        <v>66</v>
      </c>
      <c r="P533" s="4">
        <v>40.722563999999998</v>
      </c>
      <c r="Q533" s="4">
        <v>-73.992243999999999</v>
      </c>
      <c r="R533" s="4">
        <v>40.722391000000002</v>
      </c>
      <c r="S533" s="4">
        <v>-73.992362999999997</v>
      </c>
      <c r="T533" s="2">
        <v>43921</v>
      </c>
      <c r="U533" t="s">
        <v>49</v>
      </c>
      <c r="V533" t="s">
        <v>71</v>
      </c>
      <c r="W533" t="s">
        <v>51</v>
      </c>
      <c r="X533" s="4">
        <v>3</v>
      </c>
      <c r="Y533" s="4">
        <v>7</v>
      </c>
      <c r="AD533" s="4">
        <v>4</v>
      </c>
      <c r="AE533" s="4">
        <v>3</v>
      </c>
      <c r="AF533" s="4">
        <v>3</v>
      </c>
      <c r="AM533" s="4">
        <v>10</v>
      </c>
      <c r="AN533" s="4">
        <v>10</v>
      </c>
      <c r="AO533" s="4">
        <v>10</v>
      </c>
    </row>
    <row r="534" spans="1:41" hidden="1" x14ac:dyDescent="0.2">
      <c r="A534" t="s">
        <v>1181</v>
      </c>
      <c r="B534" t="s">
        <v>1182</v>
      </c>
      <c r="C534" s="2">
        <v>43903</v>
      </c>
      <c r="D534" s="2">
        <v>43903</v>
      </c>
      <c r="E534" s="3">
        <v>938730</v>
      </c>
      <c r="F534" t="s">
        <v>1183</v>
      </c>
      <c r="G534" t="s">
        <v>334</v>
      </c>
      <c r="H534" t="s">
        <v>45</v>
      </c>
      <c r="I534" s="3">
        <v>10035</v>
      </c>
      <c r="J534" s="3">
        <v>1017710017</v>
      </c>
      <c r="K534" s="3">
        <v>1090715</v>
      </c>
      <c r="L534" t="s">
        <v>153</v>
      </c>
      <c r="M534" s="4">
        <v>9</v>
      </c>
      <c r="N534" t="s">
        <v>154</v>
      </c>
      <c r="O534" t="s">
        <v>155</v>
      </c>
      <c r="P534" s="4">
        <v>40.802543</v>
      </c>
      <c r="Q534" s="4">
        <v>-73.938772999999998</v>
      </c>
      <c r="R534" s="4">
        <v>40.802694000000002</v>
      </c>
      <c r="S534" s="4">
        <v>-73.938845000000001</v>
      </c>
      <c r="T534" s="2">
        <v>43903</v>
      </c>
      <c r="U534" t="s">
        <v>117</v>
      </c>
      <c r="V534" t="s">
        <v>71</v>
      </c>
      <c r="W534" t="s">
        <v>51</v>
      </c>
      <c r="AB534" s="4">
        <v>3</v>
      </c>
      <c r="AF534" s="4">
        <v>3</v>
      </c>
      <c r="AL534" s="4">
        <v>3</v>
      </c>
      <c r="AN534" s="4">
        <v>3</v>
      </c>
      <c r="AO534" s="4">
        <v>10</v>
      </c>
    </row>
    <row r="535" spans="1:41" hidden="1" x14ac:dyDescent="0.2">
      <c r="A535" t="s">
        <v>1184</v>
      </c>
      <c r="B535" t="s">
        <v>1185</v>
      </c>
      <c r="C535" s="2">
        <v>43899</v>
      </c>
      <c r="D535" s="2">
        <v>44095</v>
      </c>
      <c r="E535" s="3">
        <v>23589</v>
      </c>
      <c r="F535" t="s">
        <v>1186</v>
      </c>
      <c r="G535" t="s">
        <v>274</v>
      </c>
      <c r="H535" t="s">
        <v>45</v>
      </c>
      <c r="I535" s="3">
        <v>10037</v>
      </c>
      <c r="J535" s="3">
        <v>1017280070</v>
      </c>
      <c r="K535" s="3">
        <v>1091650</v>
      </c>
      <c r="L535" t="s">
        <v>146</v>
      </c>
      <c r="M535" s="4">
        <v>9</v>
      </c>
      <c r="N535" t="s">
        <v>305</v>
      </c>
      <c r="O535" t="s">
        <v>177</v>
      </c>
      <c r="P535" s="4">
        <v>40.811408</v>
      </c>
      <c r="Q535" s="4">
        <v>-73.942824999999999</v>
      </c>
      <c r="R535" s="4">
        <v>40.811248999999997</v>
      </c>
      <c r="S535" s="4">
        <v>-73.942477999999994</v>
      </c>
      <c r="T535" s="2">
        <v>44095</v>
      </c>
      <c r="U535" t="s">
        <v>117</v>
      </c>
      <c r="V535" t="s">
        <v>71</v>
      </c>
      <c r="W535" t="s">
        <v>51</v>
      </c>
      <c r="AB535" s="4">
        <v>4</v>
      </c>
      <c r="AE535" s="4">
        <v>4</v>
      </c>
      <c r="AL535" s="4">
        <v>4</v>
      </c>
      <c r="AN535" s="4">
        <v>4</v>
      </c>
      <c r="AO535" s="4">
        <v>12</v>
      </c>
    </row>
    <row r="536" spans="1:41" hidden="1" x14ac:dyDescent="0.2">
      <c r="A536" t="s">
        <v>1187</v>
      </c>
      <c r="B536" t="s">
        <v>140</v>
      </c>
      <c r="C536" s="2">
        <v>43882</v>
      </c>
      <c r="D536" s="2">
        <v>43882</v>
      </c>
      <c r="F536" t="s">
        <v>141</v>
      </c>
      <c r="G536" t="s">
        <v>141</v>
      </c>
      <c r="H536" t="s">
        <v>45</v>
      </c>
      <c r="L536" t="s">
        <v>146</v>
      </c>
      <c r="M536" s="4">
        <v>9</v>
      </c>
      <c r="T536" s="2">
        <v>43882</v>
      </c>
      <c r="U536" t="s">
        <v>117</v>
      </c>
      <c r="V536" t="s">
        <v>71</v>
      </c>
      <c r="W536" t="s">
        <v>51</v>
      </c>
      <c r="Y536" s="4">
        <v>1</v>
      </c>
      <c r="AH536" s="4">
        <v>1</v>
      </c>
      <c r="AM536" s="4">
        <v>1</v>
      </c>
      <c r="AN536" s="4">
        <v>1</v>
      </c>
      <c r="AO536" s="4">
        <v>1</v>
      </c>
    </row>
    <row r="537" spans="1:41" hidden="1" x14ac:dyDescent="0.2">
      <c r="A537" t="s">
        <v>1188</v>
      </c>
      <c r="B537" t="s">
        <v>1189</v>
      </c>
      <c r="C537" s="2">
        <v>43871</v>
      </c>
      <c r="D537" s="2">
        <v>43871</v>
      </c>
      <c r="E537" s="3">
        <v>966857</v>
      </c>
      <c r="F537" t="s">
        <v>1190</v>
      </c>
      <c r="G537" t="s">
        <v>1191</v>
      </c>
      <c r="H537" t="s">
        <v>45</v>
      </c>
      <c r="I537" s="3">
        <v>10032</v>
      </c>
      <c r="J537" s="3">
        <v>1021200026</v>
      </c>
      <c r="K537" s="3">
        <v>1089321</v>
      </c>
      <c r="L537" t="s">
        <v>114</v>
      </c>
      <c r="M537" s="4">
        <v>10</v>
      </c>
      <c r="N537" t="s">
        <v>762</v>
      </c>
      <c r="O537" t="s">
        <v>134</v>
      </c>
      <c r="P537" s="4">
        <v>40.836351000000001</v>
      </c>
      <c r="Q537" s="4">
        <v>-73.940628000000004</v>
      </c>
      <c r="R537" s="4">
        <v>40.836224999999999</v>
      </c>
      <c r="S537" s="4">
        <v>-73.940924999999993</v>
      </c>
      <c r="T537" s="2">
        <v>43871</v>
      </c>
      <c r="U537" t="s">
        <v>117</v>
      </c>
      <c r="V537" t="s">
        <v>71</v>
      </c>
      <c r="W537" t="s">
        <v>51</v>
      </c>
      <c r="Z537" s="4">
        <v>4</v>
      </c>
      <c r="AE537" s="4">
        <v>3</v>
      </c>
      <c r="AF537" s="4">
        <v>1</v>
      </c>
      <c r="AL537" s="4">
        <v>4</v>
      </c>
      <c r="AN537" s="4">
        <v>4</v>
      </c>
      <c r="AO537" s="4">
        <v>20</v>
      </c>
    </row>
    <row r="538" spans="1:41" hidden="1" x14ac:dyDescent="0.2">
      <c r="A538" t="s">
        <v>1192</v>
      </c>
      <c r="B538" t="s">
        <v>1193</v>
      </c>
      <c r="C538" s="2">
        <v>43837</v>
      </c>
      <c r="D538" s="2">
        <v>43837</v>
      </c>
      <c r="E538" s="3">
        <v>970092</v>
      </c>
      <c r="F538" t="s">
        <v>1194</v>
      </c>
      <c r="G538" t="s">
        <v>546</v>
      </c>
      <c r="H538" t="s">
        <v>45</v>
      </c>
      <c r="I538" s="3">
        <v>10030</v>
      </c>
      <c r="J538" s="3">
        <v>1020067502</v>
      </c>
      <c r="K538" s="3">
        <v>1090558</v>
      </c>
      <c r="L538" t="s">
        <v>146</v>
      </c>
      <c r="M538" s="4">
        <v>9</v>
      </c>
      <c r="N538" t="s">
        <v>322</v>
      </c>
      <c r="O538" t="s">
        <v>177</v>
      </c>
      <c r="P538" s="4">
        <v>40.816949999999999</v>
      </c>
      <c r="Q538" s="4">
        <v>-73.942487999999997</v>
      </c>
      <c r="R538" s="4">
        <v>40.816710999999998</v>
      </c>
      <c r="S538" s="4">
        <v>-73.942051000000006</v>
      </c>
      <c r="T538" s="2">
        <v>43837</v>
      </c>
      <c r="U538" t="s">
        <v>117</v>
      </c>
      <c r="V538" t="s">
        <v>71</v>
      </c>
      <c r="W538" t="s">
        <v>51</v>
      </c>
      <c r="AB538" s="4">
        <v>27</v>
      </c>
      <c r="AE538" s="4">
        <v>13</v>
      </c>
      <c r="AF538" s="4">
        <v>14</v>
      </c>
      <c r="AM538" s="4">
        <v>27</v>
      </c>
      <c r="AN538" s="4">
        <v>27</v>
      </c>
      <c r="AO538" s="4">
        <v>134</v>
      </c>
    </row>
    <row r="539" spans="1:41" hidden="1" x14ac:dyDescent="0.2">
      <c r="A539" t="s">
        <v>1195</v>
      </c>
      <c r="B539" t="s">
        <v>1196</v>
      </c>
      <c r="C539" s="2">
        <v>43829</v>
      </c>
      <c r="D539" s="2">
        <v>43829</v>
      </c>
      <c r="E539" s="3">
        <v>28170</v>
      </c>
      <c r="F539" t="s">
        <v>1197</v>
      </c>
      <c r="G539" t="s">
        <v>345</v>
      </c>
      <c r="H539" t="s">
        <v>45</v>
      </c>
      <c r="I539" s="3">
        <v>10030</v>
      </c>
      <c r="J539" s="3">
        <v>1020510054</v>
      </c>
      <c r="K539" s="3">
        <v>1079811</v>
      </c>
      <c r="L539" t="s">
        <v>169</v>
      </c>
      <c r="M539" s="4">
        <v>9</v>
      </c>
      <c r="N539" t="s">
        <v>420</v>
      </c>
      <c r="O539" t="s">
        <v>232</v>
      </c>
      <c r="P539" s="4">
        <v>40.823321</v>
      </c>
      <c r="Q539" s="4">
        <v>-73.945087999999998</v>
      </c>
      <c r="R539" s="4">
        <v>40.823565000000002</v>
      </c>
      <c r="S539" s="4">
        <v>-73.944638999999995</v>
      </c>
      <c r="T539" s="2">
        <v>43829</v>
      </c>
      <c r="U539" t="s">
        <v>49</v>
      </c>
      <c r="V539" t="s">
        <v>50</v>
      </c>
      <c r="W539" t="s">
        <v>51</v>
      </c>
      <c r="X539" s="4">
        <v>49</v>
      </c>
      <c r="Y539" s="4">
        <v>8</v>
      </c>
      <c r="Z539" s="4">
        <v>2</v>
      </c>
      <c r="AA539" s="4">
        <v>1</v>
      </c>
      <c r="AD539" s="4">
        <v>11</v>
      </c>
      <c r="AE539" s="4">
        <v>16</v>
      </c>
      <c r="AF539" s="4">
        <v>32</v>
      </c>
      <c r="AG539" s="4">
        <v>1</v>
      </c>
      <c r="AL539" s="4">
        <v>60</v>
      </c>
      <c r="AN539" s="4">
        <v>60</v>
      </c>
      <c r="AO539" s="4">
        <v>60</v>
      </c>
    </row>
    <row r="540" spans="1:41" hidden="1" x14ac:dyDescent="0.2">
      <c r="A540" t="s">
        <v>1195</v>
      </c>
      <c r="B540" t="s">
        <v>1196</v>
      </c>
      <c r="C540" s="2">
        <v>43829</v>
      </c>
      <c r="D540" s="2">
        <v>43829</v>
      </c>
      <c r="E540" s="3">
        <v>805979</v>
      </c>
      <c r="F540" t="s">
        <v>1198</v>
      </c>
      <c r="G540" t="s">
        <v>439</v>
      </c>
      <c r="H540" t="s">
        <v>45</v>
      </c>
      <c r="I540" s="3">
        <v>10039</v>
      </c>
      <c r="J540" s="3">
        <v>1020510054</v>
      </c>
      <c r="K540" s="3">
        <v>1079813</v>
      </c>
      <c r="L540" t="s">
        <v>169</v>
      </c>
      <c r="M540" s="4">
        <v>9</v>
      </c>
      <c r="N540" t="s">
        <v>420</v>
      </c>
      <c r="O540" t="s">
        <v>232</v>
      </c>
      <c r="P540" s="4">
        <v>40.823822999999997</v>
      </c>
      <c r="Q540" s="4">
        <v>-73.944288999999998</v>
      </c>
      <c r="R540" s="4">
        <v>40.823565000000002</v>
      </c>
      <c r="S540" s="4">
        <v>-73.944638999999995</v>
      </c>
      <c r="T540" s="2">
        <v>43829</v>
      </c>
      <c r="U540" t="s">
        <v>49</v>
      </c>
      <c r="V540" t="s">
        <v>50</v>
      </c>
      <c r="W540" t="s">
        <v>51</v>
      </c>
      <c r="X540" s="4">
        <v>36</v>
      </c>
      <c r="Y540" s="4">
        <v>8</v>
      </c>
      <c r="Z540" s="4">
        <v>3</v>
      </c>
      <c r="AA540" s="4">
        <v>4</v>
      </c>
      <c r="AC540" s="4">
        <v>1</v>
      </c>
      <c r="AE540" s="4">
        <v>30</v>
      </c>
      <c r="AF540" s="4">
        <v>15</v>
      </c>
      <c r="AG540" s="4">
        <v>7</v>
      </c>
      <c r="AL540" s="4">
        <v>52</v>
      </c>
      <c r="AN540" s="4">
        <v>52</v>
      </c>
      <c r="AO540" s="4">
        <v>52</v>
      </c>
    </row>
    <row r="541" spans="1:41" hidden="1" x14ac:dyDescent="0.2">
      <c r="A541" t="s">
        <v>1199</v>
      </c>
      <c r="B541" t="s">
        <v>1200</v>
      </c>
      <c r="C541" s="2">
        <v>43829</v>
      </c>
      <c r="D541" s="2">
        <v>44405</v>
      </c>
      <c r="E541" s="3">
        <v>41491</v>
      </c>
      <c r="F541" t="s">
        <v>813</v>
      </c>
      <c r="G541" t="s">
        <v>538</v>
      </c>
      <c r="H541" t="s">
        <v>45</v>
      </c>
      <c r="I541" s="3">
        <v>10030</v>
      </c>
      <c r="J541" s="3">
        <v>1020100021</v>
      </c>
      <c r="K541" s="3">
        <v>1060088</v>
      </c>
      <c r="L541" t="s">
        <v>146</v>
      </c>
      <c r="M541" s="4">
        <v>9</v>
      </c>
      <c r="N541" t="s">
        <v>222</v>
      </c>
      <c r="O541" t="s">
        <v>177</v>
      </c>
      <c r="P541" s="4">
        <v>40.818153000000002</v>
      </c>
      <c r="Q541" s="4">
        <v>-73.938660999999996</v>
      </c>
      <c r="R541" s="4">
        <v>40.818500999999998</v>
      </c>
      <c r="S541" s="4">
        <v>-73.938939000000005</v>
      </c>
      <c r="T541" s="2">
        <v>44405</v>
      </c>
      <c r="U541" t="s">
        <v>49</v>
      </c>
      <c r="V541" t="s">
        <v>71</v>
      </c>
      <c r="W541" t="s">
        <v>51</v>
      </c>
      <c r="Y541" s="4">
        <v>4</v>
      </c>
      <c r="Z541" s="4">
        <v>47</v>
      </c>
      <c r="AA541" s="4">
        <v>7</v>
      </c>
      <c r="AC541" s="4">
        <v>1</v>
      </c>
      <c r="AD541" s="4">
        <v>38</v>
      </c>
      <c r="AE541" s="4">
        <v>5</v>
      </c>
      <c r="AF541" s="4">
        <v>16</v>
      </c>
      <c r="AL541" s="4">
        <v>59</v>
      </c>
      <c r="AN541" s="4">
        <v>59</v>
      </c>
      <c r="AO541" s="4">
        <v>59</v>
      </c>
    </row>
    <row r="542" spans="1:41" hidden="1" x14ac:dyDescent="0.2">
      <c r="A542" t="s">
        <v>1199</v>
      </c>
      <c r="B542" t="s">
        <v>1200</v>
      </c>
      <c r="C542" s="2">
        <v>43829</v>
      </c>
      <c r="D542" s="2">
        <v>44405</v>
      </c>
      <c r="E542" s="3">
        <v>41496</v>
      </c>
      <c r="F542" t="s">
        <v>1201</v>
      </c>
      <c r="G542" t="s">
        <v>538</v>
      </c>
      <c r="H542" t="s">
        <v>45</v>
      </c>
      <c r="I542" s="3">
        <v>10030</v>
      </c>
      <c r="J542" s="3">
        <v>1020090045</v>
      </c>
      <c r="K542" s="3">
        <v>1060070</v>
      </c>
      <c r="L542" t="s">
        <v>146</v>
      </c>
      <c r="M542" s="4">
        <v>9</v>
      </c>
      <c r="N542" t="s">
        <v>222</v>
      </c>
      <c r="O542" t="s">
        <v>177</v>
      </c>
      <c r="P542" s="4">
        <v>40.818488000000002</v>
      </c>
      <c r="Q542" s="4">
        <v>-73.939502000000005</v>
      </c>
      <c r="R542" s="4">
        <v>40.818207999999998</v>
      </c>
      <c r="S542" s="4">
        <v>-73.939419999999998</v>
      </c>
      <c r="T542" s="2">
        <v>44405</v>
      </c>
      <c r="U542" t="s">
        <v>49</v>
      </c>
      <c r="V542" t="s">
        <v>71</v>
      </c>
      <c r="W542" t="s">
        <v>51</v>
      </c>
      <c r="X542" s="4">
        <v>2</v>
      </c>
      <c r="Y542" s="4">
        <v>2</v>
      </c>
      <c r="Z542" s="4">
        <v>18</v>
      </c>
      <c r="AA542" s="4">
        <v>8</v>
      </c>
      <c r="AE542" s="4">
        <v>30</v>
      </c>
      <c r="AL542" s="4">
        <v>30</v>
      </c>
      <c r="AN542" s="4">
        <v>30</v>
      </c>
      <c r="AO542" s="4">
        <v>30</v>
      </c>
    </row>
    <row r="543" spans="1:41" hidden="1" x14ac:dyDescent="0.2">
      <c r="A543" t="s">
        <v>1202</v>
      </c>
      <c r="B543" t="s">
        <v>1203</v>
      </c>
      <c r="C543" s="2">
        <v>43818</v>
      </c>
      <c r="D543" s="2">
        <v>45224</v>
      </c>
      <c r="E543" s="3">
        <v>11162</v>
      </c>
      <c r="F543" t="s">
        <v>1204</v>
      </c>
      <c r="G543" t="s">
        <v>1159</v>
      </c>
      <c r="H543" t="s">
        <v>45</v>
      </c>
      <c r="I543" s="3">
        <v>10009</v>
      </c>
      <c r="J543" s="3">
        <v>1003760031</v>
      </c>
      <c r="K543" s="3">
        <v>1004487</v>
      </c>
      <c r="L543" t="s">
        <v>64</v>
      </c>
      <c r="M543" s="4">
        <v>2</v>
      </c>
      <c r="N543" t="s">
        <v>603</v>
      </c>
      <c r="O543" t="s">
        <v>197</v>
      </c>
      <c r="P543" s="4">
        <v>40.723447999999998</v>
      </c>
      <c r="Q543" s="4">
        <v>-73.977379999999997</v>
      </c>
      <c r="R543" s="4">
        <v>40.723092000000001</v>
      </c>
      <c r="S543" s="4">
        <v>-73.977076999999994</v>
      </c>
      <c r="T543" s="2">
        <v>45224</v>
      </c>
      <c r="U543" t="s">
        <v>49</v>
      </c>
      <c r="V543" t="s">
        <v>71</v>
      </c>
      <c r="W543" t="s">
        <v>51</v>
      </c>
      <c r="X543" s="4">
        <v>1</v>
      </c>
      <c r="Y543" s="4">
        <v>14</v>
      </c>
      <c r="Z543" s="4">
        <v>2</v>
      </c>
      <c r="AD543" s="4">
        <v>1</v>
      </c>
      <c r="AE543" s="4">
        <v>9</v>
      </c>
      <c r="AF543" s="4">
        <v>2</v>
      </c>
      <c r="AG543" s="4">
        <v>5</v>
      </c>
      <c r="AM543" s="4">
        <v>17</v>
      </c>
      <c r="AN543" s="4">
        <v>17</v>
      </c>
      <c r="AO543" s="4">
        <v>17</v>
      </c>
    </row>
    <row r="544" spans="1:41" hidden="1" x14ac:dyDescent="0.2">
      <c r="A544" t="s">
        <v>1205</v>
      </c>
      <c r="B544" t="s">
        <v>1206</v>
      </c>
      <c r="C544" s="2">
        <v>43817</v>
      </c>
      <c r="E544" s="3">
        <v>972405</v>
      </c>
      <c r="F544" t="s">
        <v>461</v>
      </c>
      <c r="G544" t="s">
        <v>1207</v>
      </c>
      <c r="H544" t="s">
        <v>45</v>
      </c>
      <c r="I544" s="3">
        <v>10009</v>
      </c>
      <c r="J544" s="3">
        <v>1004060006</v>
      </c>
      <c r="K544" s="3">
        <v>1000000</v>
      </c>
      <c r="L544" t="s">
        <v>64</v>
      </c>
      <c r="M544" s="4">
        <v>2</v>
      </c>
      <c r="N544" t="s">
        <v>978</v>
      </c>
      <c r="O544" t="s">
        <v>197</v>
      </c>
      <c r="P544" s="4">
        <v>40.729512</v>
      </c>
      <c r="Q544" s="4">
        <v>-73.980999999999995</v>
      </c>
      <c r="R544" s="4">
        <v>40.729382999999999</v>
      </c>
      <c r="S544" s="4">
        <v>-73.980750999999998</v>
      </c>
      <c r="T544" s="2">
        <v>45727</v>
      </c>
      <c r="U544" t="s">
        <v>117</v>
      </c>
      <c r="V544" t="s">
        <v>71</v>
      </c>
      <c r="W544" t="s">
        <v>51</v>
      </c>
      <c r="Z544" s="4">
        <v>10</v>
      </c>
      <c r="AE544" s="4">
        <v>8</v>
      </c>
      <c r="AF544" s="4">
        <v>2</v>
      </c>
      <c r="AM544" s="4">
        <v>10</v>
      </c>
      <c r="AN544" s="4">
        <v>10</v>
      </c>
      <c r="AO544" s="4">
        <v>10</v>
      </c>
    </row>
    <row r="545" spans="1:41" hidden="1" x14ac:dyDescent="0.2">
      <c r="A545" t="s">
        <v>1205</v>
      </c>
      <c r="B545" t="s">
        <v>1206</v>
      </c>
      <c r="C545" s="2">
        <v>43817</v>
      </c>
      <c r="E545" s="3">
        <v>972406</v>
      </c>
      <c r="F545" t="s">
        <v>1208</v>
      </c>
      <c r="G545" t="s">
        <v>1209</v>
      </c>
      <c r="H545" t="s">
        <v>45</v>
      </c>
      <c r="I545" s="3">
        <v>10009</v>
      </c>
      <c r="J545" s="3">
        <v>1004060047</v>
      </c>
      <c r="K545" s="3">
        <v>1091639</v>
      </c>
      <c r="L545" t="s">
        <v>64</v>
      </c>
      <c r="M545" s="4">
        <v>2</v>
      </c>
      <c r="N545" t="s">
        <v>978</v>
      </c>
      <c r="O545" t="s">
        <v>197</v>
      </c>
      <c r="P545" s="4">
        <v>40.728707999999997</v>
      </c>
      <c r="Q545" s="4">
        <v>-73.980405000000005</v>
      </c>
      <c r="R545" s="4">
        <v>40.728614</v>
      </c>
      <c r="S545" s="4">
        <v>-73.979614999999995</v>
      </c>
      <c r="T545" s="2">
        <v>45352</v>
      </c>
      <c r="U545" t="s">
        <v>117</v>
      </c>
      <c r="V545" t="s">
        <v>71</v>
      </c>
      <c r="W545" t="s">
        <v>51</v>
      </c>
      <c r="AB545" s="4">
        <v>11</v>
      </c>
      <c r="AD545" s="4">
        <v>1</v>
      </c>
      <c r="AE545" s="4">
        <v>10</v>
      </c>
      <c r="AL545" s="4">
        <v>11</v>
      </c>
      <c r="AN545" s="4">
        <v>11</v>
      </c>
      <c r="AO545" s="4">
        <v>11</v>
      </c>
    </row>
    <row r="546" spans="1:41" hidden="1" x14ac:dyDescent="0.2">
      <c r="A546" t="s">
        <v>1210</v>
      </c>
      <c r="B546" t="s">
        <v>140</v>
      </c>
      <c r="C546" s="2">
        <v>43805</v>
      </c>
      <c r="D546" s="2">
        <v>43805</v>
      </c>
      <c r="F546" t="s">
        <v>141</v>
      </c>
      <c r="G546" t="s">
        <v>141</v>
      </c>
      <c r="H546" t="s">
        <v>45</v>
      </c>
      <c r="L546" t="s">
        <v>655</v>
      </c>
      <c r="M546" s="4">
        <v>2</v>
      </c>
      <c r="T546" s="2">
        <v>43805</v>
      </c>
      <c r="U546" t="s">
        <v>117</v>
      </c>
      <c r="V546" t="s">
        <v>71</v>
      </c>
      <c r="W546" t="s">
        <v>51</v>
      </c>
      <c r="Y546" s="4">
        <v>1</v>
      </c>
      <c r="AE546" s="4">
        <v>1</v>
      </c>
      <c r="AM546" s="4">
        <v>1</v>
      </c>
      <c r="AN546" s="4">
        <v>1</v>
      </c>
      <c r="AO546" s="4">
        <v>1</v>
      </c>
    </row>
    <row r="547" spans="1:41" hidden="1" x14ac:dyDescent="0.2">
      <c r="A547" t="s">
        <v>1211</v>
      </c>
      <c r="B547" t="s">
        <v>1212</v>
      </c>
      <c r="C547" s="2">
        <v>43804</v>
      </c>
      <c r="D547" s="2">
        <v>44819</v>
      </c>
      <c r="E547" s="3">
        <v>991704</v>
      </c>
      <c r="F547" t="s">
        <v>1213</v>
      </c>
      <c r="G547" t="s">
        <v>206</v>
      </c>
      <c r="H547" t="s">
        <v>45</v>
      </c>
      <c r="I547" s="3">
        <v>10002</v>
      </c>
      <c r="J547" s="3">
        <v>1004250030</v>
      </c>
      <c r="K547" s="3">
        <v>1090824</v>
      </c>
      <c r="L547" t="s">
        <v>64</v>
      </c>
      <c r="M547" s="4">
        <v>1</v>
      </c>
      <c r="N547" t="s">
        <v>785</v>
      </c>
      <c r="O547" t="s">
        <v>66</v>
      </c>
      <c r="P547" s="4">
        <v>40.720790999999998</v>
      </c>
      <c r="Q547" s="4">
        <v>-73.992485000000002</v>
      </c>
      <c r="R547" s="4">
        <v>40.720857000000002</v>
      </c>
      <c r="S547" s="4">
        <v>-73.992839000000004</v>
      </c>
      <c r="T547" s="2">
        <v>44819</v>
      </c>
      <c r="U547" t="s">
        <v>117</v>
      </c>
      <c r="V547" t="s">
        <v>71</v>
      </c>
      <c r="W547" t="s">
        <v>51</v>
      </c>
      <c r="Y547" s="4">
        <v>7</v>
      </c>
      <c r="Z547" s="4">
        <v>8</v>
      </c>
      <c r="AD547" s="4">
        <v>5</v>
      </c>
      <c r="AE547" s="4">
        <v>8</v>
      </c>
      <c r="AF547" s="4">
        <v>2</v>
      </c>
      <c r="AL547" s="4">
        <v>15</v>
      </c>
      <c r="AN547" s="4">
        <v>15</v>
      </c>
      <c r="AO547" s="4">
        <v>78</v>
      </c>
    </row>
    <row r="548" spans="1:41" hidden="1" x14ac:dyDescent="0.2">
      <c r="A548" t="s">
        <v>1214</v>
      </c>
      <c r="B548" t="s">
        <v>1215</v>
      </c>
      <c r="C548" s="2">
        <v>43802</v>
      </c>
      <c r="D548" s="2">
        <v>45409</v>
      </c>
      <c r="E548" s="3">
        <v>23579</v>
      </c>
      <c r="F548" t="s">
        <v>976</v>
      </c>
      <c r="G548" t="s">
        <v>274</v>
      </c>
      <c r="H548" t="s">
        <v>45</v>
      </c>
      <c r="I548" s="3">
        <v>10037</v>
      </c>
      <c r="J548" s="3">
        <v>1017280002</v>
      </c>
      <c r="K548" s="3">
        <v>1053770</v>
      </c>
      <c r="L548" t="s">
        <v>146</v>
      </c>
      <c r="M548" s="4">
        <v>9</v>
      </c>
      <c r="N548" t="s">
        <v>305</v>
      </c>
      <c r="O548" t="s">
        <v>177</v>
      </c>
      <c r="P548" s="4">
        <v>40.811095000000002</v>
      </c>
      <c r="Q548" s="4">
        <v>-73.943049000000002</v>
      </c>
      <c r="R548" s="4">
        <v>40.810938999999998</v>
      </c>
      <c r="S548" s="4">
        <v>-73.942677000000003</v>
      </c>
      <c r="T548" s="2">
        <v>44924</v>
      </c>
      <c r="U548" t="s">
        <v>49</v>
      </c>
      <c r="V548" t="s">
        <v>71</v>
      </c>
      <c r="W548" t="s">
        <v>51</v>
      </c>
      <c r="AA548" s="4">
        <v>9</v>
      </c>
      <c r="AF548" s="4">
        <v>9</v>
      </c>
      <c r="AM548" s="4">
        <v>9</v>
      </c>
      <c r="AN548" s="4">
        <v>9</v>
      </c>
      <c r="AO548" s="4">
        <v>9</v>
      </c>
    </row>
    <row r="549" spans="1:41" hidden="1" x14ac:dyDescent="0.2">
      <c r="A549" t="s">
        <v>1214</v>
      </c>
      <c r="B549" t="s">
        <v>1215</v>
      </c>
      <c r="C549" s="2">
        <v>43802</v>
      </c>
      <c r="D549" s="2">
        <v>45409</v>
      </c>
      <c r="E549" s="3">
        <v>23595</v>
      </c>
      <c r="F549" t="s">
        <v>1216</v>
      </c>
      <c r="G549" t="s">
        <v>274</v>
      </c>
      <c r="H549" t="s">
        <v>45</v>
      </c>
      <c r="I549" s="3">
        <v>10037</v>
      </c>
      <c r="J549" s="3">
        <v>1017290002</v>
      </c>
      <c r="K549" s="3">
        <v>1053825</v>
      </c>
      <c r="L549" t="s">
        <v>146</v>
      </c>
      <c r="M549" s="4">
        <v>9</v>
      </c>
      <c r="N549" t="s">
        <v>305</v>
      </c>
      <c r="O549" t="s">
        <v>177</v>
      </c>
      <c r="P549" s="4">
        <v>40.81174</v>
      </c>
      <c r="Q549" s="4">
        <v>-73.942578999999995</v>
      </c>
      <c r="R549" s="4">
        <v>40.811563999999997</v>
      </c>
      <c r="S549" s="4">
        <v>-73.942250999999999</v>
      </c>
      <c r="T549" s="2">
        <v>44592</v>
      </c>
      <c r="U549" t="s">
        <v>49</v>
      </c>
      <c r="V549" t="s">
        <v>71</v>
      </c>
      <c r="W549" t="s">
        <v>51</v>
      </c>
      <c r="AA549" s="4">
        <v>7</v>
      </c>
      <c r="AE549" s="4">
        <v>4</v>
      </c>
      <c r="AF549" s="4">
        <v>3</v>
      </c>
      <c r="AM549" s="4">
        <v>7</v>
      </c>
      <c r="AN549" s="4">
        <v>7</v>
      </c>
      <c r="AO549" s="4">
        <v>7</v>
      </c>
    </row>
    <row r="550" spans="1:41" hidden="1" x14ac:dyDescent="0.2">
      <c r="A550" t="s">
        <v>1214</v>
      </c>
      <c r="B550" t="s">
        <v>1215</v>
      </c>
      <c r="C550" s="2">
        <v>43802</v>
      </c>
      <c r="D550" s="2">
        <v>45409</v>
      </c>
      <c r="E550" s="3">
        <v>23596</v>
      </c>
      <c r="F550" t="s">
        <v>1217</v>
      </c>
      <c r="G550" t="s">
        <v>274</v>
      </c>
      <c r="H550" t="s">
        <v>45</v>
      </c>
      <c r="I550" s="3">
        <v>10037</v>
      </c>
      <c r="J550" s="3">
        <v>1017290003</v>
      </c>
      <c r="K550" s="3">
        <v>1053826</v>
      </c>
      <c r="L550" t="s">
        <v>146</v>
      </c>
      <c r="M550" s="4">
        <v>9</v>
      </c>
      <c r="N550" t="s">
        <v>305</v>
      </c>
      <c r="O550" t="s">
        <v>177</v>
      </c>
      <c r="P550" s="4">
        <v>40.811779000000001</v>
      </c>
      <c r="Q550" s="4">
        <v>-73.942549999999997</v>
      </c>
      <c r="R550" s="4">
        <v>40.811644000000001</v>
      </c>
      <c r="S550" s="4">
        <v>-73.942193000000003</v>
      </c>
      <c r="T550" s="2">
        <v>44606</v>
      </c>
      <c r="U550" t="s">
        <v>49</v>
      </c>
      <c r="V550" t="s">
        <v>71</v>
      </c>
      <c r="W550" t="s">
        <v>51</v>
      </c>
      <c r="AA550" s="4">
        <v>7</v>
      </c>
      <c r="AE550" s="4">
        <v>3</v>
      </c>
      <c r="AF550" s="4">
        <v>4</v>
      </c>
      <c r="AM550" s="4">
        <v>7</v>
      </c>
      <c r="AN550" s="4">
        <v>7</v>
      </c>
      <c r="AO550" s="4">
        <v>7</v>
      </c>
    </row>
    <row r="551" spans="1:41" hidden="1" x14ac:dyDescent="0.2">
      <c r="A551" t="s">
        <v>1214</v>
      </c>
      <c r="B551" t="s">
        <v>1215</v>
      </c>
      <c r="C551" s="2">
        <v>43802</v>
      </c>
      <c r="D551" s="2">
        <v>45409</v>
      </c>
      <c r="E551" s="3">
        <v>23600</v>
      </c>
      <c r="F551" t="s">
        <v>1218</v>
      </c>
      <c r="G551" t="s">
        <v>274</v>
      </c>
      <c r="H551" t="s">
        <v>45</v>
      </c>
      <c r="I551" s="3">
        <v>10037</v>
      </c>
      <c r="J551" s="3">
        <v>1017290172</v>
      </c>
      <c r="K551" s="3">
        <v>1053884</v>
      </c>
      <c r="L551" t="s">
        <v>146</v>
      </c>
      <c r="M551" s="4">
        <v>9</v>
      </c>
      <c r="N551" t="s">
        <v>305</v>
      </c>
      <c r="O551" t="s">
        <v>177</v>
      </c>
      <c r="P551" s="4">
        <v>40.811898999999997</v>
      </c>
      <c r="Q551" s="4">
        <v>-73.942459999999997</v>
      </c>
      <c r="R551" s="4">
        <v>40.811745000000002</v>
      </c>
      <c r="S551" s="4">
        <v>-73.942120000000003</v>
      </c>
      <c r="T551" s="2">
        <v>44645</v>
      </c>
      <c r="U551" t="s">
        <v>49</v>
      </c>
      <c r="V551" t="s">
        <v>71</v>
      </c>
      <c r="W551" t="s">
        <v>51</v>
      </c>
      <c r="AA551" s="4">
        <v>3</v>
      </c>
      <c r="AF551" s="4">
        <v>3</v>
      </c>
      <c r="AM551" s="4">
        <v>3</v>
      </c>
      <c r="AN551" s="4">
        <v>3</v>
      </c>
      <c r="AO551" s="4">
        <v>3</v>
      </c>
    </row>
    <row r="552" spans="1:41" hidden="1" x14ac:dyDescent="0.2">
      <c r="A552" t="s">
        <v>1214</v>
      </c>
      <c r="B552" t="s">
        <v>1215</v>
      </c>
      <c r="C552" s="2">
        <v>43802</v>
      </c>
      <c r="D552" s="2">
        <v>45409</v>
      </c>
      <c r="E552" s="3">
        <v>40420</v>
      </c>
      <c r="F552" t="s">
        <v>433</v>
      </c>
      <c r="G552" t="s">
        <v>1011</v>
      </c>
      <c r="H552" t="s">
        <v>45</v>
      </c>
      <c r="I552" s="3">
        <v>10027</v>
      </c>
      <c r="J552" s="3">
        <v>1019170016</v>
      </c>
      <c r="K552" s="3">
        <v>1058151</v>
      </c>
      <c r="L552" t="s">
        <v>146</v>
      </c>
      <c r="M552" s="4">
        <v>9</v>
      </c>
      <c r="N552" t="s">
        <v>309</v>
      </c>
      <c r="O552" t="s">
        <v>177</v>
      </c>
      <c r="P552" s="4">
        <v>40.812676000000003</v>
      </c>
      <c r="Q552" s="4">
        <v>-73.943370000000002</v>
      </c>
      <c r="R552" s="4">
        <v>40.81297</v>
      </c>
      <c r="S552" s="4">
        <v>-73.943534999999997</v>
      </c>
      <c r="T552" s="2">
        <v>45409</v>
      </c>
      <c r="U552" t="s">
        <v>49</v>
      </c>
      <c r="V552" t="s">
        <v>71</v>
      </c>
      <c r="W552" t="s">
        <v>51</v>
      </c>
      <c r="AA552" s="4">
        <v>29</v>
      </c>
      <c r="AD552" s="4">
        <v>5</v>
      </c>
      <c r="AE552" s="4">
        <v>1</v>
      </c>
      <c r="AF552" s="4">
        <v>12</v>
      </c>
      <c r="AG552" s="4">
        <v>11</v>
      </c>
      <c r="AM552" s="4">
        <v>29</v>
      </c>
      <c r="AN552" s="4">
        <v>29</v>
      </c>
      <c r="AO552" s="4">
        <v>29</v>
      </c>
    </row>
    <row r="553" spans="1:41" hidden="1" x14ac:dyDescent="0.2">
      <c r="A553" t="s">
        <v>1219</v>
      </c>
      <c r="B553" t="s">
        <v>1220</v>
      </c>
      <c r="C553" s="2">
        <v>43801</v>
      </c>
      <c r="D553" s="2">
        <v>44846</v>
      </c>
      <c r="E553" s="3">
        <v>6199</v>
      </c>
      <c r="F553" t="s">
        <v>379</v>
      </c>
      <c r="G553" t="s">
        <v>136</v>
      </c>
      <c r="H553" t="s">
        <v>45</v>
      </c>
      <c r="I553" s="3">
        <v>10033</v>
      </c>
      <c r="J553" s="3">
        <v>1021320007</v>
      </c>
      <c r="K553" s="3">
        <v>1063180</v>
      </c>
      <c r="L553" t="s">
        <v>114</v>
      </c>
      <c r="M553" s="4">
        <v>10</v>
      </c>
      <c r="N553" t="s">
        <v>346</v>
      </c>
      <c r="O553" t="s">
        <v>134</v>
      </c>
      <c r="P553" s="4">
        <v>40.845367000000003</v>
      </c>
      <c r="Q553" s="4">
        <v>-73.934787</v>
      </c>
      <c r="R553" s="4">
        <v>40.845208</v>
      </c>
      <c r="S553" s="4">
        <v>-73.934562999999997</v>
      </c>
      <c r="T553" s="2">
        <v>44846</v>
      </c>
      <c r="U553" t="s">
        <v>49</v>
      </c>
      <c r="V553" t="s">
        <v>71</v>
      </c>
      <c r="W553" t="s">
        <v>51</v>
      </c>
      <c r="X553" s="4">
        <v>24</v>
      </c>
      <c r="Y553" s="4">
        <v>19</v>
      </c>
      <c r="Z553" s="4">
        <v>3</v>
      </c>
      <c r="AC553" s="4">
        <v>1</v>
      </c>
      <c r="AE553" s="4">
        <v>12</v>
      </c>
      <c r="AF553" s="4">
        <v>12</v>
      </c>
      <c r="AG553" s="4">
        <v>23</v>
      </c>
      <c r="AL553" s="4">
        <v>47</v>
      </c>
      <c r="AN553" s="4">
        <v>47</v>
      </c>
      <c r="AO553" s="4">
        <v>47</v>
      </c>
    </row>
    <row r="554" spans="1:41" hidden="1" x14ac:dyDescent="0.2">
      <c r="A554" t="s">
        <v>1221</v>
      </c>
      <c r="B554" t="s">
        <v>1222</v>
      </c>
      <c r="C554" s="2">
        <v>43796</v>
      </c>
      <c r="D554" s="2">
        <v>44672</v>
      </c>
      <c r="E554" s="3">
        <v>989032</v>
      </c>
      <c r="F554" t="s">
        <v>315</v>
      </c>
      <c r="G554" t="s">
        <v>249</v>
      </c>
      <c r="H554" t="s">
        <v>45</v>
      </c>
      <c r="I554" s="3">
        <v>10027</v>
      </c>
      <c r="J554" s="3">
        <v>1019327501</v>
      </c>
      <c r="K554" s="3">
        <v>1091580</v>
      </c>
      <c r="L554" t="s">
        <v>146</v>
      </c>
      <c r="M554" s="4">
        <v>9</v>
      </c>
      <c r="N554" t="s">
        <v>244</v>
      </c>
      <c r="O554" t="s">
        <v>177</v>
      </c>
      <c r="P554" s="4">
        <v>40.810409</v>
      </c>
      <c r="Q554" s="4">
        <v>-73.949628000000004</v>
      </c>
      <c r="R554" s="4">
        <v>40.810775</v>
      </c>
      <c r="S554" s="4">
        <v>-73.949934999999996</v>
      </c>
      <c r="T554" s="2">
        <v>44672</v>
      </c>
      <c r="U554" t="s">
        <v>117</v>
      </c>
      <c r="V554" t="s">
        <v>71</v>
      </c>
      <c r="W554" t="s">
        <v>51</v>
      </c>
      <c r="X554" s="4">
        <v>9</v>
      </c>
      <c r="Y554" s="4">
        <v>4</v>
      </c>
      <c r="Z554" s="4">
        <v>13</v>
      </c>
      <c r="AA554" s="4">
        <v>10</v>
      </c>
      <c r="AC554" s="4">
        <v>1</v>
      </c>
      <c r="AD554" s="4">
        <v>11</v>
      </c>
      <c r="AE554" s="4">
        <v>12</v>
      </c>
      <c r="AF554" s="4">
        <v>11</v>
      </c>
      <c r="AG554" s="4">
        <v>3</v>
      </c>
      <c r="AL554" s="4">
        <v>37</v>
      </c>
      <c r="AN554" s="4">
        <v>37</v>
      </c>
      <c r="AO554" s="4">
        <v>37</v>
      </c>
    </row>
    <row r="555" spans="1:41" hidden="1" x14ac:dyDescent="0.2">
      <c r="A555" t="s">
        <v>1223</v>
      </c>
      <c r="B555" t="s">
        <v>140</v>
      </c>
      <c r="C555" s="2">
        <v>43796</v>
      </c>
      <c r="D555" s="2">
        <v>43796</v>
      </c>
      <c r="F555" t="s">
        <v>141</v>
      </c>
      <c r="G555" t="s">
        <v>141</v>
      </c>
      <c r="H555" t="s">
        <v>45</v>
      </c>
      <c r="L555" t="s">
        <v>153</v>
      </c>
      <c r="M555" s="4">
        <v>8</v>
      </c>
      <c r="T555" s="2">
        <v>43796</v>
      </c>
      <c r="U555" t="s">
        <v>117</v>
      </c>
      <c r="V555" t="s">
        <v>71</v>
      </c>
      <c r="W555" t="s">
        <v>51</v>
      </c>
      <c r="Z555" s="4">
        <v>1</v>
      </c>
      <c r="AF555" s="4">
        <v>1</v>
      </c>
      <c r="AM555" s="4">
        <v>1</v>
      </c>
      <c r="AN555" s="4">
        <v>1</v>
      </c>
      <c r="AO555" s="4">
        <v>1</v>
      </c>
    </row>
    <row r="556" spans="1:41" hidden="1" x14ac:dyDescent="0.2">
      <c r="A556" t="s">
        <v>1224</v>
      </c>
      <c r="B556" t="s">
        <v>1225</v>
      </c>
      <c r="C556" s="2">
        <v>43795</v>
      </c>
      <c r="D556" s="2">
        <v>44470</v>
      </c>
      <c r="E556" s="3">
        <v>38465</v>
      </c>
      <c r="F556" t="s">
        <v>137</v>
      </c>
      <c r="G556" t="s">
        <v>1133</v>
      </c>
      <c r="H556" t="s">
        <v>45</v>
      </c>
      <c r="I556" s="3">
        <v>10026</v>
      </c>
      <c r="J556" s="3">
        <v>1019230016</v>
      </c>
      <c r="K556" s="3">
        <v>1090103</v>
      </c>
      <c r="L556" t="s">
        <v>146</v>
      </c>
      <c r="M556" s="4">
        <v>9</v>
      </c>
      <c r="N556" t="s">
        <v>318</v>
      </c>
      <c r="O556" t="s">
        <v>148</v>
      </c>
      <c r="P556" s="4">
        <v>40.804622999999999</v>
      </c>
      <c r="Q556" s="4">
        <v>-73.953725000000006</v>
      </c>
      <c r="R556" s="4">
        <v>40.804735000000001</v>
      </c>
      <c r="S556" s="4">
        <v>-73.953389000000001</v>
      </c>
      <c r="T556" s="2">
        <v>44470</v>
      </c>
      <c r="U556" t="s">
        <v>117</v>
      </c>
      <c r="V556" t="s">
        <v>71</v>
      </c>
      <c r="W556" t="s">
        <v>51</v>
      </c>
      <c r="AB556" s="4">
        <v>32</v>
      </c>
      <c r="AD556" s="4">
        <v>8</v>
      </c>
      <c r="AE556" s="4">
        <v>13</v>
      </c>
      <c r="AF556" s="4">
        <v>11</v>
      </c>
      <c r="AL556" s="4">
        <v>32</v>
      </c>
      <c r="AN556" s="4">
        <v>32</v>
      </c>
      <c r="AO556" s="4">
        <v>104</v>
      </c>
    </row>
    <row r="557" spans="1:41" hidden="1" x14ac:dyDescent="0.2">
      <c r="A557" t="s">
        <v>1226</v>
      </c>
      <c r="B557" t="s">
        <v>1227</v>
      </c>
      <c r="C557" s="2">
        <v>43791</v>
      </c>
      <c r="D557" s="2">
        <v>43791</v>
      </c>
      <c r="E557" s="3">
        <v>984205</v>
      </c>
      <c r="F557" t="s">
        <v>1228</v>
      </c>
      <c r="G557" t="s">
        <v>1229</v>
      </c>
      <c r="H557" t="s">
        <v>45</v>
      </c>
      <c r="I557" s="3">
        <v>10009</v>
      </c>
      <c r="J557" s="3">
        <v>1004417504</v>
      </c>
      <c r="K557" s="3">
        <v>1090211</v>
      </c>
      <c r="L557" t="s">
        <v>64</v>
      </c>
      <c r="M557" s="4">
        <v>2</v>
      </c>
      <c r="N557" t="s">
        <v>978</v>
      </c>
      <c r="O557" t="s">
        <v>197</v>
      </c>
      <c r="P557" s="4">
        <v>40.730294999999998</v>
      </c>
      <c r="Q557" s="4">
        <v>-73.982194000000007</v>
      </c>
      <c r="R557" s="4">
        <v>40.730286</v>
      </c>
      <c r="S557" s="4">
        <v>-73.981249000000005</v>
      </c>
      <c r="T557" s="2">
        <v>43791</v>
      </c>
      <c r="U557" t="s">
        <v>117</v>
      </c>
      <c r="V557" t="s">
        <v>71</v>
      </c>
      <c r="W557" t="s">
        <v>51</v>
      </c>
      <c r="Y557" s="4">
        <v>12</v>
      </c>
      <c r="Z557" s="4">
        <v>12</v>
      </c>
      <c r="AB557" s="4">
        <v>6</v>
      </c>
      <c r="AD557" s="4">
        <v>8</v>
      </c>
      <c r="AE557" s="4">
        <v>15</v>
      </c>
      <c r="AF557" s="4">
        <v>7</v>
      </c>
      <c r="AL557" s="4">
        <v>30</v>
      </c>
      <c r="AN557" s="4">
        <v>30</v>
      </c>
      <c r="AO557" s="4">
        <v>113</v>
      </c>
    </row>
    <row r="558" spans="1:41" hidden="1" x14ac:dyDescent="0.2">
      <c r="A558" t="s">
        <v>1230</v>
      </c>
      <c r="B558" t="s">
        <v>1231</v>
      </c>
      <c r="C558" s="2">
        <v>43783</v>
      </c>
      <c r="E558" s="3">
        <v>6012</v>
      </c>
      <c r="F558" t="s">
        <v>705</v>
      </c>
      <c r="G558" t="s">
        <v>87</v>
      </c>
      <c r="H558" t="s">
        <v>45</v>
      </c>
      <c r="I558" s="3">
        <v>10025</v>
      </c>
      <c r="J558" s="3">
        <v>1012250001</v>
      </c>
      <c r="K558" s="3">
        <v>1032551</v>
      </c>
      <c r="L558" t="s">
        <v>46</v>
      </c>
      <c r="M558" s="4">
        <v>7</v>
      </c>
      <c r="N558" t="s">
        <v>1232</v>
      </c>
      <c r="O558" t="s">
        <v>285</v>
      </c>
      <c r="P558" s="4">
        <v>40.793031999999997</v>
      </c>
      <c r="Q558" s="4">
        <v>-73.971097</v>
      </c>
      <c r="R558" s="4">
        <v>40.792797999999998</v>
      </c>
      <c r="S558" s="4">
        <v>-73.970566000000005</v>
      </c>
      <c r="U558" t="s">
        <v>49</v>
      </c>
      <c r="V558" t="s">
        <v>71</v>
      </c>
      <c r="W558" t="s">
        <v>51</v>
      </c>
      <c r="X558" s="4">
        <v>50</v>
      </c>
      <c r="Y558" s="4">
        <v>133</v>
      </c>
      <c r="Z558" s="4">
        <v>10</v>
      </c>
      <c r="AC558" s="4">
        <v>1</v>
      </c>
      <c r="AE558" s="4">
        <v>30</v>
      </c>
      <c r="AF558" s="4">
        <v>30</v>
      </c>
      <c r="AG558" s="4">
        <v>90</v>
      </c>
      <c r="AH558" s="4">
        <v>44</v>
      </c>
      <c r="AM558" s="4">
        <v>194</v>
      </c>
      <c r="AN558" s="4">
        <v>194</v>
      </c>
      <c r="AO558" s="4">
        <v>194</v>
      </c>
    </row>
    <row r="559" spans="1:41" hidden="1" x14ac:dyDescent="0.2">
      <c r="A559" t="s">
        <v>1233</v>
      </c>
      <c r="B559" t="s">
        <v>1234</v>
      </c>
      <c r="C559" s="2">
        <v>43768</v>
      </c>
      <c r="D559" s="2">
        <v>43768</v>
      </c>
      <c r="E559" s="3">
        <v>25490</v>
      </c>
      <c r="F559" t="s">
        <v>1235</v>
      </c>
      <c r="G559" t="s">
        <v>1236</v>
      </c>
      <c r="H559" t="s">
        <v>45</v>
      </c>
      <c r="I559" s="3">
        <v>10002</v>
      </c>
      <c r="J559" s="3">
        <v>1002530001</v>
      </c>
      <c r="K559" s="3">
        <v>1077585</v>
      </c>
      <c r="L559" t="s">
        <v>64</v>
      </c>
      <c r="M559" s="4">
        <v>1</v>
      </c>
      <c r="N559" t="s">
        <v>711</v>
      </c>
      <c r="O559" t="s">
        <v>485</v>
      </c>
      <c r="P559" s="4">
        <v>40.711452999999999</v>
      </c>
      <c r="Q559" s="4">
        <v>-73.995660999999998</v>
      </c>
      <c r="R559" s="4">
        <v>40.710932</v>
      </c>
      <c r="S559" s="4">
        <v>-73.995425999999995</v>
      </c>
      <c r="T559" s="2">
        <v>43768</v>
      </c>
      <c r="U559" t="s">
        <v>49</v>
      </c>
      <c r="V559" t="s">
        <v>50</v>
      </c>
      <c r="W559" t="s">
        <v>51</v>
      </c>
      <c r="Z559" s="4">
        <v>93</v>
      </c>
      <c r="AA559" s="4">
        <v>39</v>
      </c>
      <c r="AD559" s="4">
        <v>4</v>
      </c>
      <c r="AE559" s="4">
        <v>89</v>
      </c>
      <c r="AF559" s="4">
        <v>37</v>
      </c>
      <c r="AG559" s="4">
        <v>2</v>
      </c>
      <c r="AL559" s="4">
        <v>132</v>
      </c>
      <c r="AN559" s="4">
        <v>132</v>
      </c>
      <c r="AO559" s="4">
        <v>132</v>
      </c>
    </row>
    <row r="560" spans="1:41" hidden="1" x14ac:dyDescent="0.2">
      <c r="A560" t="s">
        <v>1233</v>
      </c>
      <c r="B560" t="s">
        <v>1234</v>
      </c>
      <c r="C560" s="2">
        <v>43768</v>
      </c>
      <c r="D560" s="2">
        <v>43768</v>
      </c>
      <c r="E560" s="3">
        <v>805092</v>
      </c>
      <c r="F560" t="s">
        <v>869</v>
      </c>
      <c r="G560" t="s">
        <v>1236</v>
      </c>
      <c r="H560" t="s">
        <v>45</v>
      </c>
      <c r="I560" s="3">
        <v>10002</v>
      </c>
      <c r="J560" s="3">
        <v>1002530001</v>
      </c>
      <c r="K560" s="3">
        <v>1091014</v>
      </c>
      <c r="L560" t="s">
        <v>64</v>
      </c>
      <c r="M560" s="4">
        <v>1</v>
      </c>
      <c r="N560" t="s">
        <v>711</v>
      </c>
      <c r="O560" t="s">
        <v>485</v>
      </c>
      <c r="P560" s="4">
        <v>40.711461</v>
      </c>
      <c r="Q560" s="4">
        <v>-73.995581000000001</v>
      </c>
      <c r="R560" s="4">
        <v>40.710932</v>
      </c>
      <c r="S560" s="4">
        <v>-73.995425999999995</v>
      </c>
      <c r="T560" s="2">
        <v>43768</v>
      </c>
      <c r="U560" t="s">
        <v>49</v>
      </c>
      <c r="V560" t="s">
        <v>50</v>
      </c>
      <c r="W560" t="s">
        <v>51</v>
      </c>
      <c r="Z560" s="4">
        <v>121</v>
      </c>
      <c r="AA560" s="4">
        <v>29</v>
      </c>
      <c r="AD560" s="4">
        <v>1</v>
      </c>
      <c r="AE560" s="4">
        <v>120</v>
      </c>
      <c r="AF560" s="4">
        <v>29</v>
      </c>
      <c r="AL560" s="4">
        <v>150</v>
      </c>
      <c r="AN560" s="4">
        <v>150</v>
      </c>
      <c r="AO560" s="4">
        <v>150</v>
      </c>
    </row>
    <row r="561" spans="1:41" hidden="1" x14ac:dyDescent="0.2">
      <c r="A561" t="s">
        <v>1233</v>
      </c>
      <c r="B561" t="s">
        <v>1234</v>
      </c>
      <c r="C561" s="2">
        <v>43768</v>
      </c>
      <c r="D561" s="2">
        <v>43768</v>
      </c>
      <c r="E561" s="3">
        <v>805093</v>
      </c>
      <c r="F561" t="s">
        <v>474</v>
      </c>
      <c r="G561" t="s">
        <v>1236</v>
      </c>
      <c r="H561" t="s">
        <v>45</v>
      </c>
      <c r="I561" s="3">
        <v>10002</v>
      </c>
      <c r="J561" s="3">
        <v>1002530001</v>
      </c>
      <c r="K561" s="3">
        <v>1091015</v>
      </c>
      <c r="L561" t="s">
        <v>64</v>
      </c>
      <c r="M561" s="4">
        <v>1</v>
      </c>
      <c r="N561" t="s">
        <v>711</v>
      </c>
      <c r="O561" t="s">
        <v>485</v>
      </c>
      <c r="P561" s="4">
        <v>40.711469999999998</v>
      </c>
      <c r="Q561" s="4">
        <v>-73.995502000000002</v>
      </c>
      <c r="R561" s="4">
        <v>40.710932</v>
      </c>
      <c r="S561" s="4">
        <v>-73.995425999999995</v>
      </c>
      <c r="T561" s="2">
        <v>43768</v>
      </c>
      <c r="U561" t="s">
        <v>49</v>
      </c>
      <c r="V561" t="s">
        <v>50</v>
      </c>
      <c r="W561" t="s">
        <v>51</v>
      </c>
      <c r="Z561" s="4">
        <v>89</v>
      </c>
      <c r="AA561" s="4">
        <v>50</v>
      </c>
      <c r="AE561" s="4">
        <v>89</v>
      </c>
      <c r="AF561" s="4">
        <v>39</v>
      </c>
      <c r="AG561" s="4">
        <v>11</v>
      </c>
      <c r="AL561" s="4">
        <v>139</v>
      </c>
      <c r="AN561" s="4">
        <v>139</v>
      </c>
      <c r="AO561" s="4">
        <v>139</v>
      </c>
    </row>
    <row r="562" spans="1:41" hidden="1" x14ac:dyDescent="0.2">
      <c r="A562" t="s">
        <v>1233</v>
      </c>
      <c r="B562" t="s">
        <v>1234</v>
      </c>
      <c r="C562" s="2">
        <v>43768</v>
      </c>
      <c r="D562" s="2">
        <v>43768</v>
      </c>
      <c r="E562" s="3">
        <v>805094</v>
      </c>
      <c r="F562" t="s">
        <v>1237</v>
      </c>
      <c r="G562" t="s">
        <v>1236</v>
      </c>
      <c r="H562" t="s">
        <v>45</v>
      </c>
      <c r="I562" s="3">
        <v>10002</v>
      </c>
      <c r="J562" s="3">
        <v>1002530001</v>
      </c>
      <c r="K562" s="3">
        <v>1091016</v>
      </c>
      <c r="L562" t="s">
        <v>64</v>
      </c>
      <c r="M562" s="4">
        <v>1</v>
      </c>
      <c r="N562" t="s">
        <v>711</v>
      </c>
      <c r="O562" t="s">
        <v>485</v>
      </c>
      <c r="P562" s="4">
        <v>40.711348999999998</v>
      </c>
      <c r="Q562" s="4">
        <v>-73.996673999999999</v>
      </c>
      <c r="R562" s="4">
        <v>40.710932</v>
      </c>
      <c r="S562" s="4">
        <v>-73.995425999999995</v>
      </c>
      <c r="T562" s="2">
        <v>43768</v>
      </c>
      <c r="U562" t="s">
        <v>49</v>
      </c>
      <c r="V562" t="s">
        <v>50</v>
      </c>
      <c r="W562" t="s">
        <v>51</v>
      </c>
      <c r="Z562" s="4">
        <v>86</v>
      </c>
      <c r="AA562" s="4">
        <v>48</v>
      </c>
      <c r="AE562" s="4">
        <v>86</v>
      </c>
      <c r="AF562" s="4">
        <v>37</v>
      </c>
      <c r="AG562" s="4">
        <v>11</v>
      </c>
      <c r="AL562" s="4">
        <v>134</v>
      </c>
      <c r="AN562" s="4">
        <v>134</v>
      </c>
      <c r="AO562" s="4">
        <v>134</v>
      </c>
    </row>
    <row r="563" spans="1:41" hidden="1" x14ac:dyDescent="0.2">
      <c r="A563" t="s">
        <v>1233</v>
      </c>
      <c r="B563" t="s">
        <v>1234</v>
      </c>
      <c r="C563" s="2">
        <v>43768</v>
      </c>
      <c r="D563" s="2">
        <v>43768</v>
      </c>
      <c r="E563" s="3">
        <v>805097</v>
      </c>
      <c r="F563" t="s">
        <v>785</v>
      </c>
      <c r="G563" t="s">
        <v>1236</v>
      </c>
      <c r="H563" t="s">
        <v>45</v>
      </c>
      <c r="I563" s="3">
        <v>10002</v>
      </c>
      <c r="J563" s="3">
        <v>1002530001</v>
      </c>
      <c r="K563" s="3">
        <v>1091017</v>
      </c>
      <c r="L563" t="s">
        <v>64</v>
      </c>
      <c r="M563" s="4">
        <v>1</v>
      </c>
      <c r="N563" t="s">
        <v>711</v>
      </c>
      <c r="O563" t="s">
        <v>485</v>
      </c>
      <c r="P563" s="4">
        <v>40.711371</v>
      </c>
      <c r="Q563" s="4">
        <v>-73.996429000000006</v>
      </c>
      <c r="R563" s="4">
        <v>40.710932</v>
      </c>
      <c r="S563" s="4">
        <v>-73.995425999999995</v>
      </c>
      <c r="T563" s="2">
        <v>43768</v>
      </c>
      <c r="U563" t="s">
        <v>49</v>
      </c>
      <c r="V563" t="s">
        <v>50</v>
      </c>
      <c r="W563" t="s">
        <v>51</v>
      </c>
      <c r="Z563" s="4">
        <v>85</v>
      </c>
      <c r="AA563" s="4">
        <v>23</v>
      </c>
      <c r="AD563" s="4">
        <v>1</v>
      </c>
      <c r="AE563" s="4">
        <v>84</v>
      </c>
      <c r="AF563" s="4">
        <v>23</v>
      </c>
      <c r="AL563" s="4">
        <v>108</v>
      </c>
      <c r="AN563" s="4">
        <v>108</v>
      </c>
      <c r="AO563" s="4">
        <v>108</v>
      </c>
    </row>
    <row r="564" spans="1:41" hidden="1" x14ac:dyDescent="0.2">
      <c r="A564" t="s">
        <v>1233</v>
      </c>
      <c r="B564" t="s">
        <v>1234</v>
      </c>
      <c r="C564" s="2">
        <v>43768</v>
      </c>
      <c r="D564" s="2">
        <v>43768</v>
      </c>
      <c r="E564" s="3">
        <v>805098</v>
      </c>
      <c r="F564" t="s">
        <v>296</v>
      </c>
      <c r="G564" t="s">
        <v>1236</v>
      </c>
      <c r="H564" t="s">
        <v>45</v>
      </c>
      <c r="I564" s="3">
        <v>10002</v>
      </c>
      <c r="J564" s="3">
        <v>1002530001</v>
      </c>
      <c r="K564" s="3">
        <v>1091018</v>
      </c>
      <c r="L564" t="s">
        <v>64</v>
      </c>
      <c r="M564" s="4">
        <v>1</v>
      </c>
      <c r="N564" t="s">
        <v>711</v>
      </c>
      <c r="O564" t="s">
        <v>485</v>
      </c>
      <c r="P564" s="4">
        <v>40.711396000000001</v>
      </c>
      <c r="Q564" s="4">
        <v>-73.996187000000006</v>
      </c>
      <c r="R564" s="4">
        <v>40.710932</v>
      </c>
      <c r="S564" s="4">
        <v>-73.995425999999995</v>
      </c>
      <c r="T564" s="2">
        <v>43768</v>
      </c>
      <c r="U564" t="s">
        <v>49</v>
      </c>
      <c r="V564" t="s">
        <v>50</v>
      </c>
      <c r="W564" t="s">
        <v>51</v>
      </c>
      <c r="Z564" s="4">
        <v>86</v>
      </c>
      <c r="AA564" s="4">
        <v>48</v>
      </c>
      <c r="AD564" s="4">
        <v>6</v>
      </c>
      <c r="AE564" s="4">
        <v>80</v>
      </c>
      <c r="AF564" s="4">
        <v>36</v>
      </c>
      <c r="AG564" s="4">
        <v>12</v>
      </c>
      <c r="AL564" s="4">
        <v>134</v>
      </c>
      <c r="AN564" s="4">
        <v>134</v>
      </c>
      <c r="AO564" s="4">
        <v>134</v>
      </c>
    </row>
    <row r="565" spans="1:41" hidden="1" x14ac:dyDescent="0.2">
      <c r="A565" t="s">
        <v>1233</v>
      </c>
      <c r="B565" t="s">
        <v>1234</v>
      </c>
      <c r="C565" s="2">
        <v>43768</v>
      </c>
      <c r="D565" s="2">
        <v>43768</v>
      </c>
      <c r="E565" s="3">
        <v>805099</v>
      </c>
      <c r="F565" t="s">
        <v>457</v>
      </c>
      <c r="G565" t="s">
        <v>1236</v>
      </c>
      <c r="H565" t="s">
        <v>45</v>
      </c>
      <c r="I565" s="3">
        <v>10002</v>
      </c>
      <c r="J565" s="3">
        <v>1002530001</v>
      </c>
      <c r="K565" s="3">
        <v>1077591</v>
      </c>
      <c r="L565" t="s">
        <v>64</v>
      </c>
      <c r="M565" s="4">
        <v>1</v>
      </c>
      <c r="N565" t="s">
        <v>711</v>
      </c>
      <c r="O565" t="s">
        <v>485</v>
      </c>
      <c r="P565" s="4">
        <v>40.711511000000002</v>
      </c>
      <c r="Q565" s="4">
        <v>-73.995065999999994</v>
      </c>
      <c r="R565" s="4">
        <v>40.710932</v>
      </c>
      <c r="S565" s="4">
        <v>-73.995425999999995</v>
      </c>
      <c r="T565" s="2">
        <v>43768</v>
      </c>
      <c r="U565" t="s">
        <v>49</v>
      </c>
      <c r="V565" t="s">
        <v>50</v>
      </c>
      <c r="W565" t="s">
        <v>51</v>
      </c>
      <c r="Z565" s="4">
        <v>91</v>
      </c>
      <c r="AA565" s="4">
        <v>49</v>
      </c>
      <c r="AD565" s="4">
        <v>2</v>
      </c>
      <c r="AE565" s="4">
        <v>89</v>
      </c>
      <c r="AF565" s="4">
        <v>38</v>
      </c>
      <c r="AG565" s="4">
        <v>11</v>
      </c>
      <c r="AL565" s="4">
        <v>140</v>
      </c>
      <c r="AN565" s="4">
        <v>140</v>
      </c>
      <c r="AO565" s="4">
        <v>140</v>
      </c>
    </row>
    <row r="566" spans="1:41" hidden="1" x14ac:dyDescent="0.2">
      <c r="A566" t="s">
        <v>1233</v>
      </c>
      <c r="B566" t="s">
        <v>1234</v>
      </c>
      <c r="C566" s="2">
        <v>43768</v>
      </c>
      <c r="D566" s="2">
        <v>43768</v>
      </c>
      <c r="E566" s="3">
        <v>805100</v>
      </c>
      <c r="F566" t="s">
        <v>1238</v>
      </c>
      <c r="G566" t="s">
        <v>1236</v>
      </c>
      <c r="H566" t="s">
        <v>45</v>
      </c>
      <c r="I566" s="3">
        <v>10002</v>
      </c>
      <c r="J566" s="3">
        <v>1002530001</v>
      </c>
      <c r="K566" s="3">
        <v>1091019</v>
      </c>
      <c r="L566" t="s">
        <v>64</v>
      </c>
      <c r="M566" s="4">
        <v>1</v>
      </c>
      <c r="N566" t="s">
        <v>711</v>
      </c>
      <c r="O566" t="s">
        <v>485</v>
      </c>
      <c r="P566" s="4">
        <v>40.711516000000003</v>
      </c>
      <c r="Q566" s="4">
        <v>-73.995001000000002</v>
      </c>
      <c r="R566" s="4">
        <v>40.710932</v>
      </c>
      <c r="S566" s="4">
        <v>-73.995425999999995</v>
      </c>
      <c r="T566" s="2">
        <v>43768</v>
      </c>
      <c r="U566" t="s">
        <v>49</v>
      </c>
      <c r="V566" t="s">
        <v>50</v>
      </c>
      <c r="W566" t="s">
        <v>51</v>
      </c>
      <c r="Z566" s="4">
        <v>121</v>
      </c>
      <c r="AA566" s="4">
        <v>29</v>
      </c>
      <c r="AD566" s="4">
        <v>1</v>
      </c>
      <c r="AE566" s="4">
        <v>120</v>
      </c>
      <c r="AF566" s="4">
        <v>29</v>
      </c>
      <c r="AL566" s="4">
        <v>150</v>
      </c>
      <c r="AN566" s="4">
        <v>150</v>
      </c>
      <c r="AO566" s="4">
        <v>150</v>
      </c>
    </row>
    <row r="567" spans="1:41" hidden="1" x14ac:dyDescent="0.2">
      <c r="A567" t="s">
        <v>1233</v>
      </c>
      <c r="B567" t="s">
        <v>1234</v>
      </c>
      <c r="C567" s="2">
        <v>43768</v>
      </c>
      <c r="D567" s="2">
        <v>43768</v>
      </c>
      <c r="E567" s="3">
        <v>805101</v>
      </c>
      <c r="F567" t="s">
        <v>978</v>
      </c>
      <c r="G567" t="s">
        <v>1236</v>
      </c>
      <c r="H567" t="s">
        <v>45</v>
      </c>
      <c r="I567" s="3">
        <v>10002</v>
      </c>
      <c r="J567" s="3">
        <v>1002530001</v>
      </c>
      <c r="K567" s="3">
        <v>1091020</v>
      </c>
      <c r="L567" t="s">
        <v>64</v>
      </c>
      <c r="M567" s="4">
        <v>1</v>
      </c>
      <c r="N567" t="s">
        <v>711</v>
      </c>
      <c r="O567" t="s">
        <v>485</v>
      </c>
      <c r="P567" s="4">
        <v>40.711522000000002</v>
      </c>
      <c r="Q567" s="4">
        <v>-73.994935999999996</v>
      </c>
      <c r="R567" s="4">
        <v>40.710932</v>
      </c>
      <c r="S567" s="4">
        <v>-73.995425999999995</v>
      </c>
      <c r="T567" s="2">
        <v>43768</v>
      </c>
      <c r="U567" t="s">
        <v>49</v>
      </c>
      <c r="V567" t="s">
        <v>50</v>
      </c>
      <c r="W567" t="s">
        <v>51</v>
      </c>
      <c r="Z567" s="4">
        <v>98</v>
      </c>
      <c r="AA567" s="4">
        <v>25</v>
      </c>
      <c r="AD567" s="4">
        <v>6</v>
      </c>
      <c r="AE567" s="4">
        <v>92</v>
      </c>
      <c r="AF567" s="4">
        <v>25</v>
      </c>
      <c r="AL567" s="4">
        <v>123</v>
      </c>
      <c r="AN567" s="4">
        <v>123</v>
      </c>
      <c r="AO567" s="4">
        <v>123</v>
      </c>
    </row>
    <row r="568" spans="1:41" hidden="1" x14ac:dyDescent="0.2">
      <c r="A568" t="s">
        <v>1233</v>
      </c>
      <c r="B568" t="s">
        <v>1234</v>
      </c>
      <c r="C568" s="2">
        <v>43768</v>
      </c>
      <c r="D568" s="2">
        <v>43768</v>
      </c>
      <c r="E568" s="3">
        <v>805102</v>
      </c>
      <c r="F568" t="s">
        <v>1239</v>
      </c>
      <c r="G568" t="s">
        <v>1236</v>
      </c>
      <c r="H568" t="s">
        <v>45</v>
      </c>
      <c r="I568" s="3">
        <v>10002</v>
      </c>
      <c r="J568" s="3">
        <v>1002530001</v>
      </c>
      <c r="K568" s="3">
        <v>1091021</v>
      </c>
      <c r="L568" t="s">
        <v>64</v>
      </c>
      <c r="M568" s="4">
        <v>1</v>
      </c>
      <c r="N568" t="s">
        <v>711</v>
      </c>
      <c r="O568" t="s">
        <v>485</v>
      </c>
      <c r="P568" s="4">
        <v>40.711537999999997</v>
      </c>
      <c r="Q568" s="4">
        <v>-73.994770000000003</v>
      </c>
      <c r="R568" s="4">
        <v>40.710932</v>
      </c>
      <c r="S568" s="4">
        <v>-73.995425999999995</v>
      </c>
      <c r="T568" s="2">
        <v>43768</v>
      </c>
      <c r="U568" t="s">
        <v>49</v>
      </c>
      <c r="V568" t="s">
        <v>50</v>
      </c>
      <c r="W568" t="s">
        <v>51</v>
      </c>
      <c r="Z568" s="4">
        <v>94</v>
      </c>
      <c r="AA568" s="4">
        <v>12</v>
      </c>
      <c r="AD568" s="4">
        <v>7</v>
      </c>
      <c r="AE568" s="4">
        <v>87</v>
      </c>
      <c r="AF568" s="4">
        <v>12</v>
      </c>
      <c r="AL568" s="4">
        <v>106</v>
      </c>
      <c r="AN568" s="4">
        <v>106</v>
      </c>
      <c r="AO568" s="4">
        <v>106</v>
      </c>
    </row>
    <row r="569" spans="1:41" hidden="1" x14ac:dyDescent="0.2">
      <c r="A569" t="s">
        <v>1233</v>
      </c>
      <c r="B569" t="s">
        <v>1234</v>
      </c>
      <c r="C569" s="2">
        <v>43768</v>
      </c>
      <c r="D569" s="2">
        <v>43768</v>
      </c>
      <c r="E569" s="3">
        <v>805103</v>
      </c>
      <c r="F569" t="s">
        <v>1168</v>
      </c>
      <c r="G569" t="s">
        <v>1236</v>
      </c>
      <c r="H569" t="s">
        <v>45</v>
      </c>
      <c r="I569" s="3">
        <v>10002</v>
      </c>
      <c r="J569" s="3">
        <v>1002530001</v>
      </c>
      <c r="K569" s="3">
        <v>1091022</v>
      </c>
      <c r="L569" t="s">
        <v>64</v>
      </c>
      <c r="M569" s="4">
        <v>1</v>
      </c>
      <c r="N569" t="s">
        <v>711</v>
      </c>
      <c r="O569" t="s">
        <v>485</v>
      </c>
      <c r="P569" s="4">
        <v>40.711548999999998</v>
      </c>
      <c r="Q569" s="4">
        <v>-73.994664999999998</v>
      </c>
      <c r="R569" s="4">
        <v>40.710932</v>
      </c>
      <c r="S569" s="4">
        <v>-73.995425999999995</v>
      </c>
      <c r="T569" s="2">
        <v>43768</v>
      </c>
      <c r="U569" t="s">
        <v>49</v>
      </c>
      <c r="V569" t="s">
        <v>50</v>
      </c>
      <c r="W569" t="s">
        <v>51</v>
      </c>
      <c r="Z569" s="4">
        <v>119</v>
      </c>
      <c r="AA569" s="4">
        <v>18</v>
      </c>
      <c r="AD569" s="4">
        <v>1</v>
      </c>
      <c r="AE569" s="4">
        <v>118</v>
      </c>
      <c r="AF569" s="4">
        <v>17</v>
      </c>
      <c r="AG569" s="4">
        <v>1</v>
      </c>
      <c r="AL569" s="4">
        <v>137</v>
      </c>
      <c r="AN569" s="4">
        <v>137</v>
      </c>
      <c r="AO569" s="4">
        <v>137</v>
      </c>
    </row>
    <row r="570" spans="1:41" hidden="1" x14ac:dyDescent="0.2">
      <c r="A570" t="s">
        <v>1233</v>
      </c>
      <c r="B570" t="s">
        <v>1234</v>
      </c>
      <c r="C570" s="2">
        <v>43768</v>
      </c>
      <c r="D570" s="2">
        <v>43768</v>
      </c>
      <c r="E570" s="3">
        <v>805104</v>
      </c>
      <c r="F570" t="s">
        <v>1240</v>
      </c>
      <c r="G570" t="s">
        <v>1236</v>
      </c>
      <c r="H570" t="s">
        <v>45</v>
      </c>
      <c r="I570" s="3">
        <v>10002</v>
      </c>
      <c r="J570" s="3">
        <v>1002530001</v>
      </c>
      <c r="K570" s="3">
        <v>1091023</v>
      </c>
      <c r="L570" t="s">
        <v>64</v>
      </c>
      <c r="M570" s="4">
        <v>1</v>
      </c>
      <c r="N570" t="s">
        <v>711</v>
      </c>
      <c r="O570" t="s">
        <v>485</v>
      </c>
      <c r="P570" s="4">
        <v>40.711556999999999</v>
      </c>
      <c r="Q570" s="4">
        <v>-73.994561000000004</v>
      </c>
      <c r="R570" s="4">
        <v>40.710932</v>
      </c>
      <c r="S570" s="4">
        <v>-73.995425999999995</v>
      </c>
      <c r="T570" s="2">
        <v>43768</v>
      </c>
      <c r="U570" t="s">
        <v>49</v>
      </c>
      <c r="V570" t="s">
        <v>50</v>
      </c>
      <c r="W570" t="s">
        <v>51</v>
      </c>
      <c r="Z570" s="4">
        <v>76</v>
      </c>
      <c r="AA570" s="4">
        <v>61</v>
      </c>
      <c r="AD570" s="4">
        <v>3</v>
      </c>
      <c r="AE570" s="4">
        <v>73</v>
      </c>
      <c r="AF570" s="4">
        <v>50</v>
      </c>
      <c r="AG570" s="4">
        <v>11</v>
      </c>
      <c r="AL570" s="4">
        <v>137</v>
      </c>
      <c r="AN570" s="4">
        <v>137</v>
      </c>
      <c r="AO570" s="4">
        <v>137</v>
      </c>
    </row>
    <row r="571" spans="1:41" hidden="1" x14ac:dyDescent="0.2">
      <c r="A571" t="s">
        <v>1241</v>
      </c>
      <c r="B571" t="s">
        <v>1242</v>
      </c>
      <c r="C571" s="2">
        <v>43767</v>
      </c>
      <c r="D571" s="2">
        <v>44505</v>
      </c>
      <c r="E571" s="3">
        <v>30579</v>
      </c>
      <c r="F571" t="s">
        <v>1243</v>
      </c>
      <c r="G571" t="s">
        <v>1244</v>
      </c>
      <c r="H571" t="s">
        <v>45</v>
      </c>
      <c r="I571" s="3">
        <v>10011</v>
      </c>
      <c r="J571" s="3">
        <v>1007930032</v>
      </c>
      <c r="K571" s="3">
        <v>1078649</v>
      </c>
      <c r="L571" t="s">
        <v>78</v>
      </c>
      <c r="M571" s="4">
        <v>3</v>
      </c>
      <c r="N571" t="s">
        <v>653</v>
      </c>
      <c r="O571" t="s">
        <v>183</v>
      </c>
      <c r="P571" s="4">
        <v>40.739463000000001</v>
      </c>
      <c r="Q571" s="4">
        <v>-73.995885999999999</v>
      </c>
      <c r="R571" s="4">
        <v>40.739631000000003</v>
      </c>
      <c r="S571" s="4">
        <v>-73.995749000000004</v>
      </c>
      <c r="T571" s="2">
        <v>44505</v>
      </c>
      <c r="U571" t="s">
        <v>49</v>
      </c>
      <c r="V571" t="s">
        <v>71</v>
      </c>
      <c r="W571" t="s">
        <v>123</v>
      </c>
      <c r="Y571" s="4">
        <v>6</v>
      </c>
      <c r="Z571" s="4">
        <v>12</v>
      </c>
      <c r="AD571" s="4">
        <v>18</v>
      </c>
      <c r="AL571" s="4">
        <v>18</v>
      </c>
      <c r="AN571" s="4">
        <v>18</v>
      </c>
      <c r="AO571" s="4">
        <v>18</v>
      </c>
    </row>
    <row r="572" spans="1:41" hidden="1" x14ac:dyDescent="0.2">
      <c r="A572" t="s">
        <v>1245</v>
      </c>
      <c r="B572" t="s">
        <v>1246</v>
      </c>
      <c r="C572" s="2">
        <v>43763</v>
      </c>
      <c r="D572" s="2">
        <v>43763</v>
      </c>
      <c r="E572" s="3">
        <v>21590</v>
      </c>
      <c r="F572" t="s">
        <v>1235</v>
      </c>
      <c r="G572" t="s">
        <v>1247</v>
      </c>
      <c r="H572" t="s">
        <v>45</v>
      </c>
      <c r="I572" s="3">
        <v>10010</v>
      </c>
      <c r="J572" s="3">
        <v>1009910060</v>
      </c>
      <c r="K572" s="3">
        <v>1083706</v>
      </c>
      <c r="L572" t="s">
        <v>165</v>
      </c>
      <c r="M572" s="4">
        <v>4</v>
      </c>
      <c r="N572" t="s">
        <v>1248</v>
      </c>
      <c r="O572" t="s">
        <v>239</v>
      </c>
      <c r="P572" s="4">
        <v>40.737152000000002</v>
      </c>
      <c r="Q572" s="4">
        <v>-73.974245999999994</v>
      </c>
      <c r="R572" s="4">
        <v>40.737423999999997</v>
      </c>
      <c r="S572" s="4">
        <v>-73.973260999999994</v>
      </c>
      <c r="T572" s="2">
        <v>43763</v>
      </c>
      <c r="U572" t="s">
        <v>49</v>
      </c>
      <c r="V572" t="s">
        <v>50</v>
      </c>
      <c r="W572" t="s">
        <v>51</v>
      </c>
      <c r="X572" s="4">
        <v>1</v>
      </c>
      <c r="Z572" s="4">
        <v>2</v>
      </c>
      <c r="AA572" s="4">
        <v>27</v>
      </c>
      <c r="AB572" s="4">
        <v>67</v>
      </c>
      <c r="AD572" s="4">
        <v>15</v>
      </c>
      <c r="AE572" s="4">
        <v>33</v>
      </c>
      <c r="AF572" s="4">
        <v>41</v>
      </c>
      <c r="AG572" s="4">
        <v>8</v>
      </c>
      <c r="AL572" s="4">
        <v>97</v>
      </c>
      <c r="AN572" s="4">
        <v>97</v>
      </c>
      <c r="AO572" s="4">
        <v>360</v>
      </c>
    </row>
    <row r="573" spans="1:41" hidden="1" x14ac:dyDescent="0.2">
      <c r="A573" t="s">
        <v>1245</v>
      </c>
      <c r="B573" t="s">
        <v>1246</v>
      </c>
      <c r="C573" s="2">
        <v>43763</v>
      </c>
      <c r="D573" s="2">
        <v>43763</v>
      </c>
      <c r="E573" s="3">
        <v>805445</v>
      </c>
      <c r="F573" t="s">
        <v>296</v>
      </c>
      <c r="G573" t="s">
        <v>1247</v>
      </c>
      <c r="H573" t="s">
        <v>45</v>
      </c>
      <c r="I573" s="3">
        <v>10010</v>
      </c>
      <c r="J573" s="3">
        <v>1009910060</v>
      </c>
      <c r="K573" s="3">
        <v>1083709</v>
      </c>
      <c r="L573" t="s">
        <v>165</v>
      </c>
      <c r="M573" s="4">
        <v>4</v>
      </c>
      <c r="N573" t="s">
        <v>1248</v>
      </c>
      <c r="O573" t="s">
        <v>239</v>
      </c>
      <c r="P573" s="4">
        <v>40.737259000000002</v>
      </c>
      <c r="Q573" s="4">
        <v>-73.974159999999998</v>
      </c>
      <c r="R573" s="4">
        <v>40.737423999999997</v>
      </c>
      <c r="S573" s="4">
        <v>-73.973260999999994</v>
      </c>
      <c r="T573" s="2">
        <v>43763</v>
      </c>
      <c r="U573" t="s">
        <v>49</v>
      </c>
      <c r="V573" t="s">
        <v>50</v>
      </c>
      <c r="W573" t="s">
        <v>51</v>
      </c>
      <c r="AA573" s="4">
        <v>22</v>
      </c>
      <c r="AB573" s="4">
        <v>55</v>
      </c>
      <c r="AD573" s="4">
        <v>17</v>
      </c>
      <c r="AE573" s="4">
        <v>29</v>
      </c>
      <c r="AF573" s="4">
        <v>24</v>
      </c>
      <c r="AG573" s="4">
        <v>7</v>
      </c>
      <c r="AL573" s="4">
        <v>77</v>
      </c>
      <c r="AN573" s="4">
        <v>77</v>
      </c>
      <c r="AO573" s="4">
        <v>360</v>
      </c>
    </row>
    <row r="574" spans="1:41" hidden="1" x14ac:dyDescent="0.2">
      <c r="A574" t="s">
        <v>1245</v>
      </c>
      <c r="B574" t="s">
        <v>1246</v>
      </c>
      <c r="C574" s="2">
        <v>43763</v>
      </c>
      <c r="D574" s="2">
        <v>43763</v>
      </c>
      <c r="E574" s="3">
        <v>805446</v>
      </c>
      <c r="F574" t="s">
        <v>278</v>
      </c>
      <c r="G574" t="s">
        <v>1247</v>
      </c>
      <c r="H574" t="s">
        <v>45</v>
      </c>
      <c r="I574" s="3">
        <v>10010</v>
      </c>
      <c r="J574" s="3">
        <v>1009910060</v>
      </c>
      <c r="K574" s="3">
        <v>1083708</v>
      </c>
      <c r="L574" t="s">
        <v>165</v>
      </c>
      <c r="M574" s="4">
        <v>4</v>
      </c>
      <c r="N574" t="s">
        <v>1248</v>
      </c>
      <c r="O574" t="s">
        <v>239</v>
      </c>
      <c r="P574" s="4">
        <v>40.737369000000001</v>
      </c>
      <c r="Q574" s="4">
        <v>-73.974076999999994</v>
      </c>
      <c r="R574" s="4">
        <v>40.737423999999997</v>
      </c>
      <c r="S574" s="4">
        <v>-73.973260999999994</v>
      </c>
      <c r="T574" s="2">
        <v>43763</v>
      </c>
      <c r="U574" t="s">
        <v>49</v>
      </c>
      <c r="V574" t="s">
        <v>50</v>
      </c>
      <c r="W574" t="s">
        <v>51</v>
      </c>
      <c r="AB574" s="4">
        <v>9</v>
      </c>
      <c r="AF574" s="4">
        <v>9</v>
      </c>
      <c r="AL574" s="4">
        <v>9</v>
      </c>
      <c r="AN574" s="4">
        <v>9</v>
      </c>
      <c r="AO574" s="4">
        <v>20</v>
      </c>
    </row>
    <row r="575" spans="1:41" hidden="1" x14ac:dyDescent="0.2">
      <c r="A575" t="s">
        <v>1245</v>
      </c>
      <c r="B575" t="s">
        <v>1246</v>
      </c>
      <c r="C575" s="2">
        <v>43763</v>
      </c>
      <c r="D575" s="2">
        <v>43763</v>
      </c>
      <c r="E575" s="3">
        <v>805447</v>
      </c>
      <c r="F575" t="s">
        <v>457</v>
      </c>
      <c r="G575" t="s">
        <v>1247</v>
      </c>
      <c r="H575" t="s">
        <v>45</v>
      </c>
      <c r="I575" s="3">
        <v>10010</v>
      </c>
      <c r="J575" s="3">
        <v>1009910060</v>
      </c>
      <c r="K575" s="3">
        <v>1083710</v>
      </c>
      <c r="L575" t="s">
        <v>165</v>
      </c>
      <c r="M575" s="4">
        <v>4</v>
      </c>
      <c r="N575" t="s">
        <v>1248</v>
      </c>
      <c r="O575" t="s">
        <v>239</v>
      </c>
      <c r="P575" s="4">
        <v>40.737654999999997</v>
      </c>
      <c r="Q575" s="4">
        <v>-73.973866999999998</v>
      </c>
      <c r="R575" s="4">
        <v>40.737423999999997</v>
      </c>
      <c r="S575" s="4">
        <v>-73.973260999999994</v>
      </c>
      <c r="T575" s="2">
        <v>43763</v>
      </c>
      <c r="U575" t="s">
        <v>49</v>
      </c>
      <c r="V575" t="s">
        <v>50</v>
      </c>
      <c r="W575" t="s">
        <v>51</v>
      </c>
      <c r="X575" s="4">
        <v>1</v>
      </c>
      <c r="AA575" s="4">
        <v>27</v>
      </c>
      <c r="AB575" s="4">
        <v>70</v>
      </c>
      <c r="AD575" s="4">
        <v>17</v>
      </c>
      <c r="AE575" s="4">
        <v>37</v>
      </c>
      <c r="AF575" s="4">
        <v>37</v>
      </c>
      <c r="AG575" s="4">
        <v>7</v>
      </c>
      <c r="AL575" s="4">
        <v>98</v>
      </c>
      <c r="AN575" s="4">
        <v>98</v>
      </c>
      <c r="AO575" s="4">
        <v>365</v>
      </c>
    </row>
    <row r="576" spans="1:41" hidden="1" x14ac:dyDescent="0.2">
      <c r="A576" t="s">
        <v>1245</v>
      </c>
      <c r="B576" t="s">
        <v>1246</v>
      </c>
      <c r="C576" s="2">
        <v>43763</v>
      </c>
      <c r="D576" s="2">
        <v>43763</v>
      </c>
      <c r="E576" s="3">
        <v>805448</v>
      </c>
      <c r="F576" t="s">
        <v>1240</v>
      </c>
      <c r="G576" t="s">
        <v>1247</v>
      </c>
      <c r="H576" t="s">
        <v>45</v>
      </c>
      <c r="I576" s="3">
        <v>10010</v>
      </c>
      <c r="J576" s="3">
        <v>1009910060</v>
      </c>
      <c r="K576" s="3">
        <v>1083712</v>
      </c>
      <c r="L576" t="s">
        <v>165</v>
      </c>
      <c r="M576" s="4">
        <v>4</v>
      </c>
      <c r="N576" t="s">
        <v>1248</v>
      </c>
      <c r="O576" t="s">
        <v>239</v>
      </c>
      <c r="P576" s="4">
        <v>40.737741999999997</v>
      </c>
      <c r="Q576" s="4">
        <v>-73.973799</v>
      </c>
      <c r="R576" s="4">
        <v>40.737423999999997</v>
      </c>
      <c r="S576" s="4">
        <v>-73.973260999999994</v>
      </c>
      <c r="T576" s="2">
        <v>43763</v>
      </c>
      <c r="U576" t="s">
        <v>49</v>
      </c>
      <c r="V576" t="s">
        <v>50</v>
      </c>
      <c r="W576" t="s">
        <v>51</v>
      </c>
      <c r="X576" s="4">
        <v>2</v>
      </c>
      <c r="AA576" s="4">
        <v>27</v>
      </c>
      <c r="AB576" s="4">
        <v>19</v>
      </c>
      <c r="AD576" s="4">
        <v>4</v>
      </c>
      <c r="AE576" s="4">
        <v>13</v>
      </c>
      <c r="AF576" s="4">
        <v>19</v>
      </c>
      <c r="AG576" s="4">
        <v>12</v>
      </c>
      <c r="AL576" s="4">
        <v>48</v>
      </c>
      <c r="AN576" s="4">
        <v>48</v>
      </c>
      <c r="AO576" s="4">
        <v>366</v>
      </c>
    </row>
    <row r="577" spans="1:41" hidden="1" x14ac:dyDescent="0.2">
      <c r="A577" t="s">
        <v>1249</v>
      </c>
      <c r="B577" t="s">
        <v>1250</v>
      </c>
      <c r="C577" s="2">
        <v>43761</v>
      </c>
      <c r="D577" s="2">
        <v>43761</v>
      </c>
      <c r="E577" s="3">
        <v>382</v>
      </c>
      <c r="F577" t="s">
        <v>385</v>
      </c>
      <c r="G577" t="s">
        <v>339</v>
      </c>
      <c r="H577" t="s">
        <v>45</v>
      </c>
      <c r="I577" s="3">
        <v>10029</v>
      </c>
      <c r="J577" s="3">
        <v>1016940007</v>
      </c>
      <c r="K577" s="3">
        <v>1083932</v>
      </c>
      <c r="L577" t="s">
        <v>153</v>
      </c>
      <c r="M577" s="4">
        <v>8</v>
      </c>
      <c r="N577" t="s">
        <v>1251</v>
      </c>
      <c r="O577" t="s">
        <v>267</v>
      </c>
      <c r="P577" s="4">
        <v>40.786192</v>
      </c>
      <c r="Q577" s="4">
        <v>-73.942543000000001</v>
      </c>
      <c r="R577" s="4">
        <v>40.785876000000002</v>
      </c>
      <c r="S577" s="4">
        <v>-73.941933000000006</v>
      </c>
      <c r="T577" s="2">
        <v>43761</v>
      </c>
      <c r="U577" t="s">
        <v>49</v>
      </c>
      <c r="V577" t="s">
        <v>50</v>
      </c>
      <c r="W577" t="s">
        <v>51</v>
      </c>
      <c r="Z577" s="4">
        <v>3</v>
      </c>
      <c r="AA577" s="4">
        <v>177</v>
      </c>
      <c r="AB577" s="4">
        <v>22</v>
      </c>
      <c r="AD577" s="4">
        <v>8</v>
      </c>
      <c r="AE577" s="4">
        <v>61</v>
      </c>
      <c r="AF577" s="4">
        <v>86</v>
      </c>
      <c r="AG577" s="4">
        <v>38</v>
      </c>
      <c r="AH577" s="4">
        <v>9</v>
      </c>
      <c r="AL577" s="4">
        <v>202</v>
      </c>
      <c r="AN577" s="4">
        <v>202</v>
      </c>
      <c r="AO577" s="4">
        <v>306</v>
      </c>
    </row>
    <row r="578" spans="1:41" hidden="1" x14ac:dyDescent="0.2">
      <c r="A578" t="s">
        <v>1249</v>
      </c>
      <c r="B578" t="s">
        <v>1250</v>
      </c>
      <c r="C578" s="2">
        <v>43761</v>
      </c>
      <c r="D578" s="2">
        <v>43761</v>
      </c>
      <c r="E578" s="3">
        <v>804622</v>
      </c>
      <c r="F578" t="s">
        <v>1252</v>
      </c>
      <c r="G578" t="s">
        <v>367</v>
      </c>
      <c r="H578" t="s">
        <v>45</v>
      </c>
      <c r="I578" s="3">
        <v>10029</v>
      </c>
      <c r="J578" s="3">
        <v>1016940005</v>
      </c>
      <c r="K578" s="3">
        <v>1083931</v>
      </c>
      <c r="L578" t="s">
        <v>153</v>
      </c>
      <c r="M578" s="4">
        <v>8</v>
      </c>
      <c r="N578" t="s">
        <v>1251</v>
      </c>
      <c r="O578" t="s">
        <v>267</v>
      </c>
      <c r="P578" s="4">
        <v>40.786718</v>
      </c>
      <c r="Q578" s="4">
        <v>-73.941137999999995</v>
      </c>
      <c r="R578" s="4">
        <v>40.786430000000003</v>
      </c>
      <c r="S578" s="4">
        <v>-73.941507000000001</v>
      </c>
      <c r="T578" s="2">
        <v>43761</v>
      </c>
      <c r="U578" t="s">
        <v>49</v>
      </c>
      <c r="V578" t="s">
        <v>50</v>
      </c>
      <c r="W578" t="s">
        <v>51</v>
      </c>
      <c r="Z578" s="4">
        <v>1</v>
      </c>
      <c r="AA578" s="4">
        <v>104</v>
      </c>
      <c r="AB578" s="4">
        <v>5</v>
      </c>
      <c r="AC578" s="4">
        <v>1</v>
      </c>
      <c r="AD578" s="4">
        <v>52</v>
      </c>
      <c r="AE578" s="4">
        <v>18</v>
      </c>
      <c r="AF578" s="4">
        <v>24</v>
      </c>
      <c r="AG578" s="4">
        <v>12</v>
      </c>
      <c r="AH578" s="4">
        <v>5</v>
      </c>
      <c r="AL578" s="4">
        <v>111</v>
      </c>
      <c r="AN578" s="4">
        <v>111</v>
      </c>
      <c r="AO578" s="4">
        <v>147</v>
      </c>
    </row>
    <row r="579" spans="1:41" hidden="1" x14ac:dyDescent="0.2">
      <c r="A579" t="s">
        <v>1249</v>
      </c>
      <c r="B579" t="s">
        <v>1250</v>
      </c>
      <c r="C579" s="2">
        <v>43761</v>
      </c>
      <c r="D579" s="2">
        <v>43761</v>
      </c>
      <c r="E579" s="3">
        <v>804820</v>
      </c>
      <c r="F579" t="s">
        <v>1253</v>
      </c>
      <c r="G579" t="s">
        <v>339</v>
      </c>
      <c r="H579" t="s">
        <v>45</v>
      </c>
      <c r="I579" s="3">
        <v>10029</v>
      </c>
      <c r="J579" s="3">
        <v>1016940005</v>
      </c>
      <c r="K579" s="3">
        <v>1083931</v>
      </c>
      <c r="L579" t="s">
        <v>153</v>
      </c>
      <c r="M579" s="4">
        <v>8</v>
      </c>
      <c r="N579" t="s">
        <v>1251</v>
      </c>
      <c r="O579" t="s">
        <v>267</v>
      </c>
      <c r="P579" s="4">
        <v>40.786304999999999</v>
      </c>
      <c r="Q579" s="4">
        <v>-73.942459999999997</v>
      </c>
      <c r="R579" s="4">
        <v>40.786430000000003</v>
      </c>
      <c r="S579" s="4">
        <v>-73.941507000000001</v>
      </c>
      <c r="T579" s="2">
        <v>43761</v>
      </c>
      <c r="U579" t="s">
        <v>49</v>
      </c>
      <c r="V579" t="s">
        <v>50</v>
      </c>
      <c r="W579" t="s">
        <v>51</v>
      </c>
      <c r="Z579" s="4">
        <v>1</v>
      </c>
      <c r="AA579" s="4">
        <v>177</v>
      </c>
      <c r="AB579" s="4">
        <v>20</v>
      </c>
      <c r="AC579" s="4">
        <v>1</v>
      </c>
      <c r="AD579" s="4">
        <v>8</v>
      </c>
      <c r="AE579" s="4">
        <v>56</v>
      </c>
      <c r="AF579" s="4">
        <v>93</v>
      </c>
      <c r="AG579" s="4">
        <v>34</v>
      </c>
      <c r="AH579" s="4">
        <v>8</v>
      </c>
      <c r="AL579" s="4">
        <v>199</v>
      </c>
      <c r="AN579" s="4">
        <v>199</v>
      </c>
      <c r="AO579" s="4">
        <v>308</v>
      </c>
    </row>
    <row r="580" spans="1:41" hidden="1" x14ac:dyDescent="0.2">
      <c r="A580" t="s">
        <v>1254</v>
      </c>
      <c r="B580" t="s">
        <v>1255</v>
      </c>
      <c r="C580" s="2">
        <v>43761</v>
      </c>
      <c r="D580" s="2">
        <v>43761</v>
      </c>
      <c r="E580" s="3">
        <v>2520</v>
      </c>
      <c r="F580" t="s">
        <v>1256</v>
      </c>
      <c r="G580" t="s">
        <v>832</v>
      </c>
      <c r="H580" t="s">
        <v>45</v>
      </c>
      <c r="I580" s="3">
        <v>10029</v>
      </c>
      <c r="J580" s="3">
        <v>1016160001</v>
      </c>
      <c r="K580" s="3">
        <v>1078884</v>
      </c>
      <c r="L580" t="s">
        <v>153</v>
      </c>
      <c r="M580" s="4">
        <v>9</v>
      </c>
      <c r="N580" t="s">
        <v>774</v>
      </c>
      <c r="O580" t="s">
        <v>267</v>
      </c>
      <c r="P580" s="4">
        <v>40.797286999999997</v>
      </c>
      <c r="Q580" s="4">
        <v>-73.948915999999997</v>
      </c>
      <c r="R580" s="4">
        <v>40.796805999999997</v>
      </c>
      <c r="S580" s="4">
        <v>-73.948139999999995</v>
      </c>
      <c r="T580" s="2">
        <v>43761</v>
      </c>
      <c r="U580" t="s">
        <v>49</v>
      </c>
      <c r="V580" t="s">
        <v>50</v>
      </c>
      <c r="W580" t="s">
        <v>51</v>
      </c>
      <c r="AA580" s="4">
        <v>36</v>
      </c>
      <c r="AB580" s="4">
        <v>147</v>
      </c>
      <c r="AC580" s="4">
        <v>1</v>
      </c>
      <c r="AD580" s="4">
        <v>31</v>
      </c>
      <c r="AE580" s="4">
        <v>47</v>
      </c>
      <c r="AF580" s="4">
        <v>45</v>
      </c>
      <c r="AG580" s="4">
        <v>61</v>
      </c>
      <c r="AL580" s="4">
        <v>184</v>
      </c>
      <c r="AN580" s="4">
        <v>184</v>
      </c>
      <c r="AO580" s="4">
        <v>272</v>
      </c>
    </row>
    <row r="581" spans="1:41" hidden="1" x14ac:dyDescent="0.2">
      <c r="A581" t="s">
        <v>1254</v>
      </c>
      <c r="B581" t="s">
        <v>1255</v>
      </c>
      <c r="C581" s="2">
        <v>43761</v>
      </c>
      <c r="D581" s="2">
        <v>43761</v>
      </c>
      <c r="E581" s="3">
        <v>804791</v>
      </c>
      <c r="F581" t="s">
        <v>1257</v>
      </c>
      <c r="G581" t="s">
        <v>1258</v>
      </c>
      <c r="H581" t="s">
        <v>45</v>
      </c>
      <c r="I581" s="3">
        <v>10029</v>
      </c>
      <c r="J581" s="3">
        <v>1016160001</v>
      </c>
      <c r="K581" s="3">
        <v>1085255</v>
      </c>
      <c r="L581" t="s">
        <v>153</v>
      </c>
      <c r="M581" s="4">
        <v>9</v>
      </c>
      <c r="N581" t="s">
        <v>774</v>
      </c>
      <c r="O581" t="s">
        <v>267</v>
      </c>
      <c r="P581" s="4">
        <v>40.797151999999997</v>
      </c>
      <c r="Q581" s="4">
        <v>-73.949012999999994</v>
      </c>
      <c r="R581" s="4">
        <v>40.796805999999997</v>
      </c>
      <c r="S581" s="4">
        <v>-73.948139999999995</v>
      </c>
      <c r="T581" s="2">
        <v>43761</v>
      </c>
      <c r="U581" t="s">
        <v>49</v>
      </c>
      <c r="V581" t="s">
        <v>50</v>
      </c>
      <c r="W581" t="s">
        <v>51</v>
      </c>
      <c r="AA581" s="4">
        <v>27</v>
      </c>
      <c r="AB581" s="4">
        <v>176</v>
      </c>
      <c r="AC581" s="4">
        <v>1</v>
      </c>
      <c r="AE581" s="4">
        <v>52</v>
      </c>
      <c r="AF581" s="4">
        <v>109</v>
      </c>
      <c r="AG581" s="4">
        <v>43</v>
      </c>
      <c r="AL581" s="4">
        <v>204</v>
      </c>
      <c r="AN581" s="4">
        <v>204</v>
      </c>
      <c r="AO581" s="4">
        <v>272</v>
      </c>
    </row>
    <row r="582" spans="1:41" hidden="1" x14ac:dyDescent="0.2">
      <c r="A582" t="s">
        <v>1254</v>
      </c>
      <c r="B582" t="s">
        <v>1255</v>
      </c>
      <c r="C582" s="2">
        <v>43761</v>
      </c>
      <c r="D582" s="2">
        <v>43761</v>
      </c>
      <c r="E582" s="3">
        <v>805033</v>
      </c>
      <c r="F582" t="s">
        <v>1259</v>
      </c>
      <c r="G582" t="s">
        <v>191</v>
      </c>
      <c r="H582" t="s">
        <v>45</v>
      </c>
      <c r="I582" s="3">
        <v>10029</v>
      </c>
      <c r="J582" s="3">
        <v>1016160001</v>
      </c>
      <c r="K582" s="3">
        <v>1085254</v>
      </c>
      <c r="L582" t="s">
        <v>153</v>
      </c>
      <c r="M582" s="4">
        <v>9</v>
      </c>
      <c r="N582" t="s">
        <v>774</v>
      </c>
      <c r="O582" t="s">
        <v>267</v>
      </c>
      <c r="P582" s="4">
        <v>40.796456999999997</v>
      </c>
      <c r="Q582" s="4">
        <v>-73.947439000000003</v>
      </c>
      <c r="R582" s="4">
        <v>40.796805999999997</v>
      </c>
      <c r="S582" s="4">
        <v>-73.948139999999995</v>
      </c>
      <c r="T582" s="2">
        <v>43761</v>
      </c>
      <c r="U582" t="s">
        <v>49</v>
      </c>
      <c r="V582" t="s">
        <v>50</v>
      </c>
      <c r="W582" t="s">
        <v>51</v>
      </c>
      <c r="Z582" s="4">
        <v>1</v>
      </c>
      <c r="AA582" s="4">
        <v>2</v>
      </c>
      <c r="AB582" s="4">
        <v>13</v>
      </c>
      <c r="AH582" s="4">
        <v>9</v>
      </c>
      <c r="AI582" s="4">
        <v>7</v>
      </c>
      <c r="AL582" s="4">
        <v>16</v>
      </c>
      <c r="AN582" s="4">
        <v>16</v>
      </c>
      <c r="AO582" s="4">
        <v>56</v>
      </c>
    </row>
    <row r="583" spans="1:41" hidden="1" x14ac:dyDescent="0.2">
      <c r="A583" t="s">
        <v>1260</v>
      </c>
      <c r="B583" t="s">
        <v>1261</v>
      </c>
      <c r="C583" s="2">
        <v>43761</v>
      </c>
      <c r="D583" s="2">
        <v>43761</v>
      </c>
      <c r="E583" s="3">
        <v>19797</v>
      </c>
      <c r="F583" t="s">
        <v>1262</v>
      </c>
      <c r="G583" t="s">
        <v>334</v>
      </c>
      <c r="H583" t="s">
        <v>45</v>
      </c>
      <c r="I583" s="3">
        <v>10035</v>
      </c>
      <c r="J583" s="3">
        <v>1016450015</v>
      </c>
      <c r="K583" s="3">
        <v>1052337</v>
      </c>
      <c r="L583" t="s">
        <v>153</v>
      </c>
      <c r="M583" s="4">
        <v>8</v>
      </c>
      <c r="N583" t="s">
        <v>335</v>
      </c>
      <c r="O583" t="s">
        <v>155</v>
      </c>
      <c r="P583" s="4">
        <v>40.799672999999999</v>
      </c>
      <c r="Q583" s="4">
        <v>-73.940862999999993</v>
      </c>
      <c r="R583" s="4">
        <v>40.799720000000001</v>
      </c>
      <c r="S583" s="4">
        <v>-73.941112000000004</v>
      </c>
      <c r="T583" s="2">
        <v>43761</v>
      </c>
      <c r="U583" t="s">
        <v>49</v>
      </c>
      <c r="V583" t="s">
        <v>50</v>
      </c>
      <c r="W583" t="s">
        <v>51</v>
      </c>
      <c r="AA583" s="4">
        <v>43</v>
      </c>
      <c r="AC583" s="4">
        <v>1</v>
      </c>
      <c r="AE583" s="4">
        <v>44</v>
      </c>
      <c r="AL583" s="4">
        <v>44</v>
      </c>
      <c r="AN583" s="4">
        <v>44</v>
      </c>
      <c r="AO583" s="4">
        <v>64</v>
      </c>
    </row>
    <row r="584" spans="1:41" hidden="1" x14ac:dyDescent="0.2">
      <c r="A584" t="s">
        <v>1260</v>
      </c>
      <c r="B584" t="s">
        <v>1261</v>
      </c>
      <c r="C584" s="2">
        <v>43761</v>
      </c>
      <c r="D584" s="2">
        <v>43761</v>
      </c>
      <c r="E584" s="3">
        <v>24083</v>
      </c>
      <c r="F584" t="s">
        <v>1263</v>
      </c>
      <c r="G584" t="s">
        <v>334</v>
      </c>
      <c r="H584" t="s">
        <v>45</v>
      </c>
      <c r="I584" s="3">
        <v>10035</v>
      </c>
      <c r="J584" s="3">
        <v>1017700158</v>
      </c>
      <c r="K584" s="3">
        <v>1054407</v>
      </c>
      <c r="L584" t="s">
        <v>153</v>
      </c>
      <c r="M584" s="4">
        <v>9</v>
      </c>
      <c r="N584" t="s">
        <v>154</v>
      </c>
      <c r="O584" t="s">
        <v>155</v>
      </c>
      <c r="P584" s="4">
        <v>40.801915000000001</v>
      </c>
      <c r="Q584" s="4">
        <v>-73.939228999999997</v>
      </c>
      <c r="R584" s="4">
        <v>40.802297000000003</v>
      </c>
      <c r="S584" s="4">
        <v>-73.939676000000006</v>
      </c>
      <c r="T584" s="2">
        <v>43761</v>
      </c>
      <c r="U584" t="s">
        <v>49</v>
      </c>
      <c r="V584" t="s">
        <v>50</v>
      </c>
      <c r="W584" t="s">
        <v>51</v>
      </c>
      <c r="AA584" s="4">
        <v>228</v>
      </c>
      <c r="AB584" s="4">
        <v>1</v>
      </c>
      <c r="AC584" s="4">
        <v>1</v>
      </c>
      <c r="AE584" s="4">
        <v>2</v>
      </c>
      <c r="AF584" s="4">
        <v>149</v>
      </c>
      <c r="AG584" s="4">
        <v>73</v>
      </c>
      <c r="AH584" s="4">
        <v>6</v>
      </c>
      <c r="AL584" s="4">
        <v>230</v>
      </c>
      <c r="AN584" s="4">
        <v>230</v>
      </c>
      <c r="AO584" s="4">
        <v>341</v>
      </c>
    </row>
    <row r="585" spans="1:41" hidden="1" x14ac:dyDescent="0.2">
      <c r="A585" t="s">
        <v>1264</v>
      </c>
      <c r="B585" t="s">
        <v>1265</v>
      </c>
      <c r="C585" s="2">
        <v>43755</v>
      </c>
      <c r="D585" s="2">
        <v>45048</v>
      </c>
      <c r="E585" s="3">
        <v>3615</v>
      </c>
      <c r="F585" t="s">
        <v>1266</v>
      </c>
      <c r="G585" t="s">
        <v>255</v>
      </c>
      <c r="H585" t="s">
        <v>45</v>
      </c>
      <c r="I585" s="3">
        <v>10030</v>
      </c>
      <c r="J585" s="3">
        <v>1020300033</v>
      </c>
      <c r="K585" s="3">
        <v>1060458</v>
      </c>
      <c r="L585" t="s">
        <v>146</v>
      </c>
      <c r="M585" s="4">
        <v>9</v>
      </c>
      <c r="N585" t="s">
        <v>425</v>
      </c>
      <c r="O585" t="s">
        <v>177</v>
      </c>
      <c r="P585" s="4">
        <v>40.821306999999997</v>
      </c>
      <c r="Q585" s="4">
        <v>-73.939329999999998</v>
      </c>
      <c r="R585" s="4">
        <v>40.821438999999998</v>
      </c>
      <c r="S585" s="4">
        <v>-73.939723999999998</v>
      </c>
      <c r="T585" s="2">
        <v>44909</v>
      </c>
      <c r="U585" t="s">
        <v>49</v>
      </c>
      <c r="V585" t="s">
        <v>71</v>
      </c>
      <c r="W585" t="s">
        <v>51</v>
      </c>
      <c r="Y585" s="4">
        <v>3</v>
      </c>
      <c r="Z585" s="4">
        <v>13</v>
      </c>
      <c r="AE585" s="4">
        <v>6</v>
      </c>
      <c r="AF585" s="4">
        <v>9</v>
      </c>
      <c r="AG585" s="4">
        <v>1</v>
      </c>
      <c r="AL585" s="4">
        <v>16</v>
      </c>
      <c r="AN585" s="4">
        <v>16</v>
      </c>
      <c r="AO585" s="4">
        <v>16</v>
      </c>
    </row>
    <row r="586" spans="1:41" hidden="1" x14ac:dyDescent="0.2">
      <c r="A586" t="s">
        <v>1264</v>
      </c>
      <c r="B586" t="s">
        <v>1265</v>
      </c>
      <c r="C586" s="2">
        <v>43755</v>
      </c>
      <c r="D586" s="2">
        <v>45048</v>
      </c>
      <c r="E586" s="3">
        <v>4160</v>
      </c>
      <c r="F586" t="s">
        <v>1267</v>
      </c>
      <c r="G586" t="s">
        <v>175</v>
      </c>
      <c r="H586" t="s">
        <v>45</v>
      </c>
      <c r="I586" s="3">
        <v>10039</v>
      </c>
      <c r="J586" s="3">
        <v>1020340003</v>
      </c>
      <c r="K586" s="3">
        <v>1060550</v>
      </c>
      <c r="L586" t="s">
        <v>146</v>
      </c>
      <c r="M586" s="4">
        <v>9</v>
      </c>
      <c r="N586" t="s">
        <v>544</v>
      </c>
      <c r="O586" t="s">
        <v>177</v>
      </c>
      <c r="P586" s="4">
        <v>40.825021</v>
      </c>
      <c r="Q586" s="4">
        <v>-73.940306000000007</v>
      </c>
      <c r="R586" s="4">
        <v>40.824885999999999</v>
      </c>
      <c r="S586" s="4">
        <v>-73.940056999999996</v>
      </c>
      <c r="T586" s="2">
        <v>45041</v>
      </c>
      <c r="U586" t="s">
        <v>49</v>
      </c>
      <c r="V586" t="s">
        <v>71</v>
      </c>
      <c r="W586" t="s">
        <v>51</v>
      </c>
      <c r="Y586" s="4">
        <v>6</v>
      </c>
      <c r="Z586" s="4">
        <v>7</v>
      </c>
      <c r="AE586" s="4">
        <v>3</v>
      </c>
      <c r="AF586" s="4">
        <v>5</v>
      </c>
      <c r="AG586" s="4">
        <v>5</v>
      </c>
      <c r="AL586" s="4">
        <v>13</v>
      </c>
      <c r="AN586" s="4">
        <v>13</v>
      </c>
      <c r="AO586" s="4">
        <v>13</v>
      </c>
    </row>
    <row r="587" spans="1:41" hidden="1" x14ac:dyDescent="0.2">
      <c r="A587" t="s">
        <v>1264</v>
      </c>
      <c r="B587" t="s">
        <v>1265</v>
      </c>
      <c r="C587" s="2">
        <v>43755</v>
      </c>
      <c r="D587" s="2">
        <v>45048</v>
      </c>
      <c r="E587" s="3">
        <v>5781</v>
      </c>
      <c r="F587" t="s">
        <v>1268</v>
      </c>
      <c r="G587" t="s">
        <v>87</v>
      </c>
      <c r="H587" t="s">
        <v>45</v>
      </c>
      <c r="I587" s="3">
        <v>10032</v>
      </c>
      <c r="J587" s="3">
        <v>1021210037</v>
      </c>
      <c r="K587" s="3">
        <v>1062896</v>
      </c>
      <c r="L587" t="s">
        <v>114</v>
      </c>
      <c r="M587" s="4">
        <v>10</v>
      </c>
      <c r="N587" t="s">
        <v>133</v>
      </c>
      <c r="O587" t="s">
        <v>134</v>
      </c>
      <c r="P587" s="4">
        <v>40.837710999999999</v>
      </c>
      <c r="Q587" s="4">
        <v>-73.938497999999996</v>
      </c>
      <c r="R587" s="4">
        <v>40.837820999999998</v>
      </c>
      <c r="S587" s="4">
        <v>-73.938809000000006</v>
      </c>
      <c r="T587" s="2">
        <v>45048</v>
      </c>
      <c r="U587" t="s">
        <v>49</v>
      </c>
      <c r="V587" t="s">
        <v>71</v>
      </c>
      <c r="W587" t="s">
        <v>51</v>
      </c>
      <c r="Y587" s="4">
        <v>11</v>
      </c>
      <c r="Z587" s="4">
        <v>1</v>
      </c>
      <c r="AC587" s="4">
        <v>1</v>
      </c>
      <c r="AD587" s="4">
        <v>4</v>
      </c>
      <c r="AF587" s="4">
        <v>9</v>
      </c>
      <c r="AL587" s="4">
        <v>13</v>
      </c>
      <c r="AN587" s="4">
        <v>13</v>
      </c>
      <c r="AO587" s="4">
        <v>13</v>
      </c>
    </row>
    <row r="588" spans="1:41" hidden="1" x14ac:dyDescent="0.2">
      <c r="A588" t="s">
        <v>1264</v>
      </c>
      <c r="B588" t="s">
        <v>1265</v>
      </c>
      <c r="C588" s="2">
        <v>43755</v>
      </c>
      <c r="D588" s="2">
        <v>45048</v>
      </c>
      <c r="E588" s="3">
        <v>5813</v>
      </c>
      <c r="F588" t="s">
        <v>242</v>
      </c>
      <c r="G588" t="s">
        <v>87</v>
      </c>
      <c r="H588" t="s">
        <v>45</v>
      </c>
      <c r="I588" s="3">
        <v>10032</v>
      </c>
      <c r="J588" s="3">
        <v>1021120014</v>
      </c>
      <c r="K588" s="3">
        <v>1062675</v>
      </c>
      <c r="L588" t="s">
        <v>114</v>
      </c>
      <c r="M588" s="4">
        <v>10</v>
      </c>
      <c r="N588" t="s">
        <v>1120</v>
      </c>
      <c r="O588" t="s">
        <v>134</v>
      </c>
      <c r="P588" s="4">
        <v>40.840085000000002</v>
      </c>
      <c r="Q588" s="4">
        <v>-73.936743000000007</v>
      </c>
      <c r="R588" s="4">
        <v>40.840079000000003</v>
      </c>
      <c r="S588" s="4">
        <v>-73.936363999999998</v>
      </c>
      <c r="T588" s="2">
        <v>45048</v>
      </c>
      <c r="U588" t="s">
        <v>49</v>
      </c>
      <c r="V588" t="s">
        <v>71</v>
      </c>
      <c r="W588" t="s">
        <v>51</v>
      </c>
      <c r="Y588" s="4">
        <v>7</v>
      </c>
      <c r="Z588" s="4">
        <v>9</v>
      </c>
      <c r="AD588" s="4">
        <v>5</v>
      </c>
      <c r="AF588" s="4">
        <v>10</v>
      </c>
      <c r="AG588" s="4">
        <v>1</v>
      </c>
      <c r="AL588" s="4">
        <v>16</v>
      </c>
      <c r="AN588" s="4">
        <v>16</v>
      </c>
      <c r="AO588" s="4">
        <v>16</v>
      </c>
    </row>
    <row r="589" spans="1:41" hidden="1" x14ac:dyDescent="0.2">
      <c r="A589" t="s">
        <v>1269</v>
      </c>
      <c r="B589" t="s">
        <v>140</v>
      </c>
      <c r="C589" s="2">
        <v>43754</v>
      </c>
      <c r="D589" s="2">
        <v>43754</v>
      </c>
      <c r="F589" t="s">
        <v>141</v>
      </c>
      <c r="G589" t="s">
        <v>141</v>
      </c>
      <c r="H589" t="s">
        <v>45</v>
      </c>
      <c r="L589" t="s">
        <v>146</v>
      </c>
      <c r="M589" s="4">
        <v>9</v>
      </c>
      <c r="T589" s="2">
        <v>43754</v>
      </c>
      <c r="U589" t="s">
        <v>117</v>
      </c>
      <c r="V589" t="s">
        <v>71</v>
      </c>
      <c r="W589" t="s">
        <v>51</v>
      </c>
      <c r="Z589" s="4">
        <v>1</v>
      </c>
      <c r="AF589" s="4">
        <v>1</v>
      </c>
      <c r="AM589" s="4">
        <v>1</v>
      </c>
      <c r="AN589" s="4">
        <v>1</v>
      </c>
      <c r="AO589" s="4">
        <v>1</v>
      </c>
    </row>
    <row r="590" spans="1:41" hidden="1" x14ac:dyDescent="0.2">
      <c r="A590" t="s">
        <v>1270</v>
      </c>
      <c r="B590" t="s">
        <v>1271</v>
      </c>
      <c r="C590" s="2">
        <v>43753</v>
      </c>
      <c r="D590" s="2">
        <v>45596</v>
      </c>
      <c r="E590" s="3">
        <v>927166</v>
      </c>
      <c r="F590" t="s">
        <v>816</v>
      </c>
      <c r="G590" t="s">
        <v>1272</v>
      </c>
      <c r="H590" t="s">
        <v>45</v>
      </c>
      <c r="I590" s="3">
        <v>10009</v>
      </c>
      <c r="J590" s="3">
        <v>1003727503</v>
      </c>
      <c r="K590" s="3">
        <v>1091579</v>
      </c>
      <c r="L590" t="s">
        <v>64</v>
      </c>
      <c r="M590" s="4">
        <v>2</v>
      </c>
      <c r="N590" t="s">
        <v>1273</v>
      </c>
      <c r="O590" t="s">
        <v>197</v>
      </c>
      <c r="P590" s="4">
        <v>40.720081</v>
      </c>
      <c r="Q590" s="4">
        <v>-73.979202999999998</v>
      </c>
      <c r="R590" s="4">
        <v>40.720453999999997</v>
      </c>
      <c r="S590" s="4">
        <v>-73.979136999999994</v>
      </c>
      <c r="T590" s="2">
        <v>44834</v>
      </c>
      <c r="U590" t="s">
        <v>117</v>
      </c>
      <c r="V590" t="s">
        <v>71</v>
      </c>
      <c r="W590" t="s">
        <v>51</v>
      </c>
      <c r="X590" s="4">
        <v>8</v>
      </c>
      <c r="Y590" s="4">
        <v>7</v>
      </c>
      <c r="Z590" s="4">
        <v>14</v>
      </c>
      <c r="AA590" s="4">
        <v>15</v>
      </c>
      <c r="AC590" s="4">
        <v>1</v>
      </c>
      <c r="AD590" s="4">
        <v>13</v>
      </c>
      <c r="AE590" s="4">
        <v>19</v>
      </c>
      <c r="AF590" s="4">
        <v>13</v>
      </c>
      <c r="AL590" s="4">
        <v>45</v>
      </c>
      <c r="AN590" s="4">
        <v>45</v>
      </c>
      <c r="AO590" s="4">
        <v>45</v>
      </c>
    </row>
    <row r="591" spans="1:41" hidden="1" x14ac:dyDescent="0.2">
      <c r="A591" t="s">
        <v>1274</v>
      </c>
      <c r="B591" t="s">
        <v>1275</v>
      </c>
      <c r="C591" s="2">
        <v>43749</v>
      </c>
      <c r="D591" s="2">
        <v>44634</v>
      </c>
      <c r="E591" s="3">
        <v>23647</v>
      </c>
      <c r="F591" t="s">
        <v>1276</v>
      </c>
      <c r="G591" t="s">
        <v>274</v>
      </c>
      <c r="H591" t="s">
        <v>45</v>
      </c>
      <c r="I591" s="3">
        <v>10037</v>
      </c>
      <c r="J591" s="3">
        <v>1017360001</v>
      </c>
      <c r="K591" s="3">
        <v>1083987</v>
      </c>
      <c r="L591" t="s">
        <v>146</v>
      </c>
      <c r="M591" s="4">
        <v>9</v>
      </c>
      <c r="N591" t="s">
        <v>313</v>
      </c>
      <c r="O591" t="s">
        <v>177</v>
      </c>
      <c r="P591" s="4">
        <v>40.816237000000001</v>
      </c>
      <c r="Q591" s="4">
        <v>-73.939288000000005</v>
      </c>
      <c r="R591" s="4">
        <v>40.816178999999998</v>
      </c>
      <c r="S591" s="4">
        <v>-73.938857999999996</v>
      </c>
      <c r="T591" s="2">
        <v>44634</v>
      </c>
      <c r="U591" t="s">
        <v>49</v>
      </c>
      <c r="V591" t="s">
        <v>71</v>
      </c>
      <c r="W591" t="s">
        <v>51</v>
      </c>
      <c r="X591" s="4">
        <v>82</v>
      </c>
      <c r="Y591" s="4">
        <v>18</v>
      </c>
      <c r="Z591" s="4">
        <v>6</v>
      </c>
      <c r="AE591" s="4">
        <v>57</v>
      </c>
      <c r="AF591" s="4">
        <v>49</v>
      </c>
      <c r="AL591" s="4">
        <v>106</v>
      </c>
      <c r="AN591" s="4">
        <v>106</v>
      </c>
      <c r="AO591" s="4">
        <v>106</v>
      </c>
    </row>
    <row r="592" spans="1:41" hidden="1" x14ac:dyDescent="0.2">
      <c r="A592" t="s">
        <v>1274</v>
      </c>
      <c r="B592" t="s">
        <v>1275</v>
      </c>
      <c r="C592" s="2">
        <v>43749</v>
      </c>
      <c r="D592" s="2">
        <v>44634</v>
      </c>
      <c r="E592" s="3">
        <v>805961</v>
      </c>
      <c r="F592" t="s">
        <v>996</v>
      </c>
      <c r="G592" t="s">
        <v>221</v>
      </c>
      <c r="H592" t="s">
        <v>45</v>
      </c>
      <c r="I592" s="3">
        <v>10037</v>
      </c>
      <c r="J592" s="3">
        <v>1017360060</v>
      </c>
      <c r="K592" s="3">
        <v>1083986</v>
      </c>
      <c r="L592" t="s">
        <v>146</v>
      </c>
      <c r="M592" s="4">
        <v>9</v>
      </c>
      <c r="N592" t="s">
        <v>313</v>
      </c>
      <c r="O592" t="s">
        <v>177</v>
      </c>
      <c r="P592" s="4">
        <v>40.816102000000001</v>
      </c>
      <c r="Q592" s="4">
        <v>-73.937657999999999</v>
      </c>
      <c r="R592" s="4">
        <v>40.815857000000001</v>
      </c>
      <c r="S592" s="4">
        <v>-73.937713000000002</v>
      </c>
      <c r="T592" s="2">
        <v>44622</v>
      </c>
      <c r="U592" t="s">
        <v>49</v>
      </c>
      <c r="V592" t="s">
        <v>71</v>
      </c>
      <c r="W592" t="s">
        <v>51</v>
      </c>
      <c r="X592" s="4">
        <v>84</v>
      </c>
      <c r="Y592" s="4">
        <v>14</v>
      </c>
      <c r="Z592" s="4">
        <v>7</v>
      </c>
      <c r="AA592" s="4">
        <v>2</v>
      </c>
      <c r="AC592" s="4">
        <v>1</v>
      </c>
      <c r="AD592" s="4">
        <v>6</v>
      </c>
      <c r="AE592" s="4">
        <v>37</v>
      </c>
      <c r="AF592" s="4">
        <v>48</v>
      </c>
      <c r="AG592" s="4">
        <v>17</v>
      </c>
      <c r="AL592" s="4">
        <v>108</v>
      </c>
      <c r="AN592" s="4">
        <v>108</v>
      </c>
      <c r="AO592" s="4">
        <v>108</v>
      </c>
    </row>
    <row r="593" spans="1:41" hidden="1" x14ac:dyDescent="0.2">
      <c r="A593" t="s">
        <v>1277</v>
      </c>
      <c r="B593" t="s">
        <v>1278</v>
      </c>
      <c r="C593" s="2">
        <v>43731</v>
      </c>
      <c r="D593" s="2">
        <v>43731</v>
      </c>
      <c r="E593" s="3">
        <v>34007</v>
      </c>
      <c r="F593" t="s">
        <v>1080</v>
      </c>
      <c r="G593" t="s">
        <v>1279</v>
      </c>
      <c r="H593" t="s">
        <v>45</v>
      </c>
      <c r="I593" s="3">
        <v>10019</v>
      </c>
      <c r="J593" s="3">
        <v>1010430046</v>
      </c>
      <c r="K593" s="3">
        <v>1078897</v>
      </c>
      <c r="L593" t="s">
        <v>78</v>
      </c>
      <c r="M593" s="4">
        <v>3</v>
      </c>
      <c r="N593" t="s">
        <v>490</v>
      </c>
      <c r="O593" t="s">
        <v>80</v>
      </c>
      <c r="P593" s="4">
        <v>40.764583000000002</v>
      </c>
      <c r="Q593" s="4">
        <v>-73.985732999999996</v>
      </c>
      <c r="R593" s="4">
        <v>40.764538999999999</v>
      </c>
      <c r="S593" s="4">
        <v>-73.986198999999999</v>
      </c>
      <c r="T593" s="2">
        <v>43731</v>
      </c>
      <c r="U593" t="s">
        <v>49</v>
      </c>
      <c r="V593" t="s">
        <v>71</v>
      </c>
      <c r="W593" t="s">
        <v>51</v>
      </c>
      <c r="X593" s="4">
        <v>27</v>
      </c>
      <c r="Y593" s="4">
        <v>10</v>
      </c>
      <c r="Z593" s="4">
        <v>2</v>
      </c>
      <c r="AA593" s="4">
        <v>1</v>
      </c>
      <c r="AC593" s="4">
        <v>1</v>
      </c>
      <c r="AE593" s="4">
        <v>8</v>
      </c>
      <c r="AF593" s="4">
        <v>21</v>
      </c>
      <c r="AG593" s="4">
        <v>12</v>
      </c>
      <c r="AL593" s="4">
        <v>41</v>
      </c>
      <c r="AN593" s="4">
        <v>41</v>
      </c>
      <c r="AO593" s="4">
        <v>41</v>
      </c>
    </row>
    <row r="594" spans="1:41" hidden="1" x14ac:dyDescent="0.2">
      <c r="A594" t="s">
        <v>1280</v>
      </c>
      <c r="B594" t="s">
        <v>1281</v>
      </c>
      <c r="C594" s="2">
        <v>43714</v>
      </c>
      <c r="D594" s="2">
        <v>43756</v>
      </c>
      <c r="E594" s="3">
        <v>39938</v>
      </c>
      <c r="F594" t="s">
        <v>1282</v>
      </c>
      <c r="G594" t="s">
        <v>304</v>
      </c>
      <c r="H594" t="s">
        <v>45</v>
      </c>
      <c r="I594" s="3">
        <v>10027</v>
      </c>
      <c r="J594" s="3">
        <v>1017260132</v>
      </c>
      <c r="K594" s="3">
        <v>1089812</v>
      </c>
      <c r="L594" t="s">
        <v>146</v>
      </c>
      <c r="M594" s="4">
        <v>9</v>
      </c>
      <c r="N594" t="s">
        <v>305</v>
      </c>
      <c r="O594" t="s">
        <v>177</v>
      </c>
      <c r="P594" s="4">
        <v>40.808557999999998</v>
      </c>
      <c r="Q594" s="4">
        <v>-73.941367999999997</v>
      </c>
      <c r="R594" s="4">
        <v>40.808714999999999</v>
      </c>
      <c r="S594" s="4">
        <v>-73.941169000000002</v>
      </c>
      <c r="T594" s="2">
        <v>43756</v>
      </c>
      <c r="U594" t="s">
        <v>117</v>
      </c>
      <c r="V594" t="s">
        <v>71</v>
      </c>
      <c r="W594" t="s">
        <v>51</v>
      </c>
      <c r="AB594" s="4">
        <v>6</v>
      </c>
      <c r="AE594" s="4">
        <v>5</v>
      </c>
      <c r="AG594" s="4">
        <v>1</v>
      </c>
      <c r="AL594" s="4">
        <v>6</v>
      </c>
      <c r="AN594" s="4">
        <v>6</v>
      </c>
      <c r="AO594" s="4">
        <v>20</v>
      </c>
    </row>
    <row r="595" spans="1:41" hidden="1" x14ac:dyDescent="0.2">
      <c r="A595" t="s">
        <v>1283</v>
      </c>
      <c r="B595" t="s">
        <v>1284</v>
      </c>
      <c r="C595" s="2">
        <v>43707</v>
      </c>
      <c r="D595" s="2">
        <v>45349</v>
      </c>
      <c r="E595" s="3">
        <v>33639</v>
      </c>
      <c r="F595" t="s">
        <v>1285</v>
      </c>
      <c r="G595" t="s">
        <v>508</v>
      </c>
      <c r="H595" t="s">
        <v>45</v>
      </c>
      <c r="I595" s="3">
        <v>10036</v>
      </c>
      <c r="J595" s="3">
        <v>1010570141</v>
      </c>
      <c r="K595" s="3">
        <v>1079207</v>
      </c>
      <c r="L595" t="s">
        <v>78</v>
      </c>
      <c r="M595" s="4">
        <v>3</v>
      </c>
      <c r="N595" t="s">
        <v>56</v>
      </c>
      <c r="O595" t="s">
        <v>80</v>
      </c>
      <c r="P595" s="4">
        <v>40.762574000000001</v>
      </c>
      <c r="Q595" s="4">
        <v>-73.990686999999994</v>
      </c>
      <c r="R595" s="4">
        <v>40.762514000000003</v>
      </c>
      <c r="S595" s="4">
        <v>-73.991105000000005</v>
      </c>
      <c r="T595" s="2">
        <v>45349</v>
      </c>
      <c r="U595" t="s">
        <v>49</v>
      </c>
      <c r="V595" t="s">
        <v>71</v>
      </c>
      <c r="W595" t="s">
        <v>51</v>
      </c>
      <c r="X595" s="4">
        <v>41</v>
      </c>
      <c r="Y595" s="4">
        <v>10</v>
      </c>
      <c r="Z595" s="4">
        <v>2</v>
      </c>
      <c r="AC595" s="4">
        <v>1</v>
      </c>
      <c r="AE595" s="4">
        <v>18</v>
      </c>
      <c r="AF595" s="4">
        <v>21</v>
      </c>
      <c r="AG595" s="4">
        <v>14</v>
      </c>
      <c r="AH595" s="4">
        <v>1</v>
      </c>
      <c r="AL595" s="4">
        <v>54</v>
      </c>
      <c r="AN595" s="4">
        <v>54</v>
      </c>
      <c r="AO595" s="4">
        <v>54</v>
      </c>
    </row>
    <row r="596" spans="1:41" hidden="1" x14ac:dyDescent="0.2">
      <c r="A596" t="s">
        <v>1286</v>
      </c>
      <c r="B596" t="s">
        <v>1287</v>
      </c>
      <c r="C596" s="2">
        <v>43707</v>
      </c>
      <c r="D596" s="2">
        <v>44253</v>
      </c>
      <c r="E596" s="3">
        <v>875065</v>
      </c>
      <c r="F596" t="s">
        <v>877</v>
      </c>
      <c r="G596" t="s">
        <v>297</v>
      </c>
      <c r="H596" t="s">
        <v>45</v>
      </c>
      <c r="I596" s="3">
        <v>10027</v>
      </c>
      <c r="J596" s="3">
        <v>1019530062</v>
      </c>
      <c r="K596" s="3">
        <v>1090564</v>
      </c>
      <c r="L596" t="s">
        <v>169</v>
      </c>
      <c r="M596" s="4">
        <v>9</v>
      </c>
      <c r="N596" t="s">
        <v>187</v>
      </c>
      <c r="O596" t="s">
        <v>171</v>
      </c>
      <c r="P596" s="4">
        <v>40.812494000000001</v>
      </c>
      <c r="Q596" s="4">
        <v>-73.953243000000001</v>
      </c>
      <c r="R596" s="4">
        <v>40.812423000000003</v>
      </c>
      <c r="S596" s="4">
        <v>-73.952996999999996</v>
      </c>
      <c r="T596" s="2">
        <v>44253</v>
      </c>
      <c r="U596" t="s">
        <v>117</v>
      </c>
      <c r="V596" t="s">
        <v>71</v>
      </c>
      <c r="W596" t="s">
        <v>51</v>
      </c>
      <c r="AB596" s="4">
        <v>3</v>
      </c>
      <c r="AE596" s="4">
        <v>2</v>
      </c>
      <c r="AF596" s="4">
        <v>1</v>
      </c>
      <c r="AL596" s="4">
        <v>3</v>
      </c>
      <c r="AN596" s="4">
        <v>3</v>
      </c>
      <c r="AO596" s="4">
        <v>8</v>
      </c>
    </row>
    <row r="597" spans="1:41" hidden="1" x14ac:dyDescent="0.2">
      <c r="A597" t="s">
        <v>1288</v>
      </c>
      <c r="B597" t="s">
        <v>1289</v>
      </c>
      <c r="C597" s="2">
        <v>43705</v>
      </c>
      <c r="D597" s="2">
        <v>44097</v>
      </c>
      <c r="E597" s="3">
        <v>989790</v>
      </c>
      <c r="F597" t="s">
        <v>1115</v>
      </c>
      <c r="G597" t="s">
        <v>1290</v>
      </c>
      <c r="H597" t="s">
        <v>45</v>
      </c>
      <c r="I597" s="3">
        <v>10002</v>
      </c>
      <c r="J597" s="3">
        <v>1004100034</v>
      </c>
      <c r="K597" s="3">
        <v>1090742</v>
      </c>
      <c r="L597" t="s">
        <v>64</v>
      </c>
      <c r="M597" s="4">
        <v>1</v>
      </c>
      <c r="N597" t="s">
        <v>785</v>
      </c>
      <c r="O597" t="s">
        <v>66</v>
      </c>
      <c r="P597" s="4">
        <v>40.719448</v>
      </c>
      <c r="Q597" s="4">
        <v>-73.989542</v>
      </c>
      <c r="R597" s="4">
        <v>40.719267000000002</v>
      </c>
      <c r="S597" s="4">
        <v>-73.989495000000005</v>
      </c>
      <c r="T597" s="2">
        <v>44097</v>
      </c>
      <c r="U597" t="s">
        <v>117</v>
      </c>
      <c r="V597" t="s">
        <v>71</v>
      </c>
      <c r="W597" t="s">
        <v>51</v>
      </c>
      <c r="Z597" s="4">
        <v>3</v>
      </c>
      <c r="AB597" s="4">
        <v>6</v>
      </c>
      <c r="AE597" s="4">
        <v>8</v>
      </c>
      <c r="AG597" s="4">
        <v>1</v>
      </c>
      <c r="AL597" s="4">
        <v>9</v>
      </c>
      <c r="AN597" s="4">
        <v>9</v>
      </c>
      <c r="AO597" s="4">
        <v>29</v>
      </c>
    </row>
    <row r="598" spans="1:41" hidden="1" x14ac:dyDescent="0.2">
      <c r="A598" t="s">
        <v>1291</v>
      </c>
      <c r="B598" t="s">
        <v>1292</v>
      </c>
      <c r="C598" s="2">
        <v>43677</v>
      </c>
      <c r="D598" s="2">
        <v>44007</v>
      </c>
      <c r="E598" s="3">
        <v>980593</v>
      </c>
      <c r="F598" t="s">
        <v>1293</v>
      </c>
      <c r="G598" t="s">
        <v>106</v>
      </c>
      <c r="H598" t="s">
        <v>45</v>
      </c>
      <c r="I598" s="3">
        <v>10035</v>
      </c>
      <c r="J598" s="3">
        <v>1016890001</v>
      </c>
      <c r="K598" s="3">
        <v>1052983</v>
      </c>
      <c r="L598" t="s">
        <v>153</v>
      </c>
      <c r="M598" s="4">
        <v>8</v>
      </c>
      <c r="N598" t="s">
        <v>290</v>
      </c>
      <c r="O598" t="s">
        <v>155</v>
      </c>
      <c r="P598" s="4">
        <v>40.797818999999997</v>
      </c>
      <c r="Q598" s="4">
        <v>-73.937166000000005</v>
      </c>
      <c r="R598" s="4">
        <v>40.797659000000003</v>
      </c>
      <c r="S598" s="4">
        <v>-73.936927999999995</v>
      </c>
      <c r="T598" s="2">
        <v>44007</v>
      </c>
      <c r="U598" t="s">
        <v>117</v>
      </c>
      <c r="V598" t="s">
        <v>71</v>
      </c>
      <c r="W598" t="s">
        <v>51</v>
      </c>
      <c r="AB598" s="4">
        <v>4</v>
      </c>
      <c r="AE598" s="4">
        <v>2</v>
      </c>
      <c r="AF598" s="4">
        <v>2</v>
      </c>
      <c r="AL598" s="4">
        <v>4</v>
      </c>
      <c r="AN598" s="4">
        <v>4</v>
      </c>
      <c r="AO598" s="4">
        <v>12</v>
      </c>
    </row>
    <row r="599" spans="1:41" hidden="1" x14ac:dyDescent="0.2">
      <c r="A599" t="s">
        <v>1294</v>
      </c>
      <c r="B599" t="s">
        <v>1295</v>
      </c>
      <c r="C599" s="2">
        <v>43668</v>
      </c>
      <c r="D599" s="2">
        <v>43668</v>
      </c>
      <c r="E599" s="3">
        <v>19955</v>
      </c>
      <c r="F599" t="s">
        <v>55</v>
      </c>
      <c r="G599" t="s">
        <v>363</v>
      </c>
      <c r="H599" t="s">
        <v>45</v>
      </c>
      <c r="I599" s="3">
        <v>10035</v>
      </c>
      <c r="J599" s="3">
        <v>1017670011</v>
      </c>
      <c r="K599" s="3">
        <v>1054346</v>
      </c>
      <c r="L599" t="s">
        <v>153</v>
      </c>
      <c r="M599" s="4">
        <v>9</v>
      </c>
      <c r="N599" t="s">
        <v>335</v>
      </c>
      <c r="O599" t="s">
        <v>155</v>
      </c>
      <c r="P599" s="4">
        <v>40.800206000000003</v>
      </c>
      <c r="Q599" s="4">
        <v>-73.941295999999994</v>
      </c>
      <c r="R599" s="4">
        <v>40.800353999999999</v>
      </c>
      <c r="S599" s="4">
        <v>-73.941085999999999</v>
      </c>
      <c r="T599" s="2">
        <v>43668</v>
      </c>
      <c r="U599" t="s">
        <v>49</v>
      </c>
      <c r="V599" t="s">
        <v>50</v>
      </c>
      <c r="W599" t="s">
        <v>51</v>
      </c>
      <c r="X599" s="4">
        <v>15</v>
      </c>
      <c r="Y599" s="4">
        <v>2</v>
      </c>
      <c r="Z599" s="4">
        <v>3</v>
      </c>
      <c r="AA599" s="4">
        <v>3</v>
      </c>
      <c r="AC599" s="4">
        <v>1</v>
      </c>
      <c r="AE599" s="4">
        <v>2</v>
      </c>
      <c r="AF599" s="4">
        <v>16</v>
      </c>
      <c r="AG599" s="4">
        <v>6</v>
      </c>
      <c r="AL599" s="4">
        <v>24</v>
      </c>
      <c r="AN599" s="4">
        <v>24</v>
      </c>
      <c r="AO599" s="4">
        <v>24</v>
      </c>
    </row>
    <row r="600" spans="1:41" hidden="1" x14ac:dyDescent="0.2">
      <c r="A600" t="s">
        <v>1294</v>
      </c>
      <c r="B600" t="s">
        <v>1295</v>
      </c>
      <c r="C600" s="2">
        <v>43668</v>
      </c>
      <c r="D600" s="2">
        <v>43668</v>
      </c>
      <c r="E600" s="3">
        <v>19959</v>
      </c>
      <c r="F600" t="s">
        <v>573</v>
      </c>
      <c r="G600" t="s">
        <v>363</v>
      </c>
      <c r="H600" t="s">
        <v>45</v>
      </c>
      <c r="I600" s="3">
        <v>10035</v>
      </c>
      <c r="J600" s="3">
        <v>1017670022</v>
      </c>
      <c r="K600" s="3">
        <v>1054349</v>
      </c>
      <c r="L600" t="s">
        <v>153</v>
      </c>
      <c r="M600" s="4">
        <v>8</v>
      </c>
      <c r="N600" t="s">
        <v>335</v>
      </c>
      <c r="O600" t="s">
        <v>155</v>
      </c>
      <c r="P600" s="4">
        <v>40.799818999999999</v>
      </c>
      <c r="Q600" s="4">
        <v>-73.940371999999996</v>
      </c>
      <c r="R600" s="4">
        <v>40.799953000000002</v>
      </c>
      <c r="S600" s="4">
        <v>-73.940136999999993</v>
      </c>
      <c r="T600" s="2">
        <v>43668</v>
      </c>
      <c r="U600" t="s">
        <v>49</v>
      </c>
      <c r="V600" t="s">
        <v>50</v>
      </c>
      <c r="W600" t="s">
        <v>51</v>
      </c>
      <c r="X600" s="4">
        <v>29</v>
      </c>
      <c r="Y600" s="4">
        <v>9</v>
      </c>
      <c r="Z600" s="4">
        <v>3</v>
      </c>
      <c r="AC600" s="4">
        <v>1</v>
      </c>
      <c r="AE600" s="4">
        <v>6</v>
      </c>
      <c r="AF600" s="4">
        <v>26</v>
      </c>
      <c r="AG600" s="4">
        <v>5</v>
      </c>
      <c r="AH600" s="4">
        <v>5</v>
      </c>
      <c r="AL600" s="4">
        <v>42</v>
      </c>
      <c r="AN600" s="4">
        <v>42</v>
      </c>
      <c r="AO600" s="4">
        <v>42</v>
      </c>
    </row>
    <row r="601" spans="1:41" hidden="1" x14ac:dyDescent="0.2">
      <c r="A601" t="s">
        <v>1294</v>
      </c>
      <c r="B601" t="s">
        <v>1295</v>
      </c>
      <c r="C601" s="2">
        <v>43668</v>
      </c>
      <c r="D601" s="2">
        <v>43668</v>
      </c>
      <c r="E601" s="3">
        <v>20122</v>
      </c>
      <c r="F601" t="s">
        <v>430</v>
      </c>
      <c r="G601" t="s">
        <v>1296</v>
      </c>
      <c r="H601" t="s">
        <v>45</v>
      </c>
      <c r="I601" s="3">
        <v>10035</v>
      </c>
      <c r="J601" s="3">
        <v>1017680009</v>
      </c>
      <c r="K601" s="3">
        <v>1054366</v>
      </c>
      <c r="L601" t="s">
        <v>153</v>
      </c>
      <c r="M601" s="4">
        <v>9</v>
      </c>
      <c r="N601" t="s">
        <v>154</v>
      </c>
      <c r="O601" t="s">
        <v>155</v>
      </c>
      <c r="P601" s="4">
        <v>40.800888999999998</v>
      </c>
      <c r="Q601" s="4">
        <v>-73.940969999999993</v>
      </c>
      <c r="R601" s="4">
        <v>40.801057</v>
      </c>
      <c r="S601" s="4">
        <v>-73.940800999999993</v>
      </c>
      <c r="T601" s="2">
        <v>43668</v>
      </c>
      <c r="U601" t="s">
        <v>49</v>
      </c>
      <c r="V601" t="s">
        <v>50</v>
      </c>
      <c r="W601" t="s">
        <v>51</v>
      </c>
      <c r="X601" s="4">
        <v>7</v>
      </c>
      <c r="Z601" s="4">
        <v>1</v>
      </c>
      <c r="AA601" s="4">
        <v>1</v>
      </c>
      <c r="AE601" s="4">
        <v>2</v>
      </c>
      <c r="AF601" s="4">
        <v>1</v>
      </c>
      <c r="AG601" s="4">
        <v>6</v>
      </c>
      <c r="AL601" s="4">
        <v>9</v>
      </c>
      <c r="AN601" s="4">
        <v>9</v>
      </c>
      <c r="AO601" s="4">
        <v>9</v>
      </c>
    </row>
    <row r="602" spans="1:41" hidden="1" x14ac:dyDescent="0.2">
      <c r="A602" t="s">
        <v>1294</v>
      </c>
      <c r="B602" t="s">
        <v>1295</v>
      </c>
      <c r="C602" s="2">
        <v>43668</v>
      </c>
      <c r="D602" s="2">
        <v>43668</v>
      </c>
      <c r="E602" s="3">
        <v>20123</v>
      </c>
      <c r="F602" t="s">
        <v>55</v>
      </c>
      <c r="G602" t="s">
        <v>1296</v>
      </c>
      <c r="H602" t="s">
        <v>45</v>
      </c>
      <c r="I602" s="3">
        <v>10035</v>
      </c>
      <c r="J602" s="3">
        <v>1017680011</v>
      </c>
      <c r="K602" s="3">
        <v>1054367</v>
      </c>
      <c r="L602" t="s">
        <v>153</v>
      </c>
      <c r="M602" s="4">
        <v>9</v>
      </c>
      <c r="N602" t="s">
        <v>154</v>
      </c>
      <c r="O602" t="s">
        <v>155</v>
      </c>
      <c r="P602" s="4">
        <v>40.800848000000002</v>
      </c>
      <c r="Q602" s="4">
        <v>-73.940872999999996</v>
      </c>
      <c r="R602" s="4">
        <v>40.801015999999997</v>
      </c>
      <c r="S602" s="4">
        <v>-73.940707000000003</v>
      </c>
      <c r="T602" s="2">
        <v>43668</v>
      </c>
      <c r="U602" t="s">
        <v>49</v>
      </c>
      <c r="V602" t="s">
        <v>50</v>
      </c>
      <c r="W602" t="s">
        <v>51</v>
      </c>
      <c r="X602" s="4">
        <v>2</v>
      </c>
      <c r="Y602" s="4">
        <v>1</v>
      </c>
      <c r="Z602" s="4">
        <v>1</v>
      </c>
      <c r="AF602" s="4">
        <v>1</v>
      </c>
      <c r="AG602" s="4">
        <v>3</v>
      </c>
      <c r="AL602" s="4">
        <v>4</v>
      </c>
      <c r="AN602" s="4">
        <v>4</v>
      </c>
      <c r="AO602" s="4">
        <v>4</v>
      </c>
    </row>
    <row r="603" spans="1:41" hidden="1" x14ac:dyDescent="0.2">
      <c r="A603" t="s">
        <v>1294</v>
      </c>
      <c r="B603" t="s">
        <v>1295</v>
      </c>
      <c r="C603" s="2">
        <v>43668</v>
      </c>
      <c r="D603" s="2">
        <v>43668</v>
      </c>
      <c r="E603" s="3">
        <v>20127</v>
      </c>
      <c r="F603" t="s">
        <v>468</v>
      </c>
      <c r="G603" t="s">
        <v>1296</v>
      </c>
      <c r="H603" t="s">
        <v>45</v>
      </c>
      <c r="I603" s="3">
        <v>10035</v>
      </c>
      <c r="J603" s="3">
        <v>1017670047</v>
      </c>
      <c r="K603" s="3">
        <v>1054357</v>
      </c>
      <c r="L603" t="s">
        <v>153</v>
      </c>
      <c r="M603" s="4">
        <v>8</v>
      </c>
      <c r="N603" t="s">
        <v>335</v>
      </c>
      <c r="O603" t="s">
        <v>155</v>
      </c>
      <c r="P603" s="4">
        <v>40.800282000000003</v>
      </c>
      <c r="Q603" s="4">
        <v>-73.939559000000003</v>
      </c>
      <c r="R603" s="4">
        <v>40.800136999999999</v>
      </c>
      <c r="S603" s="4">
        <v>-73.939803999999995</v>
      </c>
      <c r="T603" s="2">
        <v>43668</v>
      </c>
      <c r="U603" t="s">
        <v>49</v>
      </c>
      <c r="V603" t="s">
        <v>50</v>
      </c>
      <c r="W603" t="s">
        <v>51</v>
      </c>
      <c r="X603" s="4">
        <v>14</v>
      </c>
      <c r="Y603" s="4">
        <v>5</v>
      </c>
      <c r="Z603" s="4">
        <v>3</v>
      </c>
      <c r="AA603" s="4">
        <v>2</v>
      </c>
      <c r="AF603" s="4">
        <v>24</v>
      </c>
      <c r="AL603" s="4">
        <v>24</v>
      </c>
      <c r="AN603" s="4">
        <v>24</v>
      </c>
      <c r="AO603" s="4">
        <v>24</v>
      </c>
    </row>
    <row r="604" spans="1:41" hidden="1" x14ac:dyDescent="0.2">
      <c r="A604" t="s">
        <v>1294</v>
      </c>
      <c r="B604" t="s">
        <v>1295</v>
      </c>
      <c r="C604" s="2">
        <v>43668</v>
      </c>
      <c r="D604" s="2">
        <v>43668</v>
      </c>
      <c r="E604" s="3">
        <v>20136</v>
      </c>
      <c r="F604" t="s">
        <v>313</v>
      </c>
      <c r="G604" t="s">
        <v>1296</v>
      </c>
      <c r="H604" t="s">
        <v>45</v>
      </c>
      <c r="I604" s="3">
        <v>10035</v>
      </c>
      <c r="J604" s="3">
        <v>1017830041</v>
      </c>
      <c r="K604" s="3">
        <v>1054540</v>
      </c>
      <c r="L604" t="s">
        <v>153</v>
      </c>
      <c r="M604" s="4">
        <v>8</v>
      </c>
      <c r="N604" t="s">
        <v>290</v>
      </c>
      <c r="O604" t="s">
        <v>155</v>
      </c>
      <c r="P604" s="4">
        <v>40.799658000000001</v>
      </c>
      <c r="Q604" s="4">
        <v>-73.938059999999993</v>
      </c>
      <c r="R604" s="4">
        <v>40.799343</v>
      </c>
      <c r="S604" s="4">
        <v>-73.937916000000001</v>
      </c>
      <c r="T604" s="2">
        <v>43668</v>
      </c>
      <c r="U604" t="s">
        <v>49</v>
      </c>
      <c r="V604" t="s">
        <v>50</v>
      </c>
      <c r="W604" t="s">
        <v>51</v>
      </c>
      <c r="X604" s="4">
        <v>14</v>
      </c>
      <c r="Y604" s="4">
        <v>9</v>
      </c>
      <c r="Z604" s="4">
        <v>3</v>
      </c>
      <c r="AA604" s="4">
        <v>2</v>
      </c>
      <c r="AC604" s="4">
        <v>1</v>
      </c>
      <c r="AE604" s="4">
        <v>5</v>
      </c>
      <c r="AF604" s="4">
        <v>12</v>
      </c>
      <c r="AG604" s="4">
        <v>12</v>
      </c>
      <c r="AL604" s="4">
        <v>29</v>
      </c>
      <c r="AN604" s="4">
        <v>29</v>
      </c>
      <c r="AO604" s="4">
        <v>29</v>
      </c>
    </row>
    <row r="605" spans="1:41" hidden="1" x14ac:dyDescent="0.2">
      <c r="A605" t="s">
        <v>1294</v>
      </c>
      <c r="B605" t="s">
        <v>1295</v>
      </c>
      <c r="C605" s="2">
        <v>43668</v>
      </c>
      <c r="D605" s="2">
        <v>43668</v>
      </c>
      <c r="E605" s="3">
        <v>20374</v>
      </c>
      <c r="F605" t="s">
        <v>433</v>
      </c>
      <c r="G605" t="s">
        <v>677</v>
      </c>
      <c r="H605" t="s">
        <v>45</v>
      </c>
      <c r="I605" s="3">
        <v>10035</v>
      </c>
      <c r="J605" s="3">
        <v>1017710014</v>
      </c>
      <c r="K605" s="3">
        <v>1054412</v>
      </c>
      <c r="L605" t="s">
        <v>153</v>
      </c>
      <c r="M605" s="4">
        <v>9</v>
      </c>
      <c r="N605" t="s">
        <v>154</v>
      </c>
      <c r="O605" t="s">
        <v>155</v>
      </c>
      <c r="P605" s="4">
        <v>40.802612000000003</v>
      </c>
      <c r="Q605" s="4">
        <v>-73.939203000000006</v>
      </c>
      <c r="R605" s="4">
        <v>40.802748999999999</v>
      </c>
      <c r="S605" s="4">
        <v>-73.938974999999999</v>
      </c>
      <c r="T605" s="2">
        <v>43668</v>
      </c>
      <c r="U605" t="s">
        <v>49</v>
      </c>
      <c r="V605" t="s">
        <v>50</v>
      </c>
      <c r="W605" t="s">
        <v>51</v>
      </c>
      <c r="X605" s="4">
        <v>15</v>
      </c>
      <c r="Y605" s="4">
        <v>4</v>
      </c>
      <c r="AB605" s="4">
        <v>1</v>
      </c>
      <c r="AC605" s="4">
        <v>1</v>
      </c>
      <c r="AD605" s="4">
        <v>1</v>
      </c>
      <c r="AE605" s="4">
        <v>1</v>
      </c>
      <c r="AF605" s="4">
        <v>4</v>
      </c>
      <c r="AG605" s="4">
        <v>11</v>
      </c>
      <c r="AH605" s="4">
        <v>4</v>
      </c>
      <c r="AL605" s="4">
        <v>21</v>
      </c>
      <c r="AN605" s="4">
        <v>21</v>
      </c>
      <c r="AO605" s="4">
        <v>21</v>
      </c>
    </row>
    <row r="606" spans="1:41" hidden="1" x14ac:dyDescent="0.2">
      <c r="A606" t="s">
        <v>1294</v>
      </c>
      <c r="B606" t="s">
        <v>1295</v>
      </c>
      <c r="C606" s="2">
        <v>43668</v>
      </c>
      <c r="D606" s="2">
        <v>43668</v>
      </c>
      <c r="E606" s="3">
        <v>24091</v>
      </c>
      <c r="F606" t="s">
        <v>1297</v>
      </c>
      <c r="G606" t="s">
        <v>334</v>
      </c>
      <c r="H606" t="s">
        <v>45</v>
      </c>
      <c r="I606" s="3">
        <v>10035</v>
      </c>
      <c r="J606" s="3">
        <v>1017710056</v>
      </c>
      <c r="K606" s="3">
        <v>1076464</v>
      </c>
      <c r="L606" t="s">
        <v>153</v>
      </c>
      <c r="M606" s="4">
        <v>9</v>
      </c>
      <c r="N606" t="s">
        <v>154</v>
      </c>
      <c r="O606" t="s">
        <v>155</v>
      </c>
      <c r="P606" s="4">
        <v>40.802667</v>
      </c>
      <c r="Q606" s="4">
        <v>-73.938678999999993</v>
      </c>
      <c r="R606" s="4">
        <v>40.802971999999997</v>
      </c>
      <c r="S606" s="4">
        <v>-73.938728999999995</v>
      </c>
      <c r="T606" s="2">
        <v>43668</v>
      </c>
      <c r="U606" t="s">
        <v>49</v>
      </c>
      <c r="V606" t="s">
        <v>50</v>
      </c>
      <c r="W606" t="s">
        <v>51</v>
      </c>
      <c r="X606" s="4">
        <v>23</v>
      </c>
      <c r="Y606" s="4">
        <v>5</v>
      </c>
      <c r="AA606" s="4">
        <v>3</v>
      </c>
      <c r="AE606" s="4">
        <v>14</v>
      </c>
      <c r="AF606" s="4">
        <v>15</v>
      </c>
      <c r="AG606" s="4">
        <v>1</v>
      </c>
      <c r="AH606" s="4">
        <v>1</v>
      </c>
      <c r="AL606" s="4">
        <v>31</v>
      </c>
      <c r="AN606" s="4">
        <v>31</v>
      </c>
      <c r="AO606" s="4">
        <v>31</v>
      </c>
    </row>
    <row r="607" spans="1:41" hidden="1" x14ac:dyDescent="0.2">
      <c r="A607" t="s">
        <v>1294</v>
      </c>
      <c r="B607" t="s">
        <v>1295</v>
      </c>
      <c r="C607" s="2">
        <v>43668</v>
      </c>
      <c r="D607" s="2">
        <v>43668</v>
      </c>
      <c r="E607" s="3">
        <v>804679</v>
      </c>
      <c r="F607" t="s">
        <v>432</v>
      </c>
      <c r="G607" t="s">
        <v>1296</v>
      </c>
      <c r="H607" t="s">
        <v>45</v>
      </c>
      <c r="I607" s="3">
        <v>10035</v>
      </c>
      <c r="J607" s="3">
        <v>1017670052</v>
      </c>
      <c r="K607" s="3">
        <v>1085299</v>
      </c>
      <c r="L607" t="s">
        <v>153</v>
      </c>
      <c r="M607" s="4">
        <v>8</v>
      </c>
      <c r="N607" t="s">
        <v>335</v>
      </c>
      <c r="O607" t="s">
        <v>155</v>
      </c>
      <c r="P607" s="4">
        <v>40.800356000000001</v>
      </c>
      <c r="Q607" s="4">
        <v>-73.939739000000003</v>
      </c>
      <c r="R607" s="4">
        <v>40.800246999999999</v>
      </c>
      <c r="S607" s="4">
        <v>-73.940061</v>
      </c>
      <c r="T607" s="2">
        <v>43668</v>
      </c>
      <c r="U607" t="s">
        <v>49</v>
      </c>
      <c r="V607" t="s">
        <v>50</v>
      </c>
      <c r="W607" t="s">
        <v>51</v>
      </c>
      <c r="X607" s="4">
        <v>31</v>
      </c>
      <c r="Y607" s="4">
        <v>7</v>
      </c>
      <c r="Z607" s="4">
        <v>4</v>
      </c>
      <c r="AA607" s="4">
        <v>1</v>
      </c>
      <c r="AB607" s="4">
        <v>1</v>
      </c>
      <c r="AC607" s="4">
        <v>1</v>
      </c>
      <c r="AE607" s="4">
        <v>14</v>
      </c>
      <c r="AF607" s="4">
        <v>19</v>
      </c>
      <c r="AH607" s="4">
        <v>12</v>
      </c>
      <c r="AL607" s="4">
        <v>45</v>
      </c>
      <c r="AN607" s="4">
        <v>45</v>
      </c>
      <c r="AO607" s="4">
        <v>45</v>
      </c>
    </row>
    <row r="608" spans="1:41" hidden="1" x14ac:dyDescent="0.2">
      <c r="A608" t="s">
        <v>1298</v>
      </c>
      <c r="B608" t="s">
        <v>1299</v>
      </c>
      <c r="C608" s="2">
        <v>43663</v>
      </c>
      <c r="D608" s="2">
        <v>45149</v>
      </c>
      <c r="E608" s="3">
        <v>40881</v>
      </c>
      <c r="F608" t="s">
        <v>440</v>
      </c>
      <c r="G608" t="s">
        <v>702</v>
      </c>
      <c r="H608" t="s">
        <v>45</v>
      </c>
      <c r="I608" s="3">
        <v>10030</v>
      </c>
      <c r="J608" s="3">
        <v>1019420118</v>
      </c>
      <c r="K608" s="3">
        <v>1058989</v>
      </c>
      <c r="L608" t="s">
        <v>146</v>
      </c>
      <c r="M608" s="4">
        <v>9</v>
      </c>
      <c r="N608" t="s">
        <v>322</v>
      </c>
      <c r="O608" t="s">
        <v>177</v>
      </c>
      <c r="P608" s="4">
        <v>40.816423</v>
      </c>
      <c r="Q608" s="4">
        <v>-73.944250999999994</v>
      </c>
      <c r="R608" s="4">
        <v>40.816701000000002</v>
      </c>
      <c r="S608" s="4">
        <v>-73.944351999999995</v>
      </c>
      <c r="T608" s="2">
        <v>45149</v>
      </c>
      <c r="U608" t="s">
        <v>117</v>
      </c>
      <c r="V608" t="s">
        <v>71</v>
      </c>
      <c r="W608" t="s">
        <v>51</v>
      </c>
      <c r="AB608" s="4">
        <v>3</v>
      </c>
      <c r="AE608" s="4">
        <v>3</v>
      </c>
      <c r="AL608" s="4">
        <v>3</v>
      </c>
      <c r="AN608" s="4">
        <v>3</v>
      </c>
      <c r="AO608" s="4">
        <v>8</v>
      </c>
    </row>
    <row r="609" spans="1:41" hidden="1" x14ac:dyDescent="0.2">
      <c r="A609" t="s">
        <v>1300</v>
      </c>
      <c r="B609" t="s">
        <v>1301</v>
      </c>
      <c r="C609" s="2">
        <v>43657</v>
      </c>
      <c r="D609" s="2">
        <v>44188</v>
      </c>
      <c r="E609" s="3">
        <v>3582</v>
      </c>
      <c r="F609" t="s">
        <v>1302</v>
      </c>
      <c r="G609" t="s">
        <v>255</v>
      </c>
      <c r="H609" t="s">
        <v>45</v>
      </c>
      <c r="I609" s="3">
        <v>10030</v>
      </c>
      <c r="J609" s="3">
        <v>1020087501</v>
      </c>
      <c r="K609" s="3">
        <v>1075486</v>
      </c>
      <c r="L609" t="s">
        <v>146</v>
      </c>
      <c r="M609" s="4">
        <v>9</v>
      </c>
      <c r="N609" t="s">
        <v>222</v>
      </c>
      <c r="O609" t="s">
        <v>177</v>
      </c>
      <c r="P609" s="4">
        <v>40.818351999999997</v>
      </c>
      <c r="Q609" s="4">
        <v>-73.941463999999996</v>
      </c>
      <c r="R609" s="4">
        <v>40.818112999999997</v>
      </c>
      <c r="S609" s="4">
        <v>-73.941142999999997</v>
      </c>
      <c r="T609" s="2">
        <v>44188</v>
      </c>
      <c r="U609" t="s">
        <v>117</v>
      </c>
      <c r="V609" t="s">
        <v>71</v>
      </c>
      <c r="W609" t="s">
        <v>51</v>
      </c>
      <c r="AB609" s="4">
        <v>18</v>
      </c>
      <c r="AE609" s="4">
        <v>16</v>
      </c>
      <c r="AF609" s="4">
        <v>2</v>
      </c>
      <c r="AL609" s="4">
        <v>18</v>
      </c>
      <c r="AN609" s="4">
        <v>18</v>
      </c>
      <c r="AO609" s="4">
        <v>58</v>
      </c>
    </row>
    <row r="610" spans="1:41" hidden="1" x14ac:dyDescent="0.2">
      <c r="A610" t="s">
        <v>1303</v>
      </c>
      <c r="B610" t="s">
        <v>1304</v>
      </c>
      <c r="C610" s="2">
        <v>43648</v>
      </c>
      <c r="D610" s="2">
        <v>44712</v>
      </c>
      <c r="E610" s="3">
        <v>8083</v>
      </c>
      <c r="F610" t="s">
        <v>207</v>
      </c>
      <c r="G610" t="s">
        <v>389</v>
      </c>
      <c r="H610" t="s">
        <v>45</v>
      </c>
      <c r="I610" s="3">
        <v>10031</v>
      </c>
      <c r="J610" s="3">
        <v>1020950029</v>
      </c>
      <c r="K610" s="3">
        <v>1062436</v>
      </c>
      <c r="L610" t="s">
        <v>169</v>
      </c>
      <c r="M610" s="4">
        <v>7</v>
      </c>
      <c r="N610" t="s">
        <v>1062</v>
      </c>
      <c r="O610" t="s">
        <v>232</v>
      </c>
      <c r="P610" s="4">
        <v>40.828448000000002</v>
      </c>
      <c r="Q610" s="4">
        <v>-73.948993000000002</v>
      </c>
      <c r="R610" s="4">
        <v>40.828617999999999</v>
      </c>
      <c r="S610" s="4">
        <v>-73.949350999999993</v>
      </c>
      <c r="T610" s="2">
        <v>44712</v>
      </c>
      <c r="U610" t="s">
        <v>49</v>
      </c>
      <c r="V610" t="s">
        <v>71</v>
      </c>
      <c r="W610" t="s">
        <v>51</v>
      </c>
      <c r="AA610" s="4">
        <v>20</v>
      </c>
      <c r="AE610" s="4">
        <v>4</v>
      </c>
      <c r="AF610" s="4">
        <v>11</v>
      </c>
      <c r="AG610" s="4">
        <v>4</v>
      </c>
      <c r="AH610" s="4">
        <v>1</v>
      </c>
      <c r="AM610" s="4">
        <v>20</v>
      </c>
      <c r="AN610" s="4">
        <v>20</v>
      </c>
      <c r="AO610" s="4">
        <v>20</v>
      </c>
    </row>
    <row r="611" spans="1:41" hidden="1" x14ac:dyDescent="0.2">
      <c r="A611" t="s">
        <v>1305</v>
      </c>
      <c r="B611" t="s">
        <v>1306</v>
      </c>
      <c r="C611" s="2">
        <v>43644</v>
      </c>
      <c r="D611" s="2">
        <v>45422</v>
      </c>
      <c r="E611" s="3">
        <v>413</v>
      </c>
      <c r="F611" t="s">
        <v>1307</v>
      </c>
      <c r="G611" t="s">
        <v>339</v>
      </c>
      <c r="H611" t="s">
        <v>45</v>
      </c>
      <c r="I611" s="3">
        <v>10029</v>
      </c>
      <c r="J611" s="3">
        <v>1017010001</v>
      </c>
      <c r="K611" s="3">
        <v>1083953</v>
      </c>
      <c r="L611" t="s">
        <v>153</v>
      </c>
      <c r="M611" s="4">
        <v>8</v>
      </c>
      <c r="N611" t="s">
        <v>1251</v>
      </c>
      <c r="O611" t="s">
        <v>267</v>
      </c>
      <c r="P611" s="4">
        <v>40.790368000000001</v>
      </c>
      <c r="Q611" s="4">
        <v>-73.939509999999999</v>
      </c>
      <c r="R611" s="4">
        <v>40.790886</v>
      </c>
      <c r="S611" s="4">
        <v>-73.937681999999995</v>
      </c>
      <c r="T611" s="2">
        <v>45422</v>
      </c>
      <c r="U611" t="s">
        <v>49</v>
      </c>
      <c r="V611" t="s">
        <v>71</v>
      </c>
      <c r="W611" t="s">
        <v>51</v>
      </c>
      <c r="X611" s="4">
        <v>74</v>
      </c>
      <c r="Y611" s="4">
        <v>352</v>
      </c>
      <c r="AD611" s="4">
        <v>39</v>
      </c>
      <c r="AE611" s="4">
        <v>155</v>
      </c>
      <c r="AF611" s="4">
        <v>150</v>
      </c>
      <c r="AG611" s="4">
        <v>64</v>
      </c>
      <c r="AH611" s="4">
        <v>18</v>
      </c>
      <c r="AM611" s="4">
        <v>426</v>
      </c>
      <c r="AN611" s="4">
        <v>426</v>
      </c>
      <c r="AO611" s="4">
        <v>426</v>
      </c>
    </row>
    <row r="612" spans="1:41" hidden="1" x14ac:dyDescent="0.2">
      <c r="A612" t="s">
        <v>1305</v>
      </c>
      <c r="B612" t="s">
        <v>1306</v>
      </c>
      <c r="C612" s="2">
        <v>43644</v>
      </c>
      <c r="D612" s="2">
        <v>45422</v>
      </c>
      <c r="E612" s="3">
        <v>804652</v>
      </c>
      <c r="F612" t="s">
        <v>1252</v>
      </c>
      <c r="G612" t="s">
        <v>1308</v>
      </c>
      <c r="H612" t="s">
        <v>45</v>
      </c>
      <c r="I612" s="3">
        <v>10029</v>
      </c>
      <c r="J612" s="3">
        <v>1017010001</v>
      </c>
      <c r="K612" s="3">
        <v>1083956</v>
      </c>
      <c r="L612" t="s">
        <v>153</v>
      </c>
      <c r="M612" s="4">
        <v>8</v>
      </c>
      <c r="N612" t="s">
        <v>1251</v>
      </c>
      <c r="O612" t="s">
        <v>267</v>
      </c>
      <c r="P612" s="4">
        <v>40.792276999999999</v>
      </c>
      <c r="Q612" s="4">
        <v>-73.936532</v>
      </c>
      <c r="R612" s="4">
        <v>40.790886</v>
      </c>
      <c r="S612" s="4">
        <v>-73.937681999999995</v>
      </c>
      <c r="T612" s="2">
        <v>45422</v>
      </c>
      <c r="U612" t="s">
        <v>49</v>
      </c>
      <c r="V612" t="s">
        <v>71</v>
      </c>
      <c r="W612" t="s">
        <v>51</v>
      </c>
      <c r="X612" s="4">
        <v>66</v>
      </c>
      <c r="Y612" s="4">
        <v>310</v>
      </c>
      <c r="AD612" s="4">
        <v>39</v>
      </c>
      <c r="AE612" s="4">
        <v>155</v>
      </c>
      <c r="AF612" s="4">
        <v>130</v>
      </c>
      <c r="AG612" s="4">
        <v>38</v>
      </c>
      <c r="AH612" s="4">
        <v>14</v>
      </c>
      <c r="AM612" s="4">
        <v>376</v>
      </c>
      <c r="AN612" s="4">
        <v>376</v>
      </c>
      <c r="AO612" s="4">
        <v>376</v>
      </c>
    </row>
    <row r="613" spans="1:41" hidden="1" x14ac:dyDescent="0.2">
      <c r="A613" t="s">
        <v>1305</v>
      </c>
      <c r="B613" t="s">
        <v>1306</v>
      </c>
      <c r="C613" s="2">
        <v>43644</v>
      </c>
      <c r="D613" s="2">
        <v>45422</v>
      </c>
      <c r="E613" s="3">
        <v>804825</v>
      </c>
      <c r="F613" t="s">
        <v>1309</v>
      </c>
      <c r="G613" t="s">
        <v>339</v>
      </c>
      <c r="H613" t="s">
        <v>45</v>
      </c>
      <c r="I613" s="3">
        <v>10029</v>
      </c>
      <c r="J613" s="3">
        <v>1017010001</v>
      </c>
      <c r="K613" s="3">
        <v>1083954</v>
      </c>
      <c r="L613" t="s">
        <v>153</v>
      </c>
      <c r="M613" s="4">
        <v>8</v>
      </c>
      <c r="N613" t="s">
        <v>1251</v>
      </c>
      <c r="O613" t="s">
        <v>267</v>
      </c>
      <c r="P613" s="4">
        <v>40.790998999999999</v>
      </c>
      <c r="Q613" s="4">
        <v>-73.939047000000002</v>
      </c>
      <c r="R613" s="4">
        <v>40.790886</v>
      </c>
      <c r="S613" s="4">
        <v>-73.937681999999995</v>
      </c>
      <c r="T613" s="2">
        <v>45422</v>
      </c>
      <c r="U613" t="s">
        <v>49</v>
      </c>
      <c r="V613" t="s">
        <v>71</v>
      </c>
      <c r="W613" t="s">
        <v>51</v>
      </c>
      <c r="X613" s="4">
        <v>68</v>
      </c>
      <c r="Y613" s="4">
        <v>327</v>
      </c>
      <c r="AC613" s="4">
        <v>1</v>
      </c>
      <c r="AD613" s="4">
        <v>39</v>
      </c>
      <c r="AE613" s="4">
        <v>155</v>
      </c>
      <c r="AF613" s="4">
        <v>135</v>
      </c>
      <c r="AG613" s="4">
        <v>48</v>
      </c>
      <c r="AH613" s="4">
        <v>19</v>
      </c>
      <c r="AM613" s="4">
        <v>396</v>
      </c>
      <c r="AN613" s="4">
        <v>396</v>
      </c>
      <c r="AO613" s="4">
        <v>396</v>
      </c>
    </row>
    <row r="614" spans="1:41" hidden="1" x14ac:dyDescent="0.2">
      <c r="A614" t="s">
        <v>1305</v>
      </c>
      <c r="B614" t="s">
        <v>1306</v>
      </c>
      <c r="C614" s="2">
        <v>43644</v>
      </c>
      <c r="D614" s="2">
        <v>45422</v>
      </c>
      <c r="E614" s="3">
        <v>804826</v>
      </c>
      <c r="F614" t="s">
        <v>1310</v>
      </c>
      <c r="G614" t="s">
        <v>339</v>
      </c>
      <c r="H614" t="s">
        <v>45</v>
      </c>
      <c r="I614" s="3">
        <v>10029</v>
      </c>
      <c r="J614" s="3">
        <v>1017010001</v>
      </c>
      <c r="K614" s="3">
        <v>1083955</v>
      </c>
      <c r="L614" t="s">
        <v>153</v>
      </c>
      <c r="M614" s="4">
        <v>8</v>
      </c>
      <c r="N614" t="s">
        <v>1251</v>
      </c>
      <c r="O614" t="s">
        <v>267</v>
      </c>
      <c r="P614" s="4">
        <v>40.791649</v>
      </c>
      <c r="Q614" s="4">
        <v>-73.938569999999999</v>
      </c>
      <c r="R614" s="4">
        <v>40.790886</v>
      </c>
      <c r="S614" s="4">
        <v>-73.937681999999995</v>
      </c>
      <c r="T614" s="2">
        <v>45422</v>
      </c>
      <c r="U614" t="s">
        <v>49</v>
      </c>
      <c r="V614" t="s">
        <v>71</v>
      </c>
      <c r="W614" t="s">
        <v>51</v>
      </c>
      <c r="X614" s="4">
        <v>69</v>
      </c>
      <c r="Y614" s="4">
        <v>326</v>
      </c>
      <c r="AC614" s="4">
        <v>1</v>
      </c>
      <c r="AD614" s="4">
        <v>38</v>
      </c>
      <c r="AE614" s="4">
        <v>156</v>
      </c>
      <c r="AF614" s="4">
        <v>135</v>
      </c>
      <c r="AG614" s="4">
        <v>48</v>
      </c>
      <c r="AH614" s="4">
        <v>19</v>
      </c>
      <c r="AM614" s="4">
        <v>396</v>
      </c>
      <c r="AN614" s="4">
        <v>396</v>
      </c>
      <c r="AO614" s="4">
        <v>396</v>
      </c>
    </row>
    <row r="615" spans="1:41" hidden="1" x14ac:dyDescent="0.2">
      <c r="A615" t="s">
        <v>1311</v>
      </c>
      <c r="B615" t="s">
        <v>1312</v>
      </c>
      <c r="C615" s="2">
        <v>43644</v>
      </c>
      <c r="D615" s="2">
        <v>44826</v>
      </c>
      <c r="E615" s="3">
        <v>3641</v>
      </c>
      <c r="F615" t="s">
        <v>1313</v>
      </c>
      <c r="G615" t="s">
        <v>255</v>
      </c>
      <c r="H615" t="s">
        <v>45</v>
      </c>
      <c r="I615" s="3">
        <v>10039</v>
      </c>
      <c r="J615" s="3">
        <v>1020330034</v>
      </c>
      <c r="K615" s="3">
        <v>1060537</v>
      </c>
      <c r="L615" t="s">
        <v>146</v>
      </c>
      <c r="M615" s="4">
        <v>9</v>
      </c>
      <c r="N615" t="s">
        <v>544</v>
      </c>
      <c r="O615" t="s">
        <v>177</v>
      </c>
      <c r="P615" s="4">
        <v>40.823298000000001</v>
      </c>
      <c r="Q615" s="4">
        <v>-73.937878999999995</v>
      </c>
      <c r="R615" s="4">
        <v>40.823504</v>
      </c>
      <c r="S615" s="4">
        <v>-73.938221999999996</v>
      </c>
      <c r="T615" s="2">
        <v>44264</v>
      </c>
      <c r="U615" t="s">
        <v>49</v>
      </c>
      <c r="V615" t="s">
        <v>71</v>
      </c>
      <c r="W615" t="s">
        <v>51</v>
      </c>
      <c r="Y615" s="4">
        <v>13</v>
      </c>
      <c r="Z615" s="4">
        <v>2</v>
      </c>
      <c r="AD615" s="4">
        <v>1</v>
      </c>
      <c r="AE615" s="4">
        <v>4</v>
      </c>
      <c r="AF615" s="4">
        <v>5</v>
      </c>
      <c r="AG615" s="4">
        <v>5</v>
      </c>
      <c r="AL615" s="4">
        <v>15</v>
      </c>
      <c r="AN615" s="4">
        <v>15</v>
      </c>
      <c r="AO615" s="4">
        <v>15</v>
      </c>
    </row>
    <row r="616" spans="1:41" hidden="1" x14ac:dyDescent="0.2">
      <c r="A616" t="s">
        <v>1311</v>
      </c>
      <c r="B616" t="s">
        <v>1312</v>
      </c>
      <c r="C616" s="2">
        <v>43644</v>
      </c>
      <c r="D616" s="2">
        <v>44826</v>
      </c>
      <c r="E616" s="3">
        <v>3642</v>
      </c>
      <c r="F616" t="s">
        <v>1314</v>
      </c>
      <c r="G616" t="s">
        <v>255</v>
      </c>
      <c r="H616" t="s">
        <v>45</v>
      </c>
      <c r="I616" s="3">
        <v>10039</v>
      </c>
      <c r="J616" s="3">
        <v>1020330036</v>
      </c>
      <c r="K616" s="3">
        <v>1060538</v>
      </c>
      <c r="L616" t="s">
        <v>146</v>
      </c>
      <c r="M616" s="4">
        <v>9</v>
      </c>
      <c r="N616" t="s">
        <v>544</v>
      </c>
      <c r="O616" t="s">
        <v>177</v>
      </c>
      <c r="P616" s="4">
        <v>40.823385999999999</v>
      </c>
      <c r="Q616" s="4">
        <v>-73.937814000000003</v>
      </c>
      <c r="R616" s="4">
        <v>40.823602999999999</v>
      </c>
      <c r="S616" s="4">
        <v>-73.938149999999993</v>
      </c>
      <c r="T616" s="2">
        <v>44470</v>
      </c>
      <c r="U616" t="s">
        <v>49</v>
      </c>
      <c r="V616" t="s">
        <v>71</v>
      </c>
      <c r="W616" t="s">
        <v>51</v>
      </c>
      <c r="X616" s="4">
        <v>4</v>
      </c>
      <c r="Y616" s="4">
        <v>6</v>
      </c>
      <c r="Z616" s="4">
        <v>3</v>
      </c>
      <c r="AF616" s="4">
        <v>4</v>
      </c>
      <c r="AG616" s="4">
        <v>9</v>
      </c>
      <c r="AL616" s="4">
        <v>13</v>
      </c>
      <c r="AN616" s="4">
        <v>13</v>
      </c>
      <c r="AO616" s="4">
        <v>13</v>
      </c>
    </row>
    <row r="617" spans="1:41" hidden="1" x14ac:dyDescent="0.2">
      <c r="A617" t="s">
        <v>1311</v>
      </c>
      <c r="B617" t="s">
        <v>1312</v>
      </c>
      <c r="C617" s="2">
        <v>43644</v>
      </c>
      <c r="D617" s="2">
        <v>44826</v>
      </c>
      <c r="E617" s="3">
        <v>3644</v>
      </c>
      <c r="F617" t="s">
        <v>1315</v>
      </c>
      <c r="G617" t="s">
        <v>255</v>
      </c>
      <c r="H617" t="s">
        <v>45</v>
      </c>
      <c r="I617" s="3">
        <v>10039</v>
      </c>
      <c r="J617" s="3">
        <v>1020340032</v>
      </c>
      <c r="K617" s="3">
        <v>1060564</v>
      </c>
      <c r="L617" t="s">
        <v>146</v>
      </c>
      <c r="M617" s="4">
        <v>9</v>
      </c>
      <c r="N617" t="s">
        <v>544</v>
      </c>
      <c r="O617" t="s">
        <v>177</v>
      </c>
      <c r="P617" s="4">
        <v>40.823808999999997</v>
      </c>
      <c r="Q617" s="4">
        <v>-73.937510000000003</v>
      </c>
      <c r="R617" s="4">
        <v>40.823985</v>
      </c>
      <c r="S617" s="4">
        <v>-73.937875000000005</v>
      </c>
      <c r="T617" s="2">
        <v>44470</v>
      </c>
      <c r="U617" t="s">
        <v>49</v>
      </c>
      <c r="V617" t="s">
        <v>71</v>
      </c>
      <c r="W617" t="s">
        <v>51</v>
      </c>
      <c r="X617" s="4">
        <v>3</v>
      </c>
      <c r="Y617" s="4">
        <v>11</v>
      </c>
      <c r="Z617" s="4">
        <v>2</v>
      </c>
      <c r="AD617" s="4">
        <v>2</v>
      </c>
      <c r="AE617" s="4">
        <v>6</v>
      </c>
      <c r="AF617" s="4">
        <v>4</v>
      </c>
      <c r="AG617" s="4">
        <v>4</v>
      </c>
      <c r="AL617" s="4">
        <v>16</v>
      </c>
      <c r="AN617" s="4">
        <v>16</v>
      </c>
      <c r="AO617" s="4">
        <v>16</v>
      </c>
    </row>
    <row r="618" spans="1:41" hidden="1" x14ac:dyDescent="0.2">
      <c r="A618" t="s">
        <v>1311</v>
      </c>
      <c r="B618" t="s">
        <v>1312</v>
      </c>
      <c r="C618" s="2">
        <v>43644</v>
      </c>
      <c r="D618" s="2">
        <v>44826</v>
      </c>
      <c r="E618" s="3">
        <v>3645</v>
      </c>
      <c r="F618" t="s">
        <v>1316</v>
      </c>
      <c r="G618" t="s">
        <v>255</v>
      </c>
      <c r="H618" t="s">
        <v>45</v>
      </c>
      <c r="I618" s="3">
        <v>10039</v>
      </c>
      <c r="J618" s="3">
        <v>1020340033</v>
      </c>
      <c r="K618" s="3">
        <v>1060565</v>
      </c>
      <c r="L618" t="s">
        <v>146</v>
      </c>
      <c r="M618" s="4">
        <v>9</v>
      </c>
      <c r="N618" t="s">
        <v>544</v>
      </c>
      <c r="O618" t="s">
        <v>177</v>
      </c>
      <c r="P618" s="4">
        <v>40.823855000000002</v>
      </c>
      <c r="Q618" s="4">
        <v>-73.937473999999995</v>
      </c>
      <c r="R618" s="4">
        <v>40.824061</v>
      </c>
      <c r="S618" s="4">
        <v>-73.937816999999995</v>
      </c>
      <c r="T618" s="2">
        <v>44470</v>
      </c>
      <c r="U618" t="s">
        <v>49</v>
      </c>
      <c r="V618" t="s">
        <v>71</v>
      </c>
      <c r="W618" t="s">
        <v>51</v>
      </c>
      <c r="X618" s="4">
        <v>1</v>
      </c>
      <c r="Y618" s="4">
        <v>8</v>
      </c>
      <c r="Z618" s="4">
        <v>1</v>
      </c>
      <c r="AD618" s="4">
        <v>1</v>
      </c>
      <c r="AF618" s="4">
        <v>9</v>
      </c>
      <c r="AL618" s="4">
        <v>10</v>
      </c>
      <c r="AN618" s="4">
        <v>10</v>
      </c>
      <c r="AO618" s="4">
        <v>10</v>
      </c>
    </row>
    <row r="619" spans="1:41" hidden="1" x14ac:dyDescent="0.2">
      <c r="A619" t="s">
        <v>1311</v>
      </c>
      <c r="B619" t="s">
        <v>1312</v>
      </c>
      <c r="C619" s="2">
        <v>43644</v>
      </c>
      <c r="D619" s="2">
        <v>44826</v>
      </c>
      <c r="E619" s="3">
        <v>3648</v>
      </c>
      <c r="F619" t="s">
        <v>1317</v>
      </c>
      <c r="G619" t="s">
        <v>255</v>
      </c>
      <c r="H619" t="s">
        <v>45</v>
      </c>
      <c r="I619" s="3">
        <v>10039</v>
      </c>
      <c r="J619" s="3">
        <v>1020340036</v>
      </c>
      <c r="K619" s="3">
        <v>1060568</v>
      </c>
      <c r="L619" t="s">
        <v>146</v>
      </c>
      <c r="M619" s="4">
        <v>9</v>
      </c>
      <c r="N619" t="s">
        <v>544</v>
      </c>
      <c r="O619" t="s">
        <v>177</v>
      </c>
      <c r="P619" s="4">
        <v>40.824001000000003</v>
      </c>
      <c r="Q619" s="4">
        <v>-73.937369000000004</v>
      </c>
      <c r="R619" s="4">
        <v>40.824247999999997</v>
      </c>
      <c r="S619" s="4">
        <v>-73.937683000000007</v>
      </c>
      <c r="T619" s="2">
        <v>44826</v>
      </c>
      <c r="U619" t="s">
        <v>49</v>
      </c>
      <c r="V619" t="s">
        <v>71</v>
      </c>
      <c r="W619" t="s">
        <v>51</v>
      </c>
      <c r="X619" s="4">
        <v>6</v>
      </c>
      <c r="Y619" s="4">
        <v>2</v>
      </c>
      <c r="Z619" s="4">
        <v>1</v>
      </c>
      <c r="AD619" s="4">
        <v>1</v>
      </c>
      <c r="AF619" s="4">
        <v>4</v>
      </c>
      <c r="AG619" s="4">
        <v>4</v>
      </c>
      <c r="AL619" s="4">
        <v>9</v>
      </c>
      <c r="AN619" s="4">
        <v>9</v>
      </c>
      <c r="AO619" s="4">
        <v>9</v>
      </c>
    </row>
    <row r="620" spans="1:41" hidden="1" x14ac:dyDescent="0.2">
      <c r="A620" t="s">
        <v>1311</v>
      </c>
      <c r="B620" t="s">
        <v>1312</v>
      </c>
      <c r="C620" s="2">
        <v>43644</v>
      </c>
      <c r="D620" s="2">
        <v>44826</v>
      </c>
      <c r="E620" s="3">
        <v>4077</v>
      </c>
      <c r="F620" t="s">
        <v>1318</v>
      </c>
      <c r="G620" t="s">
        <v>175</v>
      </c>
      <c r="H620" t="s">
        <v>45</v>
      </c>
      <c r="I620" s="3">
        <v>10030</v>
      </c>
      <c r="J620" s="3">
        <v>1019390004</v>
      </c>
      <c r="K620" s="3">
        <v>1058807</v>
      </c>
      <c r="L620" t="s">
        <v>146</v>
      </c>
      <c r="M620" s="4">
        <v>9</v>
      </c>
      <c r="N620" t="s">
        <v>309</v>
      </c>
      <c r="O620" t="s">
        <v>177</v>
      </c>
      <c r="P620" s="4">
        <v>40.815469999999998</v>
      </c>
      <c r="Q620" s="4">
        <v>-73.947282999999999</v>
      </c>
      <c r="R620" s="4">
        <v>40.815393</v>
      </c>
      <c r="S620" s="4">
        <v>-73.946957999999995</v>
      </c>
      <c r="T620" s="2">
        <v>44470</v>
      </c>
      <c r="U620" t="s">
        <v>49</v>
      </c>
      <c r="V620" t="s">
        <v>71</v>
      </c>
      <c r="W620" t="s">
        <v>51</v>
      </c>
      <c r="X620" s="4">
        <v>3</v>
      </c>
      <c r="Y620" s="4">
        <v>10</v>
      </c>
      <c r="Z620" s="4">
        <v>3</v>
      </c>
      <c r="AE620" s="4">
        <v>8</v>
      </c>
      <c r="AF620" s="4">
        <v>8</v>
      </c>
      <c r="AL620" s="4">
        <v>16</v>
      </c>
      <c r="AN620" s="4">
        <v>16</v>
      </c>
      <c r="AO620" s="4">
        <v>16</v>
      </c>
    </row>
    <row r="621" spans="1:41" hidden="1" x14ac:dyDescent="0.2">
      <c r="A621" t="s">
        <v>1311</v>
      </c>
      <c r="B621" t="s">
        <v>1312</v>
      </c>
      <c r="C621" s="2">
        <v>43644</v>
      </c>
      <c r="D621" s="2">
        <v>44826</v>
      </c>
      <c r="E621" s="3">
        <v>40621</v>
      </c>
      <c r="F621" t="s">
        <v>43</v>
      </c>
      <c r="G621" t="s">
        <v>321</v>
      </c>
      <c r="H621" t="s">
        <v>45</v>
      </c>
      <c r="I621" s="3">
        <v>10030</v>
      </c>
      <c r="J621" s="3">
        <v>1019180040</v>
      </c>
      <c r="K621" s="3">
        <v>1058230</v>
      </c>
      <c r="L621" t="s">
        <v>146</v>
      </c>
      <c r="M621" s="4">
        <v>9</v>
      </c>
      <c r="N621" t="s">
        <v>309</v>
      </c>
      <c r="O621" t="s">
        <v>177</v>
      </c>
      <c r="P621" s="4">
        <v>40.813645000000001</v>
      </c>
      <c r="Q621" s="4">
        <v>-73.941866000000005</v>
      </c>
      <c r="R621" s="4">
        <v>40.813572999999998</v>
      </c>
      <c r="S621" s="4">
        <v>-73.942273999999998</v>
      </c>
      <c r="T621" s="2">
        <v>44302</v>
      </c>
      <c r="U621" t="s">
        <v>49</v>
      </c>
      <c r="V621" t="s">
        <v>71</v>
      </c>
      <c r="W621" t="s">
        <v>51</v>
      </c>
      <c r="Y621" s="4">
        <v>14</v>
      </c>
      <c r="Z621" s="4">
        <v>5</v>
      </c>
      <c r="AC621" s="4">
        <v>1</v>
      </c>
      <c r="AE621" s="4">
        <v>1</v>
      </c>
      <c r="AF621" s="4">
        <v>14</v>
      </c>
      <c r="AG621" s="4">
        <v>5</v>
      </c>
      <c r="AL621" s="4">
        <v>20</v>
      </c>
      <c r="AN621" s="4">
        <v>20</v>
      </c>
      <c r="AO621" s="4">
        <v>20</v>
      </c>
    </row>
    <row r="622" spans="1:41" hidden="1" x14ac:dyDescent="0.2">
      <c r="A622" t="s">
        <v>1311</v>
      </c>
      <c r="B622" t="s">
        <v>1312</v>
      </c>
      <c r="C622" s="2">
        <v>43644</v>
      </c>
      <c r="D622" s="2">
        <v>44826</v>
      </c>
      <c r="E622" s="3">
        <v>40623</v>
      </c>
      <c r="F622" t="s">
        <v>524</v>
      </c>
      <c r="G622" t="s">
        <v>321</v>
      </c>
      <c r="H622" t="s">
        <v>45</v>
      </c>
      <c r="I622" s="3">
        <v>10030</v>
      </c>
      <c r="J622" s="3">
        <v>1019180043</v>
      </c>
      <c r="K622" s="3">
        <v>1058232</v>
      </c>
      <c r="L622" t="s">
        <v>146</v>
      </c>
      <c r="M622" s="4">
        <v>9</v>
      </c>
      <c r="N622" t="s">
        <v>309</v>
      </c>
      <c r="O622" t="s">
        <v>177</v>
      </c>
      <c r="P622" s="4">
        <v>40.813724000000001</v>
      </c>
      <c r="Q622" s="4">
        <v>-73.942049999999995</v>
      </c>
      <c r="R622" s="4">
        <v>40.813664000000003</v>
      </c>
      <c r="S622" s="4">
        <v>-73.942487</v>
      </c>
      <c r="T622" s="2">
        <v>44264</v>
      </c>
      <c r="U622" t="s">
        <v>49</v>
      </c>
      <c r="V622" t="s">
        <v>71</v>
      </c>
      <c r="W622" t="s">
        <v>51</v>
      </c>
      <c r="X622" s="4">
        <v>1</v>
      </c>
      <c r="Y622" s="4">
        <v>7</v>
      </c>
      <c r="Z622" s="4">
        <v>2</v>
      </c>
      <c r="AE622" s="4">
        <v>6</v>
      </c>
      <c r="AG622" s="4">
        <v>4</v>
      </c>
      <c r="AL622" s="4">
        <v>10</v>
      </c>
      <c r="AN622" s="4">
        <v>10</v>
      </c>
      <c r="AO622" s="4">
        <v>10</v>
      </c>
    </row>
    <row r="623" spans="1:41" hidden="1" x14ac:dyDescent="0.2">
      <c r="A623" t="s">
        <v>1311</v>
      </c>
      <c r="B623" t="s">
        <v>1312</v>
      </c>
      <c r="C623" s="2">
        <v>43644</v>
      </c>
      <c r="D623" s="2">
        <v>44826</v>
      </c>
      <c r="E623" s="3">
        <v>40624</v>
      </c>
      <c r="F623" t="s">
        <v>1319</v>
      </c>
      <c r="G623" t="s">
        <v>321</v>
      </c>
      <c r="H623" t="s">
        <v>45</v>
      </c>
      <c r="I623" s="3">
        <v>10030</v>
      </c>
      <c r="J623" s="3">
        <v>1019180044</v>
      </c>
      <c r="K623" s="3">
        <v>1058233</v>
      </c>
      <c r="L623" t="s">
        <v>146</v>
      </c>
      <c r="M623" s="4">
        <v>9</v>
      </c>
      <c r="N623" t="s">
        <v>309</v>
      </c>
      <c r="O623" t="s">
        <v>177</v>
      </c>
      <c r="P623" s="4">
        <v>40.813749000000001</v>
      </c>
      <c r="Q623" s="4">
        <v>-73.942115000000001</v>
      </c>
      <c r="R623" s="4">
        <v>40.813710999999998</v>
      </c>
      <c r="S623" s="4">
        <v>-73.942595999999995</v>
      </c>
      <c r="T623" s="2">
        <v>44250</v>
      </c>
      <c r="U623" t="s">
        <v>49</v>
      </c>
      <c r="V623" t="s">
        <v>71</v>
      </c>
      <c r="W623" t="s">
        <v>51</v>
      </c>
      <c r="Y623" s="4">
        <v>9</v>
      </c>
      <c r="Z623" s="4">
        <v>1</v>
      </c>
      <c r="AE623" s="4">
        <v>2</v>
      </c>
      <c r="AF623" s="4">
        <v>8</v>
      </c>
      <c r="AL623" s="4">
        <v>10</v>
      </c>
      <c r="AN623" s="4">
        <v>10</v>
      </c>
      <c r="AO623" s="4">
        <v>10</v>
      </c>
    </row>
    <row r="624" spans="1:41" hidden="1" x14ac:dyDescent="0.2">
      <c r="A624" t="s">
        <v>1311</v>
      </c>
      <c r="B624" t="s">
        <v>1312</v>
      </c>
      <c r="C624" s="2">
        <v>43644</v>
      </c>
      <c r="D624" s="2">
        <v>44826</v>
      </c>
      <c r="E624" s="3">
        <v>41285</v>
      </c>
      <c r="F624" t="s">
        <v>1320</v>
      </c>
      <c r="G624" t="s">
        <v>221</v>
      </c>
      <c r="H624" t="s">
        <v>45</v>
      </c>
      <c r="I624" s="3">
        <v>10030</v>
      </c>
      <c r="J624" s="3">
        <v>1020070054</v>
      </c>
      <c r="K624" s="3">
        <v>1060045</v>
      </c>
      <c r="L624" t="s">
        <v>146</v>
      </c>
      <c r="M624" s="4">
        <v>9</v>
      </c>
      <c r="N624" t="s">
        <v>222</v>
      </c>
      <c r="O624" t="s">
        <v>177</v>
      </c>
      <c r="P624" s="4">
        <v>40.817396000000002</v>
      </c>
      <c r="Q624" s="4">
        <v>-73.940779000000006</v>
      </c>
      <c r="R624" s="4">
        <v>40.817231999999997</v>
      </c>
      <c r="S624" s="4">
        <v>-73.940978000000001</v>
      </c>
      <c r="T624" s="2">
        <v>44250</v>
      </c>
      <c r="U624" t="s">
        <v>49</v>
      </c>
      <c r="V624" t="s">
        <v>71</v>
      </c>
      <c r="W624" t="s">
        <v>51</v>
      </c>
      <c r="X624" s="4">
        <v>1</v>
      </c>
      <c r="Y624" s="4">
        <v>9</v>
      </c>
      <c r="AE624" s="4">
        <v>6</v>
      </c>
      <c r="AF624" s="4">
        <v>4</v>
      </c>
      <c r="AL624" s="4">
        <v>10</v>
      </c>
      <c r="AN624" s="4">
        <v>10</v>
      </c>
      <c r="AO624" s="4">
        <v>10</v>
      </c>
    </row>
    <row r="625" spans="1:41" hidden="1" x14ac:dyDescent="0.2">
      <c r="A625" t="s">
        <v>1311</v>
      </c>
      <c r="B625" t="s">
        <v>1312</v>
      </c>
      <c r="C625" s="2">
        <v>43644</v>
      </c>
      <c r="D625" s="2">
        <v>44826</v>
      </c>
      <c r="E625" s="3">
        <v>41286</v>
      </c>
      <c r="F625" t="s">
        <v>340</v>
      </c>
      <c r="G625" t="s">
        <v>221</v>
      </c>
      <c r="H625" t="s">
        <v>45</v>
      </c>
      <c r="I625" s="3">
        <v>10030</v>
      </c>
      <c r="J625" s="3">
        <v>1020070055</v>
      </c>
      <c r="K625" s="3">
        <v>1060046</v>
      </c>
      <c r="L625" t="s">
        <v>146</v>
      </c>
      <c r="M625" s="4">
        <v>9</v>
      </c>
      <c r="N625" t="s">
        <v>222</v>
      </c>
      <c r="O625" t="s">
        <v>177</v>
      </c>
      <c r="P625" s="4">
        <v>40.817424000000003</v>
      </c>
      <c r="Q625" s="4">
        <v>-73.940847000000005</v>
      </c>
      <c r="R625" s="4">
        <v>40.817267000000001</v>
      </c>
      <c r="S625" s="4">
        <v>-73.941061000000005</v>
      </c>
      <c r="T625" s="2">
        <v>44470</v>
      </c>
      <c r="U625" t="s">
        <v>49</v>
      </c>
      <c r="V625" t="s">
        <v>71</v>
      </c>
      <c r="W625" t="s">
        <v>51</v>
      </c>
      <c r="X625" s="4">
        <v>1</v>
      </c>
      <c r="Y625" s="4">
        <v>7</v>
      </c>
      <c r="Z625" s="4">
        <v>2</v>
      </c>
      <c r="AE625" s="4">
        <v>6</v>
      </c>
      <c r="AF625" s="4">
        <v>4</v>
      </c>
      <c r="AL625" s="4">
        <v>10</v>
      </c>
      <c r="AN625" s="4">
        <v>10</v>
      </c>
      <c r="AO625" s="4">
        <v>10</v>
      </c>
    </row>
    <row r="626" spans="1:41" hidden="1" x14ac:dyDescent="0.2">
      <c r="A626" t="s">
        <v>1311</v>
      </c>
      <c r="B626" t="s">
        <v>1312</v>
      </c>
      <c r="C626" s="2">
        <v>43644</v>
      </c>
      <c r="D626" s="2">
        <v>44826</v>
      </c>
      <c r="E626" s="3">
        <v>41290</v>
      </c>
      <c r="F626" t="s">
        <v>128</v>
      </c>
      <c r="G626" t="s">
        <v>221</v>
      </c>
      <c r="H626" t="s">
        <v>45</v>
      </c>
      <c r="I626" s="3">
        <v>10030</v>
      </c>
      <c r="J626" s="3">
        <v>1020070058</v>
      </c>
      <c r="K626" s="3">
        <v>1060049</v>
      </c>
      <c r="L626" t="s">
        <v>146</v>
      </c>
      <c r="M626" s="4">
        <v>9</v>
      </c>
      <c r="N626" t="s">
        <v>222</v>
      </c>
      <c r="O626" t="s">
        <v>177</v>
      </c>
      <c r="P626" s="4">
        <v>40.817585999999999</v>
      </c>
      <c r="Q626" s="4">
        <v>-73.941233999999994</v>
      </c>
      <c r="R626" s="4">
        <v>40.817371999999999</v>
      </c>
      <c r="S626" s="4">
        <v>-73.941310000000001</v>
      </c>
      <c r="T626" s="2">
        <v>44245</v>
      </c>
      <c r="U626" t="s">
        <v>49</v>
      </c>
      <c r="V626" t="s">
        <v>71</v>
      </c>
      <c r="W626" t="s">
        <v>51</v>
      </c>
      <c r="X626" s="4">
        <v>5</v>
      </c>
      <c r="Y626" s="4">
        <v>4</v>
      </c>
      <c r="Z626" s="4">
        <v>1</v>
      </c>
      <c r="AE626" s="4">
        <v>6</v>
      </c>
      <c r="AF626" s="4">
        <v>4</v>
      </c>
      <c r="AL626" s="4">
        <v>10</v>
      </c>
      <c r="AN626" s="4">
        <v>10</v>
      </c>
      <c r="AO626" s="4">
        <v>10</v>
      </c>
    </row>
    <row r="627" spans="1:41" hidden="1" x14ac:dyDescent="0.2">
      <c r="A627" t="s">
        <v>1311</v>
      </c>
      <c r="B627" t="s">
        <v>1312</v>
      </c>
      <c r="C627" s="2">
        <v>43644</v>
      </c>
      <c r="D627" s="2">
        <v>44826</v>
      </c>
      <c r="E627" s="3">
        <v>42315</v>
      </c>
      <c r="F627" t="s">
        <v>669</v>
      </c>
      <c r="G627" t="s">
        <v>548</v>
      </c>
      <c r="H627" t="s">
        <v>45</v>
      </c>
      <c r="I627" s="3">
        <v>10039</v>
      </c>
      <c r="J627" s="3">
        <v>1020340038</v>
      </c>
      <c r="K627" s="3">
        <v>1060569</v>
      </c>
      <c r="L627" t="s">
        <v>146</v>
      </c>
      <c r="M627" s="4">
        <v>9</v>
      </c>
      <c r="N627" t="s">
        <v>544</v>
      </c>
      <c r="O627" t="s">
        <v>177</v>
      </c>
      <c r="P627" s="4">
        <v>40.824407000000001</v>
      </c>
      <c r="Q627" s="4">
        <v>-73.93777</v>
      </c>
      <c r="R627" s="4">
        <v>40.824240000000003</v>
      </c>
      <c r="S627" s="4">
        <v>-73.937946999999994</v>
      </c>
      <c r="T627" s="2">
        <v>44244</v>
      </c>
      <c r="U627" t="s">
        <v>49</v>
      </c>
      <c r="V627" t="s">
        <v>71</v>
      </c>
      <c r="W627" t="s">
        <v>51</v>
      </c>
      <c r="Y627" s="4">
        <v>9</v>
      </c>
      <c r="Z627" s="4">
        <v>1</v>
      </c>
      <c r="AE627" s="4">
        <v>1</v>
      </c>
      <c r="AF627" s="4">
        <v>9</v>
      </c>
      <c r="AL627" s="4">
        <v>10</v>
      </c>
      <c r="AN627" s="4">
        <v>10</v>
      </c>
      <c r="AO627" s="4">
        <v>10</v>
      </c>
    </row>
    <row r="628" spans="1:41" hidden="1" x14ac:dyDescent="0.2">
      <c r="A628" t="s">
        <v>1311</v>
      </c>
      <c r="B628" t="s">
        <v>1312</v>
      </c>
      <c r="C628" s="2">
        <v>43644</v>
      </c>
      <c r="D628" s="2">
        <v>44826</v>
      </c>
      <c r="E628" s="3">
        <v>42316</v>
      </c>
      <c r="F628" t="s">
        <v>461</v>
      </c>
      <c r="G628" t="s">
        <v>548</v>
      </c>
      <c r="H628" t="s">
        <v>45</v>
      </c>
      <c r="I628" s="3">
        <v>10039</v>
      </c>
      <c r="J628" s="3">
        <v>1020340039</v>
      </c>
      <c r="K628" s="3">
        <v>1060570</v>
      </c>
      <c r="L628" t="s">
        <v>146</v>
      </c>
      <c r="M628" s="4">
        <v>9</v>
      </c>
      <c r="N628" t="s">
        <v>544</v>
      </c>
      <c r="O628" t="s">
        <v>177</v>
      </c>
      <c r="P628" s="4">
        <v>40.824424</v>
      </c>
      <c r="Q628" s="4">
        <v>-73.937809999999999</v>
      </c>
      <c r="R628" s="4">
        <v>40.824272999999998</v>
      </c>
      <c r="S628" s="4">
        <v>-73.938027000000005</v>
      </c>
      <c r="T628" s="2">
        <v>44473</v>
      </c>
      <c r="U628" t="s">
        <v>49</v>
      </c>
      <c r="V628" t="s">
        <v>71</v>
      </c>
      <c r="W628" t="s">
        <v>51</v>
      </c>
      <c r="Y628" s="4">
        <v>8</v>
      </c>
      <c r="Z628" s="4">
        <v>2</v>
      </c>
      <c r="AD628" s="4">
        <v>1</v>
      </c>
      <c r="AE628" s="4">
        <v>1</v>
      </c>
      <c r="AF628" s="4">
        <v>8</v>
      </c>
      <c r="AL628" s="4">
        <v>10</v>
      </c>
      <c r="AN628" s="4">
        <v>10</v>
      </c>
      <c r="AO628" s="4">
        <v>10</v>
      </c>
    </row>
    <row r="629" spans="1:41" hidden="1" x14ac:dyDescent="0.2">
      <c r="A629" t="s">
        <v>1311</v>
      </c>
      <c r="B629" t="s">
        <v>1312</v>
      </c>
      <c r="C629" s="2">
        <v>43644</v>
      </c>
      <c r="D629" s="2">
        <v>44826</v>
      </c>
      <c r="E629" s="3">
        <v>42317</v>
      </c>
      <c r="F629" t="s">
        <v>192</v>
      </c>
      <c r="G629" t="s">
        <v>548</v>
      </c>
      <c r="H629" t="s">
        <v>45</v>
      </c>
      <c r="I629" s="3">
        <v>10039</v>
      </c>
      <c r="J629" s="3">
        <v>1020340040</v>
      </c>
      <c r="K629" s="3">
        <v>1060571</v>
      </c>
      <c r="L629" t="s">
        <v>146</v>
      </c>
      <c r="M629" s="4">
        <v>9</v>
      </c>
      <c r="N629" t="s">
        <v>544</v>
      </c>
      <c r="O629" t="s">
        <v>177</v>
      </c>
      <c r="P629" s="4">
        <v>40.824440000000003</v>
      </c>
      <c r="Q629" s="4">
        <v>-73.937849</v>
      </c>
      <c r="R629" s="4">
        <v>40.824309</v>
      </c>
      <c r="S629" s="4">
        <v>-73.938109999999995</v>
      </c>
      <c r="T629" s="2">
        <v>44244</v>
      </c>
      <c r="U629" t="s">
        <v>49</v>
      </c>
      <c r="V629" t="s">
        <v>71</v>
      </c>
      <c r="W629" t="s">
        <v>51</v>
      </c>
      <c r="Y629" s="4">
        <v>9</v>
      </c>
      <c r="AC629" s="4">
        <v>1</v>
      </c>
      <c r="AD629" s="4">
        <v>1</v>
      </c>
      <c r="AE629" s="4">
        <v>1</v>
      </c>
      <c r="AF629" s="4">
        <v>8</v>
      </c>
      <c r="AL629" s="4">
        <v>10</v>
      </c>
      <c r="AN629" s="4">
        <v>10</v>
      </c>
      <c r="AO629" s="4">
        <v>10</v>
      </c>
    </row>
    <row r="630" spans="1:41" hidden="1" x14ac:dyDescent="0.2">
      <c r="A630" t="s">
        <v>1311</v>
      </c>
      <c r="B630" t="s">
        <v>1312</v>
      </c>
      <c r="C630" s="2">
        <v>43644</v>
      </c>
      <c r="D630" s="2">
        <v>44826</v>
      </c>
      <c r="E630" s="3">
        <v>42319</v>
      </c>
      <c r="F630" t="s">
        <v>312</v>
      </c>
      <c r="G630" t="s">
        <v>548</v>
      </c>
      <c r="H630" t="s">
        <v>45</v>
      </c>
      <c r="I630" s="3">
        <v>10039</v>
      </c>
      <c r="J630" s="3">
        <v>1020340045</v>
      </c>
      <c r="K630" s="3">
        <v>1060573</v>
      </c>
      <c r="L630" t="s">
        <v>146</v>
      </c>
      <c r="M630" s="4">
        <v>9</v>
      </c>
      <c r="N630" t="s">
        <v>544</v>
      </c>
      <c r="O630" t="s">
        <v>177</v>
      </c>
      <c r="P630" s="4">
        <v>40.824522999999999</v>
      </c>
      <c r="Q630" s="4">
        <v>-73.938044000000005</v>
      </c>
      <c r="R630" s="4">
        <v>40.824485000000003</v>
      </c>
      <c r="S630" s="4">
        <v>-73.938529000000003</v>
      </c>
      <c r="T630" s="2">
        <v>44470</v>
      </c>
      <c r="U630" t="s">
        <v>49</v>
      </c>
      <c r="V630" t="s">
        <v>71</v>
      </c>
      <c r="W630" t="s">
        <v>51</v>
      </c>
      <c r="X630" s="4">
        <v>2</v>
      </c>
      <c r="Y630" s="4">
        <v>16</v>
      </c>
      <c r="AD630" s="4">
        <v>2</v>
      </c>
      <c r="AE630" s="4">
        <v>10</v>
      </c>
      <c r="AG630" s="4">
        <v>6</v>
      </c>
      <c r="AL630" s="4">
        <v>18</v>
      </c>
      <c r="AN630" s="4">
        <v>18</v>
      </c>
      <c r="AO630" s="4">
        <v>18</v>
      </c>
    </row>
    <row r="631" spans="1:41" hidden="1" x14ac:dyDescent="0.2">
      <c r="A631" t="s">
        <v>1321</v>
      </c>
      <c r="B631" t="s">
        <v>1322</v>
      </c>
      <c r="C631" s="2">
        <v>43644</v>
      </c>
      <c r="D631" s="2">
        <v>43644</v>
      </c>
      <c r="E631" s="3">
        <v>3631</v>
      </c>
      <c r="F631" t="s">
        <v>1323</v>
      </c>
      <c r="G631" t="s">
        <v>255</v>
      </c>
      <c r="H631" t="s">
        <v>45</v>
      </c>
      <c r="I631" s="3">
        <v>10039</v>
      </c>
      <c r="J631" s="3">
        <v>1020320030</v>
      </c>
      <c r="K631" s="3">
        <v>1060508</v>
      </c>
      <c r="L631" t="s">
        <v>146</v>
      </c>
      <c r="M631" s="4">
        <v>9</v>
      </c>
      <c r="N631" t="s">
        <v>544</v>
      </c>
      <c r="O631" t="s">
        <v>177</v>
      </c>
      <c r="P631" s="4">
        <v>40.822491999999997</v>
      </c>
      <c r="Q631" s="4">
        <v>-73.938462000000001</v>
      </c>
      <c r="R631" s="4">
        <v>40.822665000000001</v>
      </c>
      <c r="S631" s="4">
        <v>-73.938816000000003</v>
      </c>
      <c r="T631" s="2">
        <v>43644</v>
      </c>
      <c r="U631" t="s">
        <v>49</v>
      </c>
      <c r="V631" t="s">
        <v>50</v>
      </c>
      <c r="W631" t="s">
        <v>51</v>
      </c>
      <c r="Y631" s="4">
        <v>2</v>
      </c>
      <c r="Z631" s="4">
        <v>9</v>
      </c>
      <c r="AA631" s="4">
        <v>7</v>
      </c>
      <c r="AF631" s="4">
        <v>18</v>
      </c>
      <c r="AL631" s="4">
        <v>18</v>
      </c>
      <c r="AN631" s="4">
        <v>18</v>
      </c>
      <c r="AO631" s="4">
        <v>18</v>
      </c>
    </row>
    <row r="632" spans="1:41" hidden="1" x14ac:dyDescent="0.2">
      <c r="A632" t="s">
        <v>1324</v>
      </c>
      <c r="B632" t="s">
        <v>1325</v>
      </c>
      <c r="C632" s="2">
        <v>43644</v>
      </c>
      <c r="D632" s="2">
        <v>43644</v>
      </c>
      <c r="E632" s="3">
        <v>967819</v>
      </c>
      <c r="F632" t="s">
        <v>1326</v>
      </c>
      <c r="G632" t="s">
        <v>389</v>
      </c>
      <c r="H632" t="s">
        <v>45</v>
      </c>
      <c r="I632" s="3">
        <v>10031</v>
      </c>
      <c r="J632" s="3">
        <v>1020947503</v>
      </c>
      <c r="K632" s="3">
        <v>1083034</v>
      </c>
      <c r="L632" t="s">
        <v>169</v>
      </c>
      <c r="M632" s="4">
        <v>7</v>
      </c>
      <c r="N632" t="s">
        <v>1062</v>
      </c>
      <c r="O632" t="s">
        <v>232</v>
      </c>
      <c r="P632" s="4">
        <v>40.828164999999998</v>
      </c>
      <c r="Q632" s="4">
        <v>-73.949198999999993</v>
      </c>
      <c r="R632" s="4">
        <v>40.828308</v>
      </c>
      <c r="S632" s="4">
        <v>-73.949528000000001</v>
      </c>
      <c r="T632" s="2">
        <v>43644</v>
      </c>
      <c r="U632" t="s">
        <v>49</v>
      </c>
      <c r="V632" t="s">
        <v>50</v>
      </c>
      <c r="W632" t="s">
        <v>51</v>
      </c>
      <c r="Z632" s="4">
        <v>3</v>
      </c>
      <c r="AB632" s="4">
        <v>12</v>
      </c>
      <c r="AC632" s="4">
        <v>1</v>
      </c>
      <c r="AF632" s="4">
        <v>16</v>
      </c>
      <c r="AL632" s="4">
        <v>1</v>
      </c>
      <c r="AM632" s="4">
        <v>15</v>
      </c>
      <c r="AN632" s="4">
        <v>16</v>
      </c>
      <c r="AO632" s="4">
        <v>43</v>
      </c>
    </row>
    <row r="633" spans="1:41" hidden="1" x14ac:dyDescent="0.2">
      <c r="A633" t="s">
        <v>1327</v>
      </c>
      <c r="B633" t="s">
        <v>1328</v>
      </c>
      <c r="C633" s="2">
        <v>43644</v>
      </c>
      <c r="D633" s="2">
        <v>43644</v>
      </c>
      <c r="E633" s="3">
        <v>4540</v>
      </c>
      <c r="F633" t="s">
        <v>1329</v>
      </c>
      <c r="G633" t="s">
        <v>181</v>
      </c>
      <c r="H633" t="s">
        <v>45</v>
      </c>
      <c r="I633" s="3">
        <v>10019</v>
      </c>
      <c r="J633" s="3">
        <v>1010220061</v>
      </c>
      <c r="K633" s="3">
        <v>1024813</v>
      </c>
      <c r="L633" t="s">
        <v>655</v>
      </c>
      <c r="M633" s="4">
        <v>3</v>
      </c>
      <c r="N633" t="s">
        <v>436</v>
      </c>
      <c r="O633" t="s">
        <v>1330</v>
      </c>
      <c r="P633" s="4">
        <v>40.762504999999997</v>
      </c>
      <c r="Q633" s="4">
        <v>-73.985935999999995</v>
      </c>
      <c r="R633" s="4">
        <v>40.762537999999999</v>
      </c>
      <c r="S633" s="4">
        <v>-73.985517000000002</v>
      </c>
      <c r="T633" s="2">
        <v>43644</v>
      </c>
      <c r="U633" t="s">
        <v>49</v>
      </c>
      <c r="V633" t="s">
        <v>50</v>
      </c>
      <c r="W633" t="s">
        <v>51</v>
      </c>
      <c r="X633" s="4">
        <v>239</v>
      </c>
      <c r="Y633" s="4">
        <v>6</v>
      </c>
      <c r="Z633" s="4">
        <v>2</v>
      </c>
      <c r="AA633" s="4">
        <v>3</v>
      </c>
      <c r="AB633" s="4">
        <v>27</v>
      </c>
      <c r="AC633" s="4">
        <v>1</v>
      </c>
      <c r="AD633" s="4">
        <v>88</v>
      </c>
      <c r="AE633" s="4">
        <v>190</v>
      </c>
      <c r="AL633" s="4">
        <v>278</v>
      </c>
      <c r="AN633" s="4">
        <v>278</v>
      </c>
      <c r="AO633" s="4">
        <v>278</v>
      </c>
    </row>
    <row r="634" spans="1:41" hidden="1" x14ac:dyDescent="0.2">
      <c r="A634" t="s">
        <v>1331</v>
      </c>
      <c r="B634" t="s">
        <v>1332</v>
      </c>
      <c r="C634" s="2">
        <v>43644</v>
      </c>
      <c r="D634" s="2">
        <v>43644</v>
      </c>
      <c r="E634" s="3">
        <v>9796</v>
      </c>
      <c r="F634" t="s">
        <v>1333</v>
      </c>
      <c r="G634" t="s">
        <v>558</v>
      </c>
      <c r="H634" t="s">
        <v>45</v>
      </c>
      <c r="I634" s="3">
        <v>10024</v>
      </c>
      <c r="J634" s="3">
        <v>1012020001</v>
      </c>
      <c r="K634" s="3">
        <v>1079511</v>
      </c>
      <c r="L634" t="s">
        <v>46</v>
      </c>
      <c r="M634" s="4">
        <v>6</v>
      </c>
      <c r="N634" t="s">
        <v>877</v>
      </c>
      <c r="O634" t="s">
        <v>285</v>
      </c>
      <c r="P634" s="4">
        <v>40.787883000000001</v>
      </c>
      <c r="Q634" s="4">
        <v>-73.971142999999998</v>
      </c>
      <c r="R634" s="4">
        <v>40.787934999999997</v>
      </c>
      <c r="S634" s="4">
        <v>-73.970605000000006</v>
      </c>
      <c r="T634" s="2">
        <v>43644</v>
      </c>
      <c r="U634" t="s">
        <v>49</v>
      </c>
      <c r="V634" t="s">
        <v>50</v>
      </c>
      <c r="W634" t="s">
        <v>51</v>
      </c>
      <c r="X634" s="4">
        <v>157</v>
      </c>
      <c r="Y634" s="4">
        <v>8</v>
      </c>
      <c r="Z634" s="4">
        <v>2</v>
      </c>
      <c r="AC634" s="4">
        <v>1</v>
      </c>
      <c r="AE634" s="4">
        <v>157</v>
      </c>
      <c r="AF634" s="4">
        <v>11</v>
      </c>
      <c r="AL634" s="4">
        <v>168</v>
      </c>
      <c r="AN634" s="4">
        <v>168</v>
      </c>
      <c r="AO634" s="4">
        <v>168</v>
      </c>
    </row>
    <row r="635" spans="1:41" hidden="1" x14ac:dyDescent="0.2">
      <c r="A635" t="s">
        <v>1334</v>
      </c>
      <c r="B635" t="s">
        <v>1335</v>
      </c>
      <c r="C635" s="2">
        <v>43643</v>
      </c>
      <c r="D635" s="2">
        <v>45029</v>
      </c>
      <c r="E635" s="3">
        <v>1010356</v>
      </c>
      <c r="F635" t="s">
        <v>1177</v>
      </c>
      <c r="G635" t="s">
        <v>639</v>
      </c>
      <c r="H635" t="s">
        <v>45</v>
      </c>
      <c r="I635" s="3">
        <v>10029</v>
      </c>
      <c r="J635" s="3">
        <v>1016177502</v>
      </c>
      <c r="K635" s="3">
        <v>1091648</v>
      </c>
      <c r="L635" t="s">
        <v>153</v>
      </c>
      <c r="M635" s="4">
        <v>8</v>
      </c>
      <c r="N635" t="s">
        <v>774</v>
      </c>
      <c r="O635" t="s">
        <v>267</v>
      </c>
      <c r="P635" s="4">
        <v>40.796931000000001</v>
      </c>
      <c r="Q635" s="4">
        <v>-73.945507000000006</v>
      </c>
      <c r="R635" s="4">
        <v>40.796771999999997</v>
      </c>
      <c r="S635" s="4">
        <v>-73.946059000000005</v>
      </c>
      <c r="T635" s="2">
        <v>44739</v>
      </c>
      <c r="U635" t="s">
        <v>117</v>
      </c>
      <c r="V635" t="s">
        <v>71</v>
      </c>
      <c r="W635" t="s">
        <v>51</v>
      </c>
      <c r="X635" s="4">
        <v>108</v>
      </c>
      <c r="Y635" s="4">
        <v>72</v>
      </c>
      <c r="Z635" s="4">
        <v>108</v>
      </c>
      <c r="AA635" s="4">
        <v>72</v>
      </c>
      <c r="AC635" s="4">
        <v>1</v>
      </c>
      <c r="AD635" s="4">
        <v>92</v>
      </c>
      <c r="AE635" s="4">
        <v>122</v>
      </c>
      <c r="AF635" s="4">
        <v>100</v>
      </c>
      <c r="AG635" s="4">
        <v>47</v>
      </c>
      <c r="AL635" s="4">
        <v>361</v>
      </c>
      <c r="AN635" s="4">
        <v>361</v>
      </c>
      <c r="AO635" s="4">
        <v>361</v>
      </c>
    </row>
    <row r="636" spans="1:41" hidden="1" x14ac:dyDescent="0.2">
      <c r="A636" t="s">
        <v>1336</v>
      </c>
      <c r="B636" t="s">
        <v>1337</v>
      </c>
      <c r="C636" s="2">
        <v>43643</v>
      </c>
      <c r="D636" s="2">
        <v>43643</v>
      </c>
      <c r="E636" s="3">
        <v>1338</v>
      </c>
      <c r="F636" t="s">
        <v>674</v>
      </c>
      <c r="G636" t="s">
        <v>106</v>
      </c>
      <c r="H636" t="s">
        <v>45</v>
      </c>
      <c r="I636" s="3">
        <v>10035</v>
      </c>
      <c r="J636" s="3">
        <v>1017870070</v>
      </c>
      <c r="K636" s="3">
        <v>1054628</v>
      </c>
      <c r="L636" t="s">
        <v>153</v>
      </c>
      <c r="M636" s="4">
        <v>8</v>
      </c>
      <c r="N636" t="s">
        <v>374</v>
      </c>
      <c r="O636" t="s">
        <v>155</v>
      </c>
      <c r="P636" s="4">
        <v>40.800871999999998</v>
      </c>
      <c r="Q636" s="4">
        <v>-73.934866</v>
      </c>
      <c r="R636" s="4">
        <v>40.801248999999999</v>
      </c>
      <c r="S636" s="4">
        <v>-73.935436999999993</v>
      </c>
      <c r="T636" s="2">
        <v>43643</v>
      </c>
      <c r="U636" t="s">
        <v>49</v>
      </c>
      <c r="V636" t="s">
        <v>50</v>
      </c>
      <c r="W636" t="s">
        <v>51</v>
      </c>
      <c r="X636" s="4">
        <v>174</v>
      </c>
      <c r="Y636" s="4">
        <v>23</v>
      </c>
      <c r="Z636" s="4">
        <v>10</v>
      </c>
      <c r="AA636" s="4">
        <v>1</v>
      </c>
      <c r="AD636" s="4">
        <v>42</v>
      </c>
      <c r="AE636" s="4">
        <v>28</v>
      </c>
      <c r="AF636" s="4">
        <v>138</v>
      </c>
      <c r="AL636" s="4">
        <v>208</v>
      </c>
      <c r="AN636" s="4">
        <v>208</v>
      </c>
      <c r="AO636" s="4">
        <v>208</v>
      </c>
    </row>
    <row r="637" spans="1:41" hidden="1" x14ac:dyDescent="0.2">
      <c r="A637" t="s">
        <v>1336</v>
      </c>
      <c r="B637" t="s">
        <v>1337</v>
      </c>
      <c r="C637" s="2">
        <v>43643</v>
      </c>
      <c r="D637" s="2">
        <v>43643</v>
      </c>
      <c r="E637" s="3">
        <v>1339</v>
      </c>
      <c r="F637" t="s">
        <v>675</v>
      </c>
      <c r="G637" t="s">
        <v>106</v>
      </c>
      <c r="H637" t="s">
        <v>45</v>
      </c>
      <c r="I637" s="3">
        <v>10035</v>
      </c>
      <c r="J637" s="3">
        <v>1017870080</v>
      </c>
      <c r="K637" s="3">
        <v>1054629</v>
      </c>
      <c r="L637" t="s">
        <v>153</v>
      </c>
      <c r="M637" s="4">
        <v>8</v>
      </c>
      <c r="N637" t="s">
        <v>374</v>
      </c>
      <c r="O637" t="s">
        <v>155</v>
      </c>
      <c r="P637" s="4">
        <v>40.801081000000003</v>
      </c>
      <c r="Q637" s="4">
        <v>-73.934718000000004</v>
      </c>
      <c r="R637" s="4">
        <v>40.801530999999997</v>
      </c>
      <c r="S637" s="4">
        <v>-73.935371000000004</v>
      </c>
      <c r="T637" s="2">
        <v>43643</v>
      </c>
      <c r="U637" t="s">
        <v>49</v>
      </c>
      <c r="V637" t="s">
        <v>50</v>
      </c>
      <c r="W637" t="s">
        <v>51</v>
      </c>
      <c r="X637" s="4">
        <v>69</v>
      </c>
      <c r="Y637" s="4">
        <v>14</v>
      </c>
      <c r="Z637" s="4">
        <v>7</v>
      </c>
      <c r="AA637" s="4">
        <v>1</v>
      </c>
      <c r="AB637" s="4">
        <v>1</v>
      </c>
      <c r="AG637" s="4">
        <v>64</v>
      </c>
      <c r="AJ637" s="4">
        <v>28</v>
      </c>
      <c r="AL637" s="4">
        <v>92</v>
      </c>
      <c r="AN637" s="4">
        <v>92</v>
      </c>
      <c r="AO637" s="4">
        <v>92</v>
      </c>
    </row>
    <row r="638" spans="1:41" hidden="1" x14ac:dyDescent="0.2">
      <c r="A638" t="s">
        <v>1336</v>
      </c>
      <c r="B638" t="s">
        <v>1337</v>
      </c>
      <c r="C638" s="2">
        <v>43643</v>
      </c>
      <c r="D638" s="2">
        <v>43643</v>
      </c>
      <c r="E638" s="3">
        <v>2098</v>
      </c>
      <c r="F638" t="s">
        <v>676</v>
      </c>
      <c r="G638" t="s">
        <v>237</v>
      </c>
      <c r="H638" t="s">
        <v>45</v>
      </c>
      <c r="I638" s="3">
        <v>10035</v>
      </c>
      <c r="J638" s="3">
        <v>1017870001</v>
      </c>
      <c r="K638" s="3">
        <v>1054626</v>
      </c>
      <c r="L638" t="s">
        <v>153</v>
      </c>
      <c r="M638" s="4">
        <v>8</v>
      </c>
      <c r="N638" t="s">
        <v>374</v>
      </c>
      <c r="O638" t="s">
        <v>155</v>
      </c>
      <c r="P638" s="4">
        <v>40.801859</v>
      </c>
      <c r="Q638" s="4">
        <v>-73.937147999999993</v>
      </c>
      <c r="R638" s="4">
        <v>40.801935999999998</v>
      </c>
      <c r="S638" s="4">
        <v>-73.936632000000003</v>
      </c>
      <c r="T638" s="2">
        <v>43643</v>
      </c>
      <c r="U638" t="s">
        <v>49</v>
      </c>
      <c r="V638" t="s">
        <v>50</v>
      </c>
      <c r="W638" t="s">
        <v>51</v>
      </c>
      <c r="X638" s="4">
        <v>157</v>
      </c>
      <c r="Y638" s="4">
        <v>30</v>
      </c>
      <c r="Z638" s="4">
        <v>15</v>
      </c>
      <c r="AA638" s="4">
        <v>4</v>
      </c>
      <c r="AB638" s="4">
        <v>1</v>
      </c>
      <c r="AC638" s="4">
        <v>1</v>
      </c>
      <c r="AD638" s="4">
        <v>42</v>
      </c>
      <c r="AE638" s="4">
        <v>74</v>
      </c>
      <c r="AF638" s="4">
        <v>46</v>
      </c>
      <c r="AG638" s="4">
        <v>46</v>
      </c>
      <c r="AL638" s="4">
        <v>208</v>
      </c>
      <c r="AN638" s="4">
        <v>208</v>
      </c>
      <c r="AO638" s="4">
        <v>208</v>
      </c>
    </row>
    <row r="639" spans="1:41" hidden="1" x14ac:dyDescent="0.2">
      <c r="A639" t="s">
        <v>1336</v>
      </c>
      <c r="B639" t="s">
        <v>1337</v>
      </c>
      <c r="C639" s="2">
        <v>43643</v>
      </c>
      <c r="D639" s="2">
        <v>43643</v>
      </c>
      <c r="E639" s="3">
        <v>20396</v>
      </c>
      <c r="F639" t="s">
        <v>170</v>
      </c>
      <c r="G639" t="s">
        <v>677</v>
      </c>
      <c r="H639" t="s">
        <v>45</v>
      </c>
      <c r="I639" s="3">
        <v>10035</v>
      </c>
      <c r="J639" s="3">
        <v>1017870060</v>
      </c>
      <c r="K639" s="3">
        <v>1054627</v>
      </c>
      <c r="L639" t="s">
        <v>153</v>
      </c>
      <c r="M639" s="4">
        <v>8</v>
      </c>
      <c r="N639" t="s">
        <v>374</v>
      </c>
      <c r="O639" t="s">
        <v>155</v>
      </c>
      <c r="P639" s="4">
        <v>40.80151</v>
      </c>
      <c r="Q639" s="4">
        <v>-73.936595999999994</v>
      </c>
      <c r="R639" s="4">
        <v>40.801735000000001</v>
      </c>
      <c r="S639" s="4">
        <v>-73.936150999999995</v>
      </c>
      <c r="T639" s="2">
        <v>43643</v>
      </c>
      <c r="U639" t="s">
        <v>49</v>
      </c>
      <c r="V639" t="s">
        <v>50</v>
      </c>
      <c r="W639" t="s">
        <v>51</v>
      </c>
      <c r="X639" s="4">
        <v>120</v>
      </c>
      <c r="Y639" s="4">
        <v>24</v>
      </c>
      <c r="Z639" s="4">
        <v>3</v>
      </c>
      <c r="AA639" s="4">
        <v>1</v>
      </c>
      <c r="AD639" s="4">
        <v>28</v>
      </c>
      <c r="AE639" s="4">
        <v>28</v>
      </c>
      <c r="AG639" s="4">
        <v>92</v>
      </c>
      <c r="AL639" s="4">
        <v>148</v>
      </c>
      <c r="AN639" s="4">
        <v>148</v>
      </c>
      <c r="AO639" s="4">
        <v>148</v>
      </c>
    </row>
    <row r="640" spans="1:41" hidden="1" x14ac:dyDescent="0.2">
      <c r="A640" t="s">
        <v>1338</v>
      </c>
      <c r="B640" t="s">
        <v>1339</v>
      </c>
      <c r="C640" s="2">
        <v>43643</v>
      </c>
      <c r="E640" s="3">
        <v>9438</v>
      </c>
      <c r="F640" t="s">
        <v>69</v>
      </c>
      <c r="G640" t="s">
        <v>483</v>
      </c>
      <c r="H640" t="s">
        <v>45</v>
      </c>
      <c r="I640" s="3">
        <v>10002</v>
      </c>
      <c r="J640" s="3">
        <v>1002480015</v>
      </c>
      <c r="K640" s="3">
        <v>1085945</v>
      </c>
      <c r="L640" t="s">
        <v>64</v>
      </c>
      <c r="M640" s="4">
        <v>1</v>
      </c>
      <c r="N640" t="s">
        <v>484</v>
      </c>
      <c r="O640" t="s">
        <v>485</v>
      </c>
      <c r="P640" s="4">
        <v>40.710591000000001</v>
      </c>
      <c r="Q640" s="4">
        <v>-73.989863999999997</v>
      </c>
      <c r="R640" s="4">
        <v>40.710406999999996</v>
      </c>
      <c r="S640" s="4">
        <v>-73.990386999999998</v>
      </c>
      <c r="U640" t="s">
        <v>49</v>
      </c>
      <c r="V640" t="s">
        <v>71</v>
      </c>
      <c r="W640" t="s">
        <v>51</v>
      </c>
      <c r="Y640" s="4">
        <v>68</v>
      </c>
      <c r="Z640" s="4">
        <v>123</v>
      </c>
      <c r="AA640" s="4">
        <v>6</v>
      </c>
      <c r="AC640" s="4">
        <v>1</v>
      </c>
      <c r="AE640" s="4">
        <v>18</v>
      </c>
      <c r="AF640" s="4">
        <v>144</v>
      </c>
      <c r="AG640" s="4">
        <v>36</v>
      </c>
      <c r="AL640" s="4">
        <v>198</v>
      </c>
      <c r="AN640" s="4">
        <v>198</v>
      </c>
      <c r="AO640" s="4">
        <v>198</v>
      </c>
    </row>
    <row r="641" spans="1:41" hidden="1" x14ac:dyDescent="0.2">
      <c r="A641" t="s">
        <v>1340</v>
      </c>
      <c r="B641" t="s">
        <v>1341</v>
      </c>
      <c r="C641" s="2">
        <v>43636</v>
      </c>
      <c r="D641" s="2">
        <v>45832</v>
      </c>
      <c r="E641" s="3">
        <v>11267</v>
      </c>
      <c r="F641" t="s">
        <v>1342</v>
      </c>
      <c r="G641" t="s">
        <v>1343</v>
      </c>
      <c r="H641" t="s">
        <v>45</v>
      </c>
      <c r="I641" s="3">
        <v>10009</v>
      </c>
      <c r="J641" s="3">
        <v>1003770016</v>
      </c>
      <c r="K641" s="3">
        <v>1004506</v>
      </c>
      <c r="L641" t="s">
        <v>64</v>
      </c>
      <c r="M641" s="4">
        <v>2</v>
      </c>
      <c r="N641" t="s">
        <v>603</v>
      </c>
      <c r="O641" t="s">
        <v>197</v>
      </c>
      <c r="P641" s="4">
        <v>40.724319000000001</v>
      </c>
      <c r="Q641" s="4">
        <v>-73.977548999999996</v>
      </c>
      <c r="R641" s="4">
        <v>40.724145999999998</v>
      </c>
      <c r="S641" s="4">
        <v>-73.977697000000006</v>
      </c>
      <c r="T641" s="2">
        <v>45832</v>
      </c>
      <c r="U641" t="s">
        <v>49</v>
      </c>
      <c r="V641" t="s">
        <v>71</v>
      </c>
      <c r="W641" t="s">
        <v>51</v>
      </c>
      <c r="X641" s="4">
        <v>25</v>
      </c>
      <c r="Y641" s="4">
        <v>4</v>
      </c>
      <c r="AE641" s="4">
        <v>7</v>
      </c>
      <c r="AF641" s="4">
        <v>18</v>
      </c>
      <c r="AG641" s="4">
        <v>4</v>
      </c>
      <c r="AL641" s="4">
        <v>2</v>
      </c>
      <c r="AM641" s="4">
        <v>27</v>
      </c>
      <c r="AN641" s="4">
        <v>29</v>
      </c>
      <c r="AO641" s="4">
        <v>29</v>
      </c>
    </row>
    <row r="642" spans="1:41" hidden="1" x14ac:dyDescent="0.2">
      <c r="A642" t="s">
        <v>1344</v>
      </c>
      <c r="B642" t="s">
        <v>1345</v>
      </c>
      <c r="C642" s="2">
        <v>43630</v>
      </c>
      <c r="D642" s="2">
        <v>44994</v>
      </c>
      <c r="E642" s="3">
        <v>1005800</v>
      </c>
      <c r="F642" t="s">
        <v>1121</v>
      </c>
      <c r="G642" t="s">
        <v>201</v>
      </c>
      <c r="H642" t="s">
        <v>45</v>
      </c>
      <c r="I642" s="3">
        <v>10001</v>
      </c>
      <c r="J642" s="3">
        <v>1006750012</v>
      </c>
      <c r="K642" s="3">
        <v>1091671</v>
      </c>
      <c r="L642" t="s">
        <v>78</v>
      </c>
      <c r="M642" s="4">
        <v>3</v>
      </c>
      <c r="N642" t="s">
        <v>941</v>
      </c>
      <c r="O642" t="s">
        <v>183</v>
      </c>
      <c r="P642" s="4">
        <v>40.753011999999998</v>
      </c>
      <c r="Q642" s="4">
        <v>-74.004017000000005</v>
      </c>
      <c r="R642" s="4">
        <v>40.753233999999999</v>
      </c>
      <c r="S642" s="4">
        <v>-74.004987999999997</v>
      </c>
      <c r="T642" s="2">
        <v>44994</v>
      </c>
      <c r="U642" t="s">
        <v>117</v>
      </c>
      <c r="V642" t="s">
        <v>71</v>
      </c>
      <c r="W642" t="s">
        <v>51</v>
      </c>
      <c r="Y642" s="4">
        <v>94</v>
      </c>
      <c r="Z642" s="4">
        <v>94</v>
      </c>
      <c r="AA642" s="4">
        <v>46</v>
      </c>
      <c r="AD642" s="4">
        <v>37</v>
      </c>
      <c r="AE642" s="4">
        <v>159</v>
      </c>
      <c r="AF642" s="4">
        <v>38</v>
      </c>
      <c r="AL642" s="4">
        <v>234</v>
      </c>
      <c r="AN642" s="4">
        <v>234</v>
      </c>
      <c r="AO642" s="4">
        <v>938</v>
      </c>
    </row>
    <row r="643" spans="1:41" hidden="1" x14ac:dyDescent="0.2">
      <c r="A643" t="s">
        <v>1346</v>
      </c>
      <c r="B643" t="s">
        <v>1347</v>
      </c>
      <c r="C643" s="2">
        <v>43629</v>
      </c>
      <c r="D643" s="2">
        <v>44273</v>
      </c>
      <c r="E643" s="3">
        <v>6478</v>
      </c>
      <c r="F643" t="s">
        <v>303</v>
      </c>
      <c r="G643" t="s">
        <v>1348</v>
      </c>
      <c r="H643" t="s">
        <v>45</v>
      </c>
      <c r="I643" s="3">
        <v>10009</v>
      </c>
      <c r="J643" s="3">
        <v>1003860001</v>
      </c>
      <c r="K643" s="3">
        <v>1004610</v>
      </c>
      <c r="L643" t="s">
        <v>64</v>
      </c>
      <c r="M643" s="4">
        <v>2</v>
      </c>
      <c r="N643" t="s">
        <v>196</v>
      </c>
      <c r="O643" t="s">
        <v>197</v>
      </c>
      <c r="P643" s="4">
        <v>40.722760000000001</v>
      </c>
      <c r="Q643" s="4">
        <v>-73.982889</v>
      </c>
      <c r="R643" s="4">
        <v>40.722692000000002</v>
      </c>
      <c r="S643" s="4">
        <v>-73.982629000000003</v>
      </c>
      <c r="T643" s="2">
        <v>44273</v>
      </c>
      <c r="U643" t="s">
        <v>49</v>
      </c>
      <c r="V643" t="s">
        <v>71</v>
      </c>
      <c r="W643" t="s">
        <v>51</v>
      </c>
      <c r="X643" s="4">
        <v>4</v>
      </c>
      <c r="Y643" s="4">
        <v>2</v>
      </c>
      <c r="AF643" s="4">
        <v>3</v>
      </c>
      <c r="AG643" s="4">
        <v>3</v>
      </c>
      <c r="AL643" s="4">
        <v>6</v>
      </c>
      <c r="AN643" s="4">
        <v>6</v>
      </c>
      <c r="AO643" s="4">
        <v>6</v>
      </c>
    </row>
    <row r="644" spans="1:41" hidden="1" x14ac:dyDescent="0.2">
      <c r="A644" t="s">
        <v>1349</v>
      </c>
      <c r="B644" t="s">
        <v>1350</v>
      </c>
      <c r="C644" s="2">
        <v>43629</v>
      </c>
      <c r="D644" s="2">
        <v>43629</v>
      </c>
      <c r="E644" s="3">
        <v>3490</v>
      </c>
      <c r="F644" t="s">
        <v>1351</v>
      </c>
      <c r="G644" t="s">
        <v>255</v>
      </c>
      <c r="H644" t="s">
        <v>45</v>
      </c>
      <c r="I644" s="3">
        <v>10027</v>
      </c>
      <c r="J644" s="3">
        <v>1019370036</v>
      </c>
      <c r="K644" s="3">
        <v>1081613</v>
      </c>
      <c r="L644" t="s">
        <v>146</v>
      </c>
      <c r="M644" s="4">
        <v>9</v>
      </c>
      <c r="N644" t="s">
        <v>309</v>
      </c>
      <c r="O644" t="s">
        <v>177</v>
      </c>
      <c r="P644" s="4">
        <v>40.813094999999997</v>
      </c>
      <c r="Q644" s="4">
        <v>-73.945330999999996</v>
      </c>
      <c r="R644" s="4">
        <v>40.813344999999998</v>
      </c>
      <c r="S644" s="4">
        <v>-73.945590999999993</v>
      </c>
      <c r="T644" s="2">
        <v>43629</v>
      </c>
      <c r="U644" t="s">
        <v>49</v>
      </c>
      <c r="V644" t="s">
        <v>50</v>
      </c>
      <c r="W644" t="s">
        <v>51</v>
      </c>
      <c r="Y644" s="4">
        <v>3</v>
      </c>
      <c r="Z644" s="4">
        <v>8</v>
      </c>
      <c r="AA644" s="4">
        <v>7</v>
      </c>
      <c r="AB644" s="4">
        <v>5</v>
      </c>
      <c r="AC644" s="4">
        <v>1</v>
      </c>
      <c r="AF644" s="4">
        <v>24</v>
      </c>
      <c r="AL644" s="4">
        <v>24</v>
      </c>
      <c r="AN644" s="4">
        <v>24</v>
      </c>
      <c r="AO644" s="4">
        <v>24</v>
      </c>
    </row>
    <row r="645" spans="1:41" hidden="1" x14ac:dyDescent="0.2">
      <c r="A645" t="s">
        <v>1349</v>
      </c>
      <c r="B645" t="s">
        <v>1350</v>
      </c>
      <c r="C645" s="2">
        <v>43629</v>
      </c>
      <c r="D645" s="2">
        <v>43629</v>
      </c>
      <c r="E645" s="3">
        <v>3495</v>
      </c>
      <c r="F645" t="s">
        <v>1352</v>
      </c>
      <c r="G645" t="s">
        <v>255</v>
      </c>
      <c r="H645" t="s">
        <v>45</v>
      </c>
      <c r="I645" s="3">
        <v>10027</v>
      </c>
      <c r="J645" s="3">
        <v>1019170002</v>
      </c>
      <c r="K645" s="3">
        <v>1058139</v>
      </c>
      <c r="L645" t="s">
        <v>146</v>
      </c>
      <c r="M645" s="4">
        <v>9</v>
      </c>
      <c r="N645" t="s">
        <v>309</v>
      </c>
      <c r="O645" t="s">
        <v>177</v>
      </c>
      <c r="P645" s="4">
        <v>40.813538999999999</v>
      </c>
      <c r="Q645" s="4">
        <v>-73.944980000000001</v>
      </c>
      <c r="R645" s="4">
        <v>40.813426</v>
      </c>
      <c r="S645" s="4">
        <v>-73.944621999999995</v>
      </c>
      <c r="T645" s="2">
        <v>43629</v>
      </c>
      <c r="U645" t="s">
        <v>49</v>
      </c>
      <c r="V645" t="s">
        <v>50</v>
      </c>
      <c r="W645" t="s">
        <v>51</v>
      </c>
      <c r="Y645" s="4">
        <v>2</v>
      </c>
      <c r="Z645" s="4">
        <v>2</v>
      </c>
      <c r="AA645" s="4">
        <v>9</v>
      </c>
      <c r="AB645" s="4">
        <v>3</v>
      </c>
      <c r="AD645" s="4">
        <v>4</v>
      </c>
      <c r="AE645" s="4">
        <v>4</v>
      </c>
      <c r="AF645" s="4">
        <v>4</v>
      </c>
      <c r="AG645" s="4">
        <v>4</v>
      </c>
      <c r="AL645" s="4">
        <v>16</v>
      </c>
      <c r="AN645" s="4">
        <v>16</v>
      </c>
      <c r="AO645" s="4">
        <v>16</v>
      </c>
    </row>
    <row r="646" spans="1:41" hidden="1" x14ac:dyDescent="0.2">
      <c r="A646" t="s">
        <v>1349</v>
      </c>
      <c r="B646" t="s">
        <v>1350</v>
      </c>
      <c r="C646" s="2">
        <v>43629</v>
      </c>
      <c r="D646" s="2">
        <v>43629</v>
      </c>
      <c r="E646" s="3">
        <v>3499</v>
      </c>
      <c r="F646" t="s">
        <v>1353</v>
      </c>
      <c r="G646" t="s">
        <v>255</v>
      </c>
      <c r="H646" t="s">
        <v>45</v>
      </c>
      <c r="I646" s="3">
        <v>10027</v>
      </c>
      <c r="J646" s="3">
        <v>1019170004</v>
      </c>
      <c r="K646" s="3">
        <v>1058141</v>
      </c>
      <c r="L646" t="s">
        <v>146</v>
      </c>
      <c r="M646" s="4">
        <v>9</v>
      </c>
      <c r="N646" t="s">
        <v>309</v>
      </c>
      <c r="O646" t="s">
        <v>177</v>
      </c>
      <c r="P646" s="4">
        <v>40.813662999999998</v>
      </c>
      <c r="Q646" s="4">
        <v>-73.944890000000001</v>
      </c>
      <c r="R646" s="4">
        <v>40.813519999999997</v>
      </c>
      <c r="S646" s="4">
        <v>-73.944553999999997</v>
      </c>
      <c r="T646" s="2">
        <v>43629</v>
      </c>
      <c r="U646" t="s">
        <v>49</v>
      </c>
      <c r="V646" t="s">
        <v>50</v>
      </c>
      <c r="W646" t="s">
        <v>51</v>
      </c>
      <c r="Y646" s="4">
        <v>3</v>
      </c>
      <c r="AA646" s="4">
        <v>6</v>
      </c>
      <c r="AE646" s="4">
        <v>9</v>
      </c>
      <c r="AL646" s="4">
        <v>9</v>
      </c>
      <c r="AN646" s="4">
        <v>9</v>
      </c>
      <c r="AO646" s="4">
        <v>9</v>
      </c>
    </row>
    <row r="647" spans="1:41" hidden="1" x14ac:dyDescent="0.2">
      <c r="A647" t="s">
        <v>1349</v>
      </c>
      <c r="B647" t="s">
        <v>1350</v>
      </c>
      <c r="C647" s="2">
        <v>43629</v>
      </c>
      <c r="D647" s="2">
        <v>43629</v>
      </c>
      <c r="E647" s="3">
        <v>3500</v>
      </c>
      <c r="F647" t="s">
        <v>1354</v>
      </c>
      <c r="G647" t="s">
        <v>255</v>
      </c>
      <c r="H647" t="s">
        <v>45</v>
      </c>
      <c r="I647" s="3">
        <v>10027</v>
      </c>
      <c r="J647" s="3">
        <v>1019380033</v>
      </c>
      <c r="K647" s="3">
        <v>1058782</v>
      </c>
      <c r="L647" t="s">
        <v>146</v>
      </c>
      <c r="M647" s="4">
        <v>9</v>
      </c>
      <c r="N647" t="s">
        <v>309</v>
      </c>
      <c r="O647" t="s">
        <v>177</v>
      </c>
      <c r="P647" s="4">
        <v>40.813733999999997</v>
      </c>
      <c r="Q647" s="4">
        <v>-73.944861000000003</v>
      </c>
      <c r="R647" s="4">
        <v>40.813890999999998</v>
      </c>
      <c r="S647" s="4">
        <v>-73.945239999999998</v>
      </c>
      <c r="T647" s="2">
        <v>43629</v>
      </c>
      <c r="U647" t="s">
        <v>49</v>
      </c>
      <c r="V647" t="s">
        <v>50</v>
      </c>
      <c r="W647" t="s">
        <v>51</v>
      </c>
      <c r="Y647" s="4">
        <v>5</v>
      </c>
      <c r="Z647" s="4">
        <v>1</v>
      </c>
      <c r="AA647" s="4">
        <v>1</v>
      </c>
      <c r="AB647" s="4">
        <v>2</v>
      </c>
      <c r="AF647" s="4">
        <v>9</v>
      </c>
      <c r="AL647" s="4">
        <v>9</v>
      </c>
      <c r="AN647" s="4">
        <v>9</v>
      </c>
      <c r="AO647" s="4">
        <v>9</v>
      </c>
    </row>
    <row r="648" spans="1:41" hidden="1" x14ac:dyDescent="0.2">
      <c r="A648" t="s">
        <v>1349</v>
      </c>
      <c r="B648" t="s">
        <v>1350</v>
      </c>
      <c r="C648" s="2">
        <v>43629</v>
      </c>
      <c r="D648" s="2">
        <v>43629</v>
      </c>
      <c r="E648" s="3">
        <v>3501</v>
      </c>
      <c r="F648" t="s">
        <v>1355</v>
      </c>
      <c r="G648" t="s">
        <v>255</v>
      </c>
      <c r="H648" t="s">
        <v>45</v>
      </c>
      <c r="I648" s="3">
        <v>10027</v>
      </c>
      <c r="J648" s="3">
        <v>1019170064</v>
      </c>
      <c r="K648" s="3">
        <v>1075465</v>
      </c>
      <c r="L648" t="s">
        <v>146</v>
      </c>
      <c r="M648" s="4">
        <v>9</v>
      </c>
      <c r="N648" t="s">
        <v>309</v>
      </c>
      <c r="O648" t="s">
        <v>177</v>
      </c>
      <c r="P648" s="4">
        <v>40.813726000000003</v>
      </c>
      <c r="Q648" s="4">
        <v>-73.944843000000006</v>
      </c>
      <c r="R648" s="4">
        <v>40.813564</v>
      </c>
      <c r="S648" s="4">
        <v>-73.944470999999993</v>
      </c>
      <c r="T648" s="2">
        <v>43629</v>
      </c>
      <c r="U648" t="s">
        <v>49</v>
      </c>
      <c r="V648" t="s">
        <v>50</v>
      </c>
      <c r="W648" t="s">
        <v>51</v>
      </c>
      <c r="Y648" s="4">
        <v>2</v>
      </c>
      <c r="Z648" s="4">
        <v>1</v>
      </c>
      <c r="AA648" s="4">
        <v>4</v>
      </c>
      <c r="AB648" s="4">
        <v>3</v>
      </c>
      <c r="AE648" s="4">
        <v>2</v>
      </c>
      <c r="AF648" s="4">
        <v>8</v>
      </c>
      <c r="AL648" s="4">
        <v>10</v>
      </c>
      <c r="AN648" s="4">
        <v>10</v>
      </c>
      <c r="AO648" s="4">
        <v>10</v>
      </c>
    </row>
    <row r="649" spans="1:41" hidden="1" x14ac:dyDescent="0.2">
      <c r="A649" t="s">
        <v>1349</v>
      </c>
      <c r="B649" t="s">
        <v>1350</v>
      </c>
      <c r="C649" s="2">
        <v>43629</v>
      </c>
      <c r="D649" s="2">
        <v>43629</v>
      </c>
      <c r="E649" s="3">
        <v>3502</v>
      </c>
      <c r="F649" t="s">
        <v>1356</v>
      </c>
      <c r="G649" t="s">
        <v>255</v>
      </c>
      <c r="H649" t="s">
        <v>45</v>
      </c>
      <c r="I649" s="3">
        <v>10027</v>
      </c>
      <c r="J649" s="3">
        <v>1019380034</v>
      </c>
      <c r="K649" s="3">
        <v>1058783</v>
      </c>
      <c r="L649" t="s">
        <v>146</v>
      </c>
      <c r="M649" s="4">
        <v>9</v>
      </c>
      <c r="N649" t="s">
        <v>309</v>
      </c>
      <c r="O649" t="s">
        <v>177</v>
      </c>
      <c r="P649" s="4">
        <v>40.813797000000001</v>
      </c>
      <c r="Q649" s="4">
        <v>-73.944817</v>
      </c>
      <c r="R649" s="4">
        <v>40.813951000000003</v>
      </c>
      <c r="S649" s="4">
        <v>-73.945195999999996</v>
      </c>
      <c r="T649" s="2">
        <v>43629</v>
      </c>
      <c r="U649" t="s">
        <v>49</v>
      </c>
      <c r="V649" t="s">
        <v>50</v>
      </c>
      <c r="W649" t="s">
        <v>51</v>
      </c>
      <c r="Y649" s="4">
        <v>3</v>
      </c>
      <c r="Z649" s="4">
        <v>2</v>
      </c>
      <c r="AA649" s="4">
        <v>3</v>
      </c>
      <c r="AB649" s="4">
        <v>1</v>
      </c>
      <c r="AF649" s="4">
        <v>9</v>
      </c>
      <c r="AL649" s="4">
        <v>9</v>
      </c>
      <c r="AN649" s="4">
        <v>9</v>
      </c>
      <c r="AO649" s="4">
        <v>9</v>
      </c>
    </row>
    <row r="650" spans="1:41" hidden="1" x14ac:dyDescent="0.2">
      <c r="A650" t="s">
        <v>1349</v>
      </c>
      <c r="B650" t="s">
        <v>1350</v>
      </c>
      <c r="C650" s="2">
        <v>43629</v>
      </c>
      <c r="D650" s="2">
        <v>43629</v>
      </c>
      <c r="E650" s="3">
        <v>3503</v>
      </c>
      <c r="F650" t="s">
        <v>1357</v>
      </c>
      <c r="G650" t="s">
        <v>255</v>
      </c>
      <c r="H650" t="s">
        <v>45</v>
      </c>
      <c r="I650" s="3">
        <v>10027</v>
      </c>
      <c r="J650" s="3">
        <v>1019380035</v>
      </c>
      <c r="K650" s="3">
        <v>1058784</v>
      </c>
      <c r="L650" t="s">
        <v>146</v>
      </c>
      <c r="M650" s="4">
        <v>9</v>
      </c>
      <c r="N650" t="s">
        <v>309</v>
      </c>
      <c r="O650" t="s">
        <v>177</v>
      </c>
      <c r="P650" s="4">
        <v>40.813856999999999</v>
      </c>
      <c r="Q650" s="4">
        <v>-73.944770000000005</v>
      </c>
      <c r="R650" s="4">
        <v>40.814011000000001</v>
      </c>
      <c r="S650" s="4">
        <v>-73.945153000000005</v>
      </c>
      <c r="T650" s="2">
        <v>43629</v>
      </c>
      <c r="U650" t="s">
        <v>49</v>
      </c>
      <c r="V650" t="s">
        <v>50</v>
      </c>
      <c r="W650" t="s">
        <v>51</v>
      </c>
      <c r="Y650" s="4">
        <v>4</v>
      </c>
      <c r="AA650" s="4">
        <v>3</v>
      </c>
      <c r="AB650" s="4">
        <v>1</v>
      </c>
      <c r="AF650" s="4">
        <v>8</v>
      </c>
      <c r="AL650" s="4">
        <v>8</v>
      </c>
      <c r="AN650" s="4">
        <v>8</v>
      </c>
      <c r="AO650" s="4">
        <v>8</v>
      </c>
    </row>
    <row r="651" spans="1:41" hidden="1" x14ac:dyDescent="0.2">
      <c r="A651" t="s">
        <v>1349</v>
      </c>
      <c r="B651" t="s">
        <v>1350</v>
      </c>
      <c r="C651" s="2">
        <v>43629</v>
      </c>
      <c r="D651" s="2">
        <v>43629</v>
      </c>
      <c r="E651" s="3">
        <v>3504</v>
      </c>
      <c r="F651" t="s">
        <v>1358</v>
      </c>
      <c r="G651" t="s">
        <v>255</v>
      </c>
      <c r="H651" t="s">
        <v>45</v>
      </c>
      <c r="I651" s="3">
        <v>10027</v>
      </c>
      <c r="J651" s="3">
        <v>1019380036</v>
      </c>
      <c r="K651" s="3">
        <v>1058785</v>
      </c>
      <c r="L651" t="s">
        <v>146</v>
      </c>
      <c r="M651" s="4">
        <v>9</v>
      </c>
      <c r="N651" t="s">
        <v>309</v>
      </c>
      <c r="O651" t="s">
        <v>177</v>
      </c>
      <c r="P651" s="4">
        <v>40.813920000000003</v>
      </c>
      <c r="Q651" s="4">
        <v>-73.944727</v>
      </c>
      <c r="R651" s="4">
        <v>40.814073999999998</v>
      </c>
      <c r="S651" s="4">
        <v>-73.945105999999996</v>
      </c>
      <c r="T651" s="2">
        <v>43629</v>
      </c>
      <c r="U651" t="s">
        <v>49</v>
      </c>
      <c r="V651" t="s">
        <v>50</v>
      </c>
      <c r="W651" t="s">
        <v>51</v>
      </c>
      <c r="Z651" s="4">
        <v>4</v>
      </c>
      <c r="AA651" s="4">
        <v>4</v>
      </c>
      <c r="AB651" s="4">
        <v>1</v>
      </c>
      <c r="AG651" s="4">
        <v>9</v>
      </c>
      <c r="AL651" s="4">
        <v>9</v>
      </c>
      <c r="AN651" s="4">
        <v>9</v>
      </c>
      <c r="AO651" s="4">
        <v>9</v>
      </c>
    </row>
    <row r="652" spans="1:41" hidden="1" x14ac:dyDescent="0.2">
      <c r="A652" t="s">
        <v>1349</v>
      </c>
      <c r="B652" t="s">
        <v>1350</v>
      </c>
      <c r="C652" s="2">
        <v>43629</v>
      </c>
      <c r="D652" s="2">
        <v>43629</v>
      </c>
      <c r="E652" s="3">
        <v>3536</v>
      </c>
      <c r="F652" t="s">
        <v>1359</v>
      </c>
      <c r="G652" t="s">
        <v>255</v>
      </c>
      <c r="H652" t="s">
        <v>45</v>
      </c>
      <c r="I652" s="3">
        <v>10030</v>
      </c>
      <c r="J652" s="3">
        <v>1019410029</v>
      </c>
      <c r="K652" s="3">
        <v>1058892</v>
      </c>
      <c r="L652" t="s">
        <v>146</v>
      </c>
      <c r="M652" s="4">
        <v>9</v>
      </c>
      <c r="N652" t="s">
        <v>322</v>
      </c>
      <c r="O652" t="s">
        <v>177</v>
      </c>
      <c r="P652" s="4">
        <v>40.81541</v>
      </c>
      <c r="Q652" s="4">
        <v>-73.943635</v>
      </c>
      <c r="R652" s="4">
        <v>40.815610999999997</v>
      </c>
      <c r="S652" s="4">
        <v>-73.943984999999998</v>
      </c>
      <c r="T652" s="2">
        <v>43629</v>
      </c>
      <c r="U652" t="s">
        <v>49</v>
      </c>
      <c r="V652" t="s">
        <v>50</v>
      </c>
      <c r="W652" t="s">
        <v>51</v>
      </c>
      <c r="Y652" s="4">
        <v>4</v>
      </c>
      <c r="AA652" s="4">
        <v>3</v>
      </c>
      <c r="AB652" s="4">
        <v>2</v>
      </c>
      <c r="AD652" s="4">
        <v>1</v>
      </c>
      <c r="AF652" s="4">
        <v>2</v>
      </c>
      <c r="AG652" s="4">
        <v>6</v>
      </c>
      <c r="AL652" s="4">
        <v>9</v>
      </c>
      <c r="AN652" s="4">
        <v>9</v>
      </c>
      <c r="AO652" s="4">
        <v>9</v>
      </c>
    </row>
    <row r="653" spans="1:41" hidden="1" x14ac:dyDescent="0.2">
      <c r="A653" t="s">
        <v>1349</v>
      </c>
      <c r="B653" t="s">
        <v>1350</v>
      </c>
      <c r="C653" s="2">
        <v>43629</v>
      </c>
      <c r="D653" s="2">
        <v>43629</v>
      </c>
      <c r="E653" s="3">
        <v>3538</v>
      </c>
      <c r="F653" t="s">
        <v>1360</v>
      </c>
      <c r="G653" t="s">
        <v>255</v>
      </c>
      <c r="H653" t="s">
        <v>45</v>
      </c>
      <c r="I653" s="3">
        <v>10030</v>
      </c>
      <c r="J653" s="3">
        <v>1019410030</v>
      </c>
      <c r="K653" s="3">
        <v>1058893</v>
      </c>
      <c r="L653" t="s">
        <v>146</v>
      </c>
      <c r="M653" s="4">
        <v>9</v>
      </c>
      <c r="N653" t="s">
        <v>322</v>
      </c>
      <c r="O653" t="s">
        <v>177</v>
      </c>
      <c r="P653" s="4">
        <v>40.815461999999997</v>
      </c>
      <c r="Q653" s="4">
        <v>-73.943597999999994</v>
      </c>
      <c r="R653" s="4">
        <v>40.815674000000001</v>
      </c>
      <c r="S653" s="4">
        <v>-73.943938000000003</v>
      </c>
      <c r="T653" s="2">
        <v>43629</v>
      </c>
      <c r="U653" t="s">
        <v>49</v>
      </c>
      <c r="V653" t="s">
        <v>50</v>
      </c>
      <c r="W653" t="s">
        <v>51</v>
      </c>
      <c r="Y653" s="4">
        <v>5</v>
      </c>
      <c r="AA653" s="4">
        <v>1</v>
      </c>
      <c r="AB653" s="4">
        <v>2</v>
      </c>
      <c r="AE653" s="4">
        <v>1</v>
      </c>
      <c r="AG653" s="4">
        <v>7</v>
      </c>
      <c r="AL653" s="4">
        <v>8</v>
      </c>
      <c r="AN653" s="4">
        <v>8</v>
      </c>
      <c r="AO653" s="4">
        <v>8</v>
      </c>
    </row>
    <row r="654" spans="1:41" hidden="1" x14ac:dyDescent="0.2">
      <c r="A654" t="s">
        <v>1349</v>
      </c>
      <c r="B654" t="s">
        <v>1350</v>
      </c>
      <c r="C654" s="2">
        <v>43629</v>
      </c>
      <c r="D654" s="2">
        <v>43629</v>
      </c>
      <c r="E654" s="3">
        <v>3540</v>
      </c>
      <c r="F654" t="s">
        <v>1361</v>
      </c>
      <c r="G654" t="s">
        <v>255</v>
      </c>
      <c r="H654" t="s">
        <v>45</v>
      </c>
      <c r="I654" s="3">
        <v>10030</v>
      </c>
      <c r="J654" s="3">
        <v>1019410031</v>
      </c>
      <c r="K654" s="3">
        <v>1058894</v>
      </c>
      <c r="L654" t="s">
        <v>146</v>
      </c>
      <c r="M654" s="4">
        <v>9</v>
      </c>
      <c r="N654" t="s">
        <v>322</v>
      </c>
      <c r="O654" t="s">
        <v>177</v>
      </c>
      <c r="P654" s="4">
        <v>40.815514999999998</v>
      </c>
      <c r="Q654" s="4">
        <v>-73.943558999999993</v>
      </c>
      <c r="R654" s="4">
        <v>40.815736999999999</v>
      </c>
      <c r="S654" s="4">
        <v>-73.943890999999994</v>
      </c>
      <c r="T654" s="2">
        <v>43629</v>
      </c>
      <c r="U654" t="s">
        <v>49</v>
      </c>
      <c r="V654" t="s">
        <v>50</v>
      </c>
      <c r="W654" t="s">
        <v>51</v>
      </c>
      <c r="Y654" s="4">
        <v>1</v>
      </c>
      <c r="Z654" s="4">
        <v>1</v>
      </c>
      <c r="AA654" s="4">
        <v>5</v>
      </c>
      <c r="AB654" s="4">
        <v>3</v>
      </c>
      <c r="AE654" s="4">
        <v>2</v>
      </c>
      <c r="AF654" s="4">
        <v>4</v>
      </c>
      <c r="AG654" s="4">
        <v>4</v>
      </c>
      <c r="AL654" s="4">
        <v>10</v>
      </c>
      <c r="AN654" s="4">
        <v>10</v>
      </c>
      <c r="AO654" s="4">
        <v>10</v>
      </c>
    </row>
    <row r="655" spans="1:41" hidden="1" x14ac:dyDescent="0.2">
      <c r="A655" t="s">
        <v>1349</v>
      </c>
      <c r="B655" t="s">
        <v>1350</v>
      </c>
      <c r="C655" s="2">
        <v>43629</v>
      </c>
      <c r="D655" s="2">
        <v>43629</v>
      </c>
      <c r="E655" s="3">
        <v>3542</v>
      </c>
      <c r="F655" t="s">
        <v>1362</v>
      </c>
      <c r="G655" t="s">
        <v>255</v>
      </c>
      <c r="H655" t="s">
        <v>45</v>
      </c>
      <c r="I655" s="3">
        <v>10030</v>
      </c>
      <c r="J655" s="3">
        <v>1019410032</v>
      </c>
      <c r="K655" s="3">
        <v>1058895</v>
      </c>
      <c r="L655" t="s">
        <v>146</v>
      </c>
      <c r="M655" s="4">
        <v>9</v>
      </c>
      <c r="N655" t="s">
        <v>322</v>
      </c>
      <c r="O655" t="s">
        <v>177</v>
      </c>
      <c r="P655" s="4">
        <v>40.815567000000001</v>
      </c>
      <c r="Q655" s="4">
        <v>-73.943522000000002</v>
      </c>
      <c r="R655" s="4">
        <v>40.815797000000003</v>
      </c>
      <c r="S655" s="4">
        <v>-73.943847000000005</v>
      </c>
      <c r="T655" s="2">
        <v>43629</v>
      </c>
      <c r="U655" t="s">
        <v>49</v>
      </c>
      <c r="V655" t="s">
        <v>50</v>
      </c>
      <c r="W655" t="s">
        <v>51</v>
      </c>
      <c r="Y655" s="4">
        <v>1</v>
      </c>
      <c r="Z655" s="4">
        <v>1</v>
      </c>
      <c r="AA655" s="4">
        <v>8</v>
      </c>
      <c r="AE655" s="4">
        <v>2</v>
      </c>
      <c r="AF655" s="4">
        <v>7</v>
      </c>
      <c r="AG655" s="4">
        <v>1</v>
      </c>
      <c r="AL655" s="4">
        <v>10</v>
      </c>
      <c r="AN655" s="4">
        <v>10</v>
      </c>
      <c r="AO655" s="4">
        <v>10</v>
      </c>
    </row>
    <row r="656" spans="1:41" hidden="1" x14ac:dyDescent="0.2">
      <c r="A656" t="s">
        <v>1349</v>
      </c>
      <c r="B656" t="s">
        <v>1350</v>
      </c>
      <c r="C656" s="2">
        <v>43629</v>
      </c>
      <c r="D656" s="2">
        <v>43629</v>
      </c>
      <c r="E656" s="3">
        <v>3544</v>
      </c>
      <c r="F656" t="s">
        <v>1363</v>
      </c>
      <c r="G656" t="s">
        <v>255</v>
      </c>
      <c r="H656" t="s">
        <v>45</v>
      </c>
      <c r="I656" s="3">
        <v>10030</v>
      </c>
      <c r="J656" s="3">
        <v>1019410033</v>
      </c>
      <c r="K656" s="3">
        <v>1058896</v>
      </c>
      <c r="L656" t="s">
        <v>146</v>
      </c>
      <c r="M656" s="4">
        <v>9</v>
      </c>
      <c r="N656" t="s">
        <v>322</v>
      </c>
      <c r="O656" t="s">
        <v>177</v>
      </c>
      <c r="P656" s="4">
        <v>40.815618999999998</v>
      </c>
      <c r="Q656" s="4">
        <v>-73.943483000000001</v>
      </c>
      <c r="R656" s="4">
        <v>40.815874000000001</v>
      </c>
      <c r="S656" s="4">
        <v>-73.943792999999999</v>
      </c>
      <c r="T656" s="2">
        <v>43629</v>
      </c>
      <c r="U656" t="s">
        <v>49</v>
      </c>
      <c r="V656" t="s">
        <v>50</v>
      </c>
      <c r="W656" t="s">
        <v>51</v>
      </c>
      <c r="Y656" s="4">
        <v>3</v>
      </c>
      <c r="Z656" s="4">
        <v>2</v>
      </c>
      <c r="AA656" s="4">
        <v>8</v>
      </c>
      <c r="AB656" s="4">
        <v>3</v>
      </c>
      <c r="AE656" s="4">
        <v>12</v>
      </c>
      <c r="AF656" s="4">
        <v>4</v>
      </c>
      <c r="AL656" s="4">
        <v>16</v>
      </c>
      <c r="AN656" s="4">
        <v>16</v>
      </c>
      <c r="AO656" s="4">
        <v>16</v>
      </c>
    </row>
    <row r="657" spans="1:41" hidden="1" x14ac:dyDescent="0.2">
      <c r="A657" t="s">
        <v>1349</v>
      </c>
      <c r="B657" t="s">
        <v>1350</v>
      </c>
      <c r="C657" s="2">
        <v>43629</v>
      </c>
      <c r="D657" s="2">
        <v>43629</v>
      </c>
      <c r="E657" s="3">
        <v>3546</v>
      </c>
      <c r="F657" t="s">
        <v>1364</v>
      </c>
      <c r="G657" t="s">
        <v>255</v>
      </c>
      <c r="H657" t="s">
        <v>45</v>
      </c>
      <c r="I657" s="3">
        <v>10030</v>
      </c>
      <c r="J657" s="3">
        <v>1019410034</v>
      </c>
      <c r="K657" s="3">
        <v>1058897</v>
      </c>
      <c r="L657" t="s">
        <v>146</v>
      </c>
      <c r="M657" s="4">
        <v>9</v>
      </c>
      <c r="N657" t="s">
        <v>322</v>
      </c>
      <c r="O657" t="s">
        <v>177</v>
      </c>
      <c r="P657" s="4">
        <v>40.815671000000002</v>
      </c>
      <c r="Q657" s="4">
        <v>-73.943445999999994</v>
      </c>
      <c r="R657" s="4">
        <v>40.815961999999999</v>
      </c>
      <c r="S657" s="4">
        <v>-73.943727999999993</v>
      </c>
      <c r="T657" s="2">
        <v>43629</v>
      </c>
      <c r="U657" t="s">
        <v>49</v>
      </c>
      <c r="V657" t="s">
        <v>50</v>
      </c>
      <c r="W657" t="s">
        <v>51</v>
      </c>
      <c r="X657" s="4">
        <v>2</v>
      </c>
      <c r="Y657" s="4">
        <v>1</v>
      </c>
      <c r="AA657" s="4">
        <v>5</v>
      </c>
      <c r="AB657" s="4">
        <v>2</v>
      </c>
      <c r="AE657" s="4">
        <v>3</v>
      </c>
      <c r="AF657" s="4">
        <v>1</v>
      </c>
      <c r="AG657" s="4">
        <v>4</v>
      </c>
      <c r="AH657" s="4">
        <v>2</v>
      </c>
      <c r="AL657" s="4">
        <v>10</v>
      </c>
      <c r="AN657" s="4">
        <v>10</v>
      </c>
      <c r="AO657" s="4">
        <v>10</v>
      </c>
    </row>
    <row r="658" spans="1:41" hidden="1" x14ac:dyDescent="0.2">
      <c r="A658" t="s">
        <v>1349</v>
      </c>
      <c r="B658" t="s">
        <v>1350</v>
      </c>
      <c r="C658" s="2">
        <v>43629</v>
      </c>
      <c r="D658" s="2">
        <v>43629</v>
      </c>
      <c r="E658" s="3">
        <v>3613</v>
      </c>
      <c r="F658" t="s">
        <v>1365</v>
      </c>
      <c r="G658" t="s">
        <v>255</v>
      </c>
      <c r="H658" t="s">
        <v>45</v>
      </c>
      <c r="I658" s="3">
        <v>10030</v>
      </c>
      <c r="J658" s="3">
        <v>1020300031</v>
      </c>
      <c r="K658" s="3">
        <v>1060457</v>
      </c>
      <c r="L658" t="s">
        <v>146</v>
      </c>
      <c r="M658" s="4">
        <v>9</v>
      </c>
      <c r="N658" t="s">
        <v>425</v>
      </c>
      <c r="O658" t="s">
        <v>177</v>
      </c>
      <c r="P658" s="4">
        <v>40.821213</v>
      </c>
      <c r="Q658" s="4">
        <v>-73.939398999999995</v>
      </c>
      <c r="R658" s="4">
        <v>40.821342000000001</v>
      </c>
      <c r="S658" s="4">
        <v>-73.939791999999997</v>
      </c>
      <c r="T658" s="2">
        <v>43629</v>
      </c>
      <c r="U658" t="s">
        <v>49</v>
      </c>
      <c r="V658" t="s">
        <v>50</v>
      </c>
      <c r="W658" t="s">
        <v>51</v>
      </c>
      <c r="X658" s="4">
        <v>5</v>
      </c>
      <c r="AA658" s="4">
        <v>6</v>
      </c>
      <c r="AB658" s="4">
        <v>11</v>
      </c>
      <c r="AC658" s="4">
        <v>1</v>
      </c>
      <c r="AF658" s="4">
        <v>15</v>
      </c>
      <c r="AG658" s="4">
        <v>8</v>
      </c>
      <c r="AL658" s="4">
        <v>23</v>
      </c>
      <c r="AN658" s="4">
        <v>23</v>
      </c>
      <c r="AO658" s="4">
        <v>23</v>
      </c>
    </row>
    <row r="659" spans="1:41" hidden="1" x14ac:dyDescent="0.2">
      <c r="A659" t="s">
        <v>1349</v>
      </c>
      <c r="B659" t="s">
        <v>1350</v>
      </c>
      <c r="C659" s="2">
        <v>43629</v>
      </c>
      <c r="D659" s="2">
        <v>43629</v>
      </c>
      <c r="E659" s="3">
        <v>40588</v>
      </c>
      <c r="F659" t="s">
        <v>461</v>
      </c>
      <c r="G659" t="s">
        <v>1012</v>
      </c>
      <c r="H659" t="s">
        <v>45</v>
      </c>
      <c r="I659" s="3">
        <v>10030</v>
      </c>
      <c r="J659" s="3">
        <v>1019380039</v>
      </c>
      <c r="K659" s="3">
        <v>1058787</v>
      </c>
      <c r="L659" t="s">
        <v>146</v>
      </c>
      <c r="M659" s="4">
        <v>9</v>
      </c>
      <c r="N659" t="s">
        <v>309</v>
      </c>
      <c r="O659" t="s">
        <v>177</v>
      </c>
      <c r="P659" s="4">
        <v>40.814216999999999</v>
      </c>
      <c r="Q659" s="4">
        <v>-73.945160000000001</v>
      </c>
      <c r="R659" s="4">
        <v>40.814129000000001</v>
      </c>
      <c r="S659" s="4">
        <v>-73.945518000000007</v>
      </c>
      <c r="T659" s="2">
        <v>43629</v>
      </c>
      <c r="U659" t="s">
        <v>49</v>
      </c>
      <c r="V659" t="s">
        <v>50</v>
      </c>
      <c r="W659" t="s">
        <v>51</v>
      </c>
      <c r="Y659" s="4">
        <v>9</v>
      </c>
      <c r="Z659" s="4">
        <v>5</v>
      </c>
      <c r="AA659" s="4">
        <v>7</v>
      </c>
      <c r="AC659" s="4">
        <v>1</v>
      </c>
      <c r="AD659" s="4">
        <v>1</v>
      </c>
      <c r="AE659" s="4">
        <v>9</v>
      </c>
      <c r="AF659" s="4">
        <v>12</v>
      </c>
      <c r="AL659" s="4">
        <v>22</v>
      </c>
      <c r="AN659" s="4">
        <v>22</v>
      </c>
      <c r="AO659" s="4">
        <v>22</v>
      </c>
    </row>
    <row r="660" spans="1:41" hidden="1" x14ac:dyDescent="0.2">
      <c r="A660" t="s">
        <v>1349</v>
      </c>
      <c r="B660" t="s">
        <v>1350</v>
      </c>
      <c r="C660" s="2">
        <v>43629</v>
      </c>
      <c r="D660" s="2">
        <v>43629</v>
      </c>
      <c r="E660" s="3">
        <v>40589</v>
      </c>
      <c r="F660" t="s">
        <v>192</v>
      </c>
      <c r="G660" t="s">
        <v>1012</v>
      </c>
      <c r="H660" t="s">
        <v>45</v>
      </c>
      <c r="I660" s="3">
        <v>10030</v>
      </c>
      <c r="J660" s="3">
        <v>1019380041</v>
      </c>
      <c r="K660" s="3">
        <v>1058788</v>
      </c>
      <c r="L660" t="s">
        <v>146</v>
      </c>
      <c r="M660" s="4">
        <v>9</v>
      </c>
      <c r="N660" t="s">
        <v>309</v>
      </c>
      <c r="O660" t="s">
        <v>177</v>
      </c>
      <c r="P660" s="4">
        <v>40.814236000000001</v>
      </c>
      <c r="Q660" s="4">
        <v>-73.945203000000006</v>
      </c>
      <c r="R660" s="4">
        <v>40.814176000000003</v>
      </c>
      <c r="S660" s="4">
        <v>-73.945637000000005</v>
      </c>
      <c r="T660" s="2">
        <v>43629</v>
      </c>
      <c r="U660" t="s">
        <v>49</v>
      </c>
      <c r="V660" t="s">
        <v>50</v>
      </c>
      <c r="W660" t="s">
        <v>51</v>
      </c>
      <c r="Y660" s="4">
        <v>4</v>
      </c>
      <c r="Z660" s="4">
        <v>3</v>
      </c>
      <c r="AA660" s="4">
        <v>13</v>
      </c>
      <c r="AB660" s="4">
        <v>2</v>
      </c>
      <c r="AD660" s="4">
        <v>2</v>
      </c>
      <c r="AE660" s="4">
        <v>8</v>
      </c>
      <c r="AF660" s="4">
        <v>12</v>
      </c>
      <c r="AL660" s="4">
        <v>22</v>
      </c>
      <c r="AN660" s="4">
        <v>22</v>
      </c>
      <c r="AO660" s="4">
        <v>22</v>
      </c>
    </row>
    <row r="661" spans="1:41" hidden="1" x14ac:dyDescent="0.2">
      <c r="A661" t="s">
        <v>1366</v>
      </c>
      <c r="B661" t="s">
        <v>1367</v>
      </c>
      <c r="C661" s="2">
        <v>43629</v>
      </c>
      <c r="D661" s="2">
        <v>43629</v>
      </c>
      <c r="E661" s="3">
        <v>8230</v>
      </c>
      <c r="F661" t="s">
        <v>1368</v>
      </c>
      <c r="G661" t="s">
        <v>389</v>
      </c>
      <c r="H661" t="s">
        <v>45</v>
      </c>
      <c r="I661" s="3">
        <v>10033</v>
      </c>
      <c r="J661" s="3">
        <v>1021760054</v>
      </c>
      <c r="K661" s="3">
        <v>1064270</v>
      </c>
      <c r="L661" t="s">
        <v>114</v>
      </c>
      <c r="M661" s="4">
        <v>10</v>
      </c>
      <c r="N661" t="s">
        <v>1369</v>
      </c>
      <c r="O661" t="s">
        <v>116</v>
      </c>
      <c r="P661" s="4">
        <v>40.849035000000001</v>
      </c>
      <c r="Q661" s="4">
        <v>-73.936976999999999</v>
      </c>
      <c r="R661" s="4">
        <v>40.849218999999998</v>
      </c>
      <c r="S661" s="4">
        <v>-73.937298999999996</v>
      </c>
      <c r="T661" s="2">
        <v>43629</v>
      </c>
      <c r="U661" t="s">
        <v>49</v>
      </c>
      <c r="V661" t="s">
        <v>50</v>
      </c>
      <c r="W661" t="s">
        <v>51</v>
      </c>
      <c r="X661" s="4">
        <v>2</v>
      </c>
      <c r="Y661" s="4">
        <v>12</v>
      </c>
      <c r="Z661" s="4">
        <v>22</v>
      </c>
      <c r="AA661" s="4">
        <v>8</v>
      </c>
      <c r="AB661" s="4">
        <v>4</v>
      </c>
      <c r="AC661" s="4">
        <v>1</v>
      </c>
      <c r="AE661" s="4">
        <v>1</v>
      </c>
      <c r="AF661" s="4">
        <v>12</v>
      </c>
      <c r="AG661" s="4">
        <v>34</v>
      </c>
      <c r="AH661" s="4">
        <v>2</v>
      </c>
      <c r="AL661" s="4">
        <v>49</v>
      </c>
      <c r="AN661" s="4">
        <v>49</v>
      </c>
      <c r="AO661" s="4">
        <v>49</v>
      </c>
    </row>
    <row r="662" spans="1:41" hidden="1" x14ac:dyDescent="0.2">
      <c r="A662" t="s">
        <v>1366</v>
      </c>
      <c r="B662" t="s">
        <v>1367</v>
      </c>
      <c r="C662" s="2">
        <v>43629</v>
      </c>
      <c r="D662" s="2">
        <v>43629</v>
      </c>
      <c r="E662" s="3">
        <v>27927</v>
      </c>
      <c r="F662" t="s">
        <v>1370</v>
      </c>
      <c r="G662" t="s">
        <v>345</v>
      </c>
      <c r="H662" t="s">
        <v>45</v>
      </c>
      <c r="I662" s="3">
        <v>10032</v>
      </c>
      <c r="J662" s="3">
        <v>1021220084</v>
      </c>
      <c r="K662" s="3">
        <v>1076743</v>
      </c>
      <c r="L662" t="s">
        <v>114</v>
      </c>
      <c r="M662" s="4">
        <v>10</v>
      </c>
      <c r="N662" t="s">
        <v>762</v>
      </c>
      <c r="O662" t="s">
        <v>134</v>
      </c>
      <c r="P662" s="4">
        <v>40.838137000000003</v>
      </c>
      <c r="Q662" s="4">
        <v>-73.939914999999999</v>
      </c>
      <c r="R662" s="4">
        <v>40.838445</v>
      </c>
      <c r="S662" s="4">
        <v>-73.940271999999993</v>
      </c>
      <c r="T662" s="2">
        <v>43629</v>
      </c>
      <c r="U662" t="s">
        <v>49</v>
      </c>
      <c r="V662" t="s">
        <v>50</v>
      </c>
      <c r="W662" t="s">
        <v>51</v>
      </c>
      <c r="X662" s="4">
        <v>1</v>
      </c>
      <c r="Y662" s="4">
        <v>10</v>
      </c>
      <c r="Z662" s="4">
        <v>32</v>
      </c>
      <c r="AA662" s="4">
        <v>7</v>
      </c>
      <c r="AB662" s="4">
        <v>5</v>
      </c>
      <c r="AC662" s="4">
        <v>1</v>
      </c>
      <c r="AE662" s="4">
        <v>39</v>
      </c>
      <c r="AF662" s="4">
        <v>17</v>
      </c>
      <c r="AL662" s="4">
        <v>56</v>
      </c>
      <c r="AN662" s="4">
        <v>56</v>
      </c>
      <c r="AO662" s="4">
        <v>56</v>
      </c>
    </row>
    <row r="663" spans="1:41" hidden="1" x14ac:dyDescent="0.2">
      <c r="A663" t="s">
        <v>1366</v>
      </c>
      <c r="B663" t="s">
        <v>1367</v>
      </c>
      <c r="C663" s="2">
        <v>43629</v>
      </c>
      <c r="D663" s="2">
        <v>43629</v>
      </c>
      <c r="E663" s="3">
        <v>27942</v>
      </c>
      <c r="F663" t="s">
        <v>1371</v>
      </c>
      <c r="G663" t="s">
        <v>345</v>
      </c>
      <c r="H663" t="s">
        <v>45</v>
      </c>
      <c r="I663" s="3">
        <v>10032</v>
      </c>
      <c r="J663" s="3">
        <v>1021280008</v>
      </c>
      <c r="K663" s="3">
        <v>1063063</v>
      </c>
      <c r="L663" t="s">
        <v>114</v>
      </c>
      <c r="M663" s="4">
        <v>10</v>
      </c>
      <c r="N663" t="s">
        <v>397</v>
      </c>
      <c r="O663" t="s">
        <v>134</v>
      </c>
      <c r="P663" s="4">
        <v>40.843198000000001</v>
      </c>
      <c r="Q663" s="4">
        <v>-73.938192999999998</v>
      </c>
      <c r="R663" s="4">
        <v>40.843173</v>
      </c>
      <c r="S663" s="4">
        <v>-73.937763000000004</v>
      </c>
      <c r="T663" s="2">
        <v>43629</v>
      </c>
      <c r="U663" t="s">
        <v>49</v>
      </c>
      <c r="V663" t="s">
        <v>50</v>
      </c>
      <c r="W663" t="s">
        <v>51</v>
      </c>
      <c r="X663" s="4">
        <v>1</v>
      </c>
      <c r="Y663" s="4">
        <v>19</v>
      </c>
      <c r="Z663" s="4">
        <v>19</v>
      </c>
      <c r="AA663" s="4">
        <v>4</v>
      </c>
      <c r="AC663" s="4">
        <v>1</v>
      </c>
      <c r="AE663" s="4">
        <v>11</v>
      </c>
      <c r="AF663" s="4">
        <v>13</v>
      </c>
      <c r="AG663" s="4">
        <v>20</v>
      </c>
      <c r="AL663" s="4">
        <v>44</v>
      </c>
      <c r="AN663" s="4">
        <v>44</v>
      </c>
      <c r="AO663" s="4">
        <v>44</v>
      </c>
    </row>
    <row r="664" spans="1:41" hidden="1" x14ac:dyDescent="0.2">
      <c r="A664" t="s">
        <v>1366</v>
      </c>
      <c r="B664" t="s">
        <v>1367</v>
      </c>
      <c r="C664" s="2">
        <v>43629</v>
      </c>
      <c r="D664" s="2">
        <v>43629</v>
      </c>
      <c r="E664" s="3">
        <v>27944</v>
      </c>
      <c r="F664" t="s">
        <v>1372</v>
      </c>
      <c r="G664" t="s">
        <v>345</v>
      </c>
      <c r="H664" t="s">
        <v>45</v>
      </c>
      <c r="I664" s="3">
        <v>10032</v>
      </c>
      <c r="J664" s="3">
        <v>1021410048</v>
      </c>
      <c r="K664" s="3">
        <v>1063468</v>
      </c>
      <c r="L664" t="s">
        <v>114</v>
      </c>
      <c r="M664" s="4">
        <v>10</v>
      </c>
      <c r="N664" t="s">
        <v>397</v>
      </c>
      <c r="O664" t="s">
        <v>134</v>
      </c>
      <c r="P664" s="4">
        <v>40.843656000000003</v>
      </c>
      <c r="Q664" s="4">
        <v>-73.937882000000002</v>
      </c>
      <c r="R664" s="4">
        <v>40.843812999999997</v>
      </c>
      <c r="S664" s="4">
        <v>-73.938164</v>
      </c>
      <c r="T664" s="2">
        <v>43629</v>
      </c>
      <c r="U664" t="s">
        <v>49</v>
      </c>
      <c r="V664" t="s">
        <v>50</v>
      </c>
      <c r="W664" t="s">
        <v>51</v>
      </c>
      <c r="X664" s="4">
        <v>3</v>
      </c>
      <c r="Y664" s="4">
        <v>11</v>
      </c>
      <c r="Z664" s="4">
        <v>17</v>
      </c>
      <c r="AA664" s="4">
        <v>4</v>
      </c>
      <c r="AB664" s="4">
        <v>3</v>
      </c>
      <c r="AC664" s="4">
        <v>1</v>
      </c>
      <c r="AF664" s="4">
        <v>2</v>
      </c>
      <c r="AG664" s="4">
        <v>34</v>
      </c>
      <c r="AH664" s="4">
        <v>3</v>
      </c>
      <c r="AL664" s="4">
        <v>39</v>
      </c>
      <c r="AN664" s="4">
        <v>39</v>
      </c>
      <c r="AO664" s="4">
        <v>39</v>
      </c>
    </row>
    <row r="665" spans="1:41" hidden="1" x14ac:dyDescent="0.2">
      <c r="A665" t="s">
        <v>1366</v>
      </c>
      <c r="B665" t="s">
        <v>1367</v>
      </c>
      <c r="C665" s="2">
        <v>43629</v>
      </c>
      <c r="D665" s="2">
        <v>43629</v>
      </c>
      <c r="E665" s="3">
        <v>27964</v>
      </c>
      <c r="F665" t="s">
        <v>1373</v>
      </c>
      <c r="G665" t="s">
        <v>345</v>
      </c>
      <c r="H665" t="s">
        <v>45</v>
      </c>
      <c r="I665" s="3">
        <v>10033</v>
      </c>
      <c r="J665" s="3">
        <v>1021330030</v>
      </c>
      <c r="K665" s="3">
        <v>1063226</v>
      </c>
      <c r="L665" t="s">
        <v>114</v>
      </c>
      <c r="M665" s="4">
        <v>10</v>
      </c>
      <c r="N665" t="s">
        <v>346</v>
      </c>
      <c r="O665" t="s">
        <v>134</v>
      </c>
      <c r="P665" s="4">
        <v>40.846193999999997</v>
      </c>
      <c r="Q665" s="4">
        <v>-73.936000000000007</v>
      </c>
      <c r="R665" s="4">
        <v>40.846165999999997</v>
      </c>
      <c r="S665" s="4">
        <v>-73.935635000000005</v>
      </c>
      <c r="T665" s="2">
        <v>43629</v>
      </c>
      <c r="U665" t="s">
        <v>49</v>
      </c>
      <c r="V665" t="s">
        <v>50</v>
      </c>
      <c r="W665" t="s">
        <v>51</v>
      </c>
      <c r="X665" s="4">
        <v>4</v>
      </c>
      <c r="Y665" s="4">
        <v>16</v>
      </c>
      <c r="Z665" s="4">
        <v>17</v>
      </c>
      <c r="AA665" s="4">
        <v>13</v>
      </c>
      <c r="AB665" s="4">
        <v>4</v>
      </c>
      <c r="AC665" s="4">
        <v>1</v>
      </c>
      <c r="AD665" s="4">
        <v>4</v>
      </c>
      <c r="AE665" s="4">
        <v>18</v>
      </c>
      <c r="AF665" s="4">
        <v>32</v>
      </c>
      <c r="AG665" s="4">
        <v>1</v>
      </c>
      <c r="AL665" s="4">
        <v>55</v>
      </c>
      <c r="AN665" s="4">
        <v>55</v>
      </c>
      <c r="AO665" s="4">
        <v>55</v>
      </c>
    </row>
    <row r="666" spans="1:41" hidden="1" x14ac:dyDescent="0.2">
      <c r="A666" t="s">
        <v>1366</v>
      </c>
      <c r="B666" t="s">
        <v>1367</v>
      </c>
      <c r="C666" s="2">
        <v>43629</v>
      </c>
      <c r="D666" s="2">
        <v>43629</v>
      </c>
      <c r="E666" s="3">
        <v>28040</v>
      </c>
      <c r="F666" t="s">
        <v>1374</v>
      </c>
      <c r="G666" t="s">
        <v>345</v>
      </c>
      <c r="H666" t="s">
        <v>45</v>
      </c>
      <c r="I666" s="3">
        <v>10040</v>
      </c>
      <c r="J666" s="3">
        <v>1021690034</v>
      </c>
      <c r="K666" s="3">
        <v>1064029</v>
      </c>
      <c r="L666" t="s">
        <v>114</v>
      </c>
      <c r="M666" s="4">
        <v>10</v>
      </c>
      <c r="N666" t="s">
        <v>1375</v>
      </c>
      <c r="O666" t="s">
        <v>116</v>
      </c>
      <c r="P666" s="4">
        <v>40.855656000000003</v>
      </c>
      <c r="Q666" s="4">
        <v>-73.929112000000003</v>
      </c>
      <c r="R666" s="4">
        <v>40.855876000000002</v>
      </c>
      <c r="S666" s="4">
        <v>-73.929343000000003</v>
      </c>
      <c r="T666" s="2">
        <v>43629</v>
      </c>
      <c r="U666" t="s">
        <v>49</v>
      </c>
      <c r="V666" t="s">
        <v>50</v>
      </c>
      <c r="W666" t="s">
        <v>51</v>
      </c>
      <c r="X666" s="4">
        <v>2</v>
      </c>
      <c r="Y666" s="4">
        <v>17</v>
      </c>
      <c r="Z666" s="4">
        <v>10</v>
      </c>
      <c r="AA666" s="4">
        <v>8</v>
      </c>
      <c r="AB666" s="4">
        <v>1</v>
      </c>
      <c r="AF666" s="4">
        <v>23</v>
      </c>
      <c r="AG666" s="4">
        <v>15</v>
      </c>
      <c r="AL666" s="4">
        <v>38</v>
      </c>
      <c r="AN666" s="4">
        <v>38</v>
      </c>
      <c r="AO666" s="4">
        <v>38</v>
      </c>
    </row>
    <row r="667" spans="1:41" hidden="1" x14ac:dyDescent="0.2">
      <c r="A667" t="s">
        <v>1366</v>
      </c>
      <c r="B667" t="s">
        <v>1367</v>
      </c>
      <c r="C667" s="2">
        <v>43629</v>
      </c>
      <c r="D667" s="2">
        <v>43629</v>
      </c>
      <c r="E667" s="3">
        <v>28043</v>
      </c>
      <c r="F667" t="s">
        <v>1376</v>
      </c>
      <c r="G667" t="s">
        <v>1377</v>
      </c>
      <c r="H667" t="s">
        <v>45</v>
      </c>
      <c r="I667" s="3">
        <v>10040</v>
      </c>
      <c r="J667" s="3">
        <v>1021690029</v>
      </c>
      <c r="K667" s="3">
        <v>1064028</v>
      </c>
      <c r="L667" t="s">
        <v>114</v>
      </c>
      <c r="M667" s="4">
        <v>10</v>
      </c>
      <c r="N667" t="s">
        <v>1375</v>
      </c>
      <c r="O667" t="s">
        <v>116</v>
      </c>
      <c r="P667" s="4">
        <v>40.856237999999998</v>
      </c>
      <c r="Q667" s="4">
        <v>-73.928865999999999</v>
      </c>
      <c r="R667" s="4">
        <v>40.856126000000003</v>
      </c>
      <c r="S667" s="4">
        <v>-73.929165999999995</v>
      </c>
      <c r="T667" s="2">
        <v>43629</v>
      </c>
      <c r="U667" t="s">
        <v>49</v>
      </c>
      <c r="V667" t="s">
        <v>50</v>
      </c>
      <c r="W667" t="s">
        <v>51</v>
      </c>
      <c r="X667" s="4">
        <v>1</v>
      </c>
      <c r="Y667" s="4">
        <v>19</v>
      </c>
      <c r="Z667" s="4">
        <v>12</v>
      </c>
      <c r="AA667" s="4">
        <v>5</v>
      </c>
      <c r="AB667" s="4">
        <v>1</v>
      </c>
      <c r="AE667" s="4">
        <v>2</v>
      </c>
      <c r="AF667" s="4">
        <v>16</v>
      </c>
      <c r="AG667" s="4">
        <v>20</v>
      </c>
      <c r="AL667" s="4">
        <v>38</v>
      </c>
      <c r="AN667" s="4">
        <v>38</v>
      </c>
      <c r="AO667" s="4">
        <v>38</v>
      </c>
    </row>
    <row r="668" spans="1:41" hidden="1" x14ac:dyDescent="0.2">
      <c r="A668" t="s">
        <v>1366</v>
      </c>
      <c r="B668" t="s">
        <v>1367</v>
      </c>
      <c r="C668" s="2">
        <v>43629</v>
      </c>
      <c r="D668" s="2">
        <v>43629</v>
      </c>
      <c r="E668" s="3">
        <v>43035</v>
      </c>
      <c r="F668" t="s">
        <v>1378</v>
      </c>
      <c r="G668" t="s">
        <v>853</v>
      </c>
      <c r="H668" t="s">
        <v>45</v>
      </c>
      <c r="I668" s="3">
        <v>10032</v>
      </c>
      <c r="J668" s="3">
        <v>1021220088</v>
      </c>
      <c r="K668" s="3">
        <v>1062933</v>
      </c>
      <c r="L668" t="s">
        <v>114</v>
      </c>
      <c r="M668" s="4">
        <v>10</v>
      </c>
      <c r="N668" t="s">
        <v>762</v>
      </c>
      <c r="O668" t="s">
        <v>134</v>
      </c>
      <c r="P668" s="4">
        <v>40.837926000000003</v>
      </c>
      <c r="Q668" s="4">
        <v>-73.940482000000003</v>
      </c>
      <c r="R668" s="4">
        <v>40.838140000000003</v>
      </c>
      <c r="S668" s="4">
        <v>-73.940344999999994</v>
      </c>
      <c r="T668" s="2">
        <v>43629</v>
      </c>
      <c r="U668" t="s">
        <v>49</v>
      </c>
      <c r="V668" t="s">
        <v>50</v>
      </c>
      <c r="W668" t="s">
        <v>51</v>
      </c>
      <c r="X668" s="4">
        <v>11</v>
      </c>
      <c r="Y668" s="4">
        <v>26</v>
      </c>
      <c r="Z668" s="4">
        <v>9</v>
      </c>
      <c r="AA668" s="4">
        <v>4</v>
      </c>
      <c r="AB668" s="4">
        <v>1</v>
      </c>
      <c r="AC668" s="4">
        <v>1</v>
      </c>
      <c r="AE668" s="4">
        <v>1</v>
      </c>
      <c r="AF668" s="4">
        <v>6</v>
      </c>
      <c r="AG668" s="4">
        <v>34</v>
      </c>
      <c r="AH668" s="4">
        <v>11</v>
      </c>
      <c r="AL668" s="4">
        <v>52</v>
      </c>
      <c r="AN668" s="4">
        <v>52</v>
      </c>
      <c r="AO668" s="4">
        <v>52</v>
      </c>
    </row>
    <row r="669" spans="1:41" hidden="1" x14ac:dyDescent="0.2">
      <c r="A669" t="s">
        <v>1366</v>
      </c>
      <c r="B669" t="s">
        <v>1367</v>
      </c>
      <c r="C669" s="2">
        <v>43629</v>
      </c>
      <c r="D669" s="2">
        <v>43629</v>
      </c>
      <c r="E669" s="3">
        <v>43265</v>
      </c>
      <c r="F669" t="s">
        <v>1379</v>
      </c>
      <c r="G669" t="s">
        <v>1380</v>
      </c>
      <c r="H669" t="s">
        <v>45</v>
      </c>
      <c r="I669" s="3">
        <v>10033</v>
      </c>
      <c r="J669" s="3">
        <v>1021430009</v>
      </c>
      <c r="K669" s="3">
        <v>1063523</v>
      </c>
      <c r="L669" t="s">
        <v>114</v>
      </c>
      <c r="M669" s="4">
        <v>10</v>
      </c>
      <c r="N669" t="s">
        <v>349</v>
      </c>
      <c r="O669" t="s">
        <v>134</v>
      </c>
      <c r="P669" s="4">
        <v>40.844979000000002</v>
      </c>
      <c r="Q669" s="4">
        <v>-73.937516000000002</v>
      </c>
      <c r="R669" s="4">
        <v>40.844861000000002</v>
      </c>
      <c r="S669" s="4">
        <v>-73.937815999999998</v>
      </c>
      <c r="T669" s="2">
        <v>43629</v>
      </c>
      <c r="U669" t="s">
        <v>49</v>
      </c>
      <c r="V669" t="s">
        <v>50</v>
      </c>
      <c r="W669" t="s">
        <v>51</v>
      </c>
      <c r="X669" s="4">
        <v>1</v>
      </c>
      <c r="Y669" s="4">
        <v>3</v>
      </c>
      <c r="Z669" s="4">
        <v>19</v>
      </c>
      <c r="AA669" s="4">
        <v>23</v>
      </c>
      <c r="AB669" s="4">
        <v>2</v>
      </c>
      <c r="AC669" s="4">
        <v>1</v>
      </c>
      <c r="AD669" s="4">
        <v>5</v>
      </c>
      <c r="AE669" s="4">
        <v>28</v>
      </c>
      <c r="AF669" s="4">
        <v>15</v>
      </c>
      <c r="AG669" s="4">
        <v>1</v>
      </c>
      <c r="AL669" s="4">
        <v>49</v>
      </c>
      <c r="AN669" s="4">
        <v>49</v>
      </c>
      <c r="AO669" s="4">
        <v>49</v>
      </c>
    </row>
    <row r="670" spans="1:41" hidden="1" x14ac:dyDescent="0.2">
      <c r="A670" t="s">
        <v>1381</v>
      </c>
      <c r="B670" t="s">
        <v>1382</v>
      </c>
      <c r="C670" s="2">
        <v>43607</v>
      </c>
      <c r="D670" s="2">
        <v>44533</v>
      </c>
      <c r="E670" s="3">
        <v>27617</v>
      </c>
      <c r="F670" t="s">
        <v>216</v>
      </c>
      <c r="G670" t="s">
        <v>945</v>
      </c>
      <c r="H670" t="s">
        <v>45</v>
      </c>
      <c r="I670" s="3">
        <v>10040</v>
      </c>
      <c r="J670" s="3">
        <v>1021740008</v>
      </c>
      <c r="K670" s="3">
        <v>1064155</v>
      </c>
      <c r="L670" t="s">
        <v>114</v>
      </c>
      <c r="M670" s="4">
        <v>10</v>
      </c>
      <c r="N670" t="s">
        <v>1383</v>
      </c>
      <c r="O670" t="s">
        <v>116</v>
      </c>
      <c r="P670" s="4">
        <v>40.862426999999997</v>
      </c>
      <c r="Q670" s="4">
        <v>-73.929086999999996</v>
      </c>
      <c r="R670" s="4">
        <v>40.862223999999998</v>
      </c>
      <c r="S670" s="4">
        <v>-73.928815999999998</v>
      </c>
      <c r="T670" s="2">
        <v>44533</v>
      </c>
      <c r="U670" t="s">
        <v>49</v>
      </c>
      <c r="V670" t="s">
        <v>71</v>
      </c>
      <c r="W670" t="s">
        <v>51</v>
      </c>
      <c r="X670" s="4">
        <v>5</v>
      </c>
      <c r="Y670" s="4">
        <v>42</v>
      </c>
      <c r="Z670" s="4">
        <v>37</v>
      </c>
      <c r="AA670" s="4">
        <v>7</v>
      </c>
      <c r="AC670" s="4">
        <v>1</v>
      </c>
      <c r="AD670" s="4">
        <v>29</v>
      </c>
      <c r="AE670" s="4">
        <v>44</v>
      </c>
      <c r="AF670" s="4">
        <v>16</v>
      </c>
      <c r="AG670" s="4">
        <v>3</v>
      </c>
      <c r="AL670" s="4">
        <v>92</v>
      </c>
      <c r="AN670" s="4">
        <v>92</v>
      </c>
      <c r="AO670" s="4">
        <v>92</v>
      </c>
    </row>
    <row r="671" spans="1:41" hidden="1" x14ac:dyDescent="0.2">
      <c r="A671" t="s">
        <v>1384</v>
      </c>
      <c r="B671" t="s">
        <v>1385</v>
      </c>
      <c r="C671" s="2">
        <v>43604</v>
      </c>
      <c r="D671" s="2">
        <v>44888</v>
      </c>
      <c r="E671" s="3">
        <v>40701</v>
      </c>
      <c r="F671" t="s">
        <v>811</v>
      </c>
      <c r="G671" t="s">
        <v>324</v>
      </c>
      <c r="H671" t="s">
        <v>45</v>
      </c>
      <c r="I671" s="3">
        <v>10030</v>
      </c>
      <c r="J671" s="3">
        <v>1019200025</v>
      </c>
      <c r="K671" s="3">
        <v>1058274</v>
      </c>
      <c r="L671" t="s">
        <v>146</v>
      </c>
      <c r="M671" s="4">
        <v>9</v>
      </c>
      <c r="N671" t="s">
        <v>322</v>
      </c>
      <c r="O671" t="s">
        <v>177</v>
      </c>
      <c r="P671" s="4">
        <v>40.814331000000003</v>
      </c>
      <c r="Q671" s="4">
        <v>-73.941367</v>
      </c>
      <c r="R671" s="4">
        <v>40.814670999999997</v>
      </c>
      <c r="S671" s="4">
        <v>-73.941457</v>
      </c>
      <c r="T671" s="2">
        <v>44888</v>
      </c>
      <c r="U671" t="s">
        <v>49</v>
      </c>
      <c r="V671" t="s">
        <v>71</v>
      </c>
      <c r="W671" t="s">
        <v>51</v>
      </c>
      <c r="Y671" s="4">
        <v>7</v>
      </c>
      <c r="Z671" s="4">
        <v>11</v>
      </c>
      <c r="AD671" s="4">
        <v>1</v>
      </c>
      <c r="AE671" s="4">
        <v>1</v>
      </c>
      <c r="AF671" s="4">
        <v>10</v>
      </c>
      <c r="AG671" s="4">
        <v>6</v>
      </c>
      <c r="AL671" s="4">
        <v>18</v>
      </c>
      <c r="AN671" s="4">
        <v>18</v>
      </c>
      <c r="AO671" s="4">
        <v>18</v>
      </c>
    </row>
    <row r="672" spans="1:41" hidden="1" x14ac:dyDescent="0.2">
      <c r="A672" t="s">
        <v>1384</v>
      </c>
      <c r="B672" t="s">
        <v>1385</v>
      </c>
      <c r="C672" s="2">
        <v>43604</v>
      </c>
      <c r="D672" s="2">
        <v>44888</v>
      </c>
      <c r="E672" s="3">
        <v>40702</v>
      </c>
      <c r="F672" t="s">
        <v>813</v>
      </c>
      <c r="G672" t="s">
        <v>324</v>
      </c>
      <c r="H672" t="s">
        <v>45</v>
      </c>
      <c r="I672" s="3">
        <v>10030</v>
      </c>
      <c r="J672" s="3">
        <v>1019200023</v>
      </c>
      <c r="K672" s="3">
        <v>1058273</v>
      </c>
      <c r="L672" t="s">
        <v>146</v>
      </c>
      <c r="M672" s="4">
        <v>9</v>
      </c>
      <c r="N672" t="s">
        <v>322</v>
      </c>
      <c r="O672" t="s">
        <v>177</v>
      </c>
      <c r="P672" s="4">
        <v>40.814382999999999</v>
      </c>
      <c r="Q672" s="4">
        <v>-73.941492999999994</v>
      </c>
      <c r="R672" s="4">
        <v>40.814723000000001</v>
      </c>
      <c r="S672" s="4">
        <v>-73.941586999999998</v>
      </c>
      <c r="T672" s="2">
        <v>44888</v>
      </c>
      <c r="U672" t="s">
        <v>49</v>
      </c>
      <c r="V672" t="s">
        <v>71</v>
      </c>
      <c r="W672" t="s">
        <v>51</v>
      </c>
      <c r="Y672" s="4">
        <v>6</v>
      </c>
      <c r="Z672" s="4">
        <v>12</v>
      </c>
      <c r="AD672" s="4">
        <v>1</v>
      </c>
      <c r="AE672" s="4">
        <v>1</v>
      </c>
      <c r="AF672" s="4">
        <v>10</v>
      </c>
      <c r="AG672" s="4">
        <v>6</v>
      </c>
      <c r="AL672" s="4">
        <v>18</v>
      </c>
      <c r="AN672" s="4">
        <v>18</v>
      </c>
      <c r="AO672" s="4">
        <v>18</v>
      </c>
    </row>
    <row r="673" spans="1:41" hidden="1" x14ac:dyDescent="0.2">
      <c r="A673" t="s">
        <v>1384</v>
      </c>
      <c r="B673" t="s">
        <v>1385</v>
      </c>
      <c r="C673" s="2">
        <v>43604</v>
      </c>
      <c r="D673" s="2">
        <v>44888</v>
      </c>
      <c r="E673" s="3">
        <v>40703</v>
      </c>
      <c r="F673" t="s">
        <v>427</v>
      </c>
      <c r="G673" t="s">
        <v>324</v>
      </c>
      <c r="H673" t="s">
        <v>45</v>
      </c>
      <c r="I673" s="3">
        <v>10030</v>
      </c>
      <c r="J673" s="3">
        <v>1019200022</v>
      </c>
      <c r="K673" s="3">
        <v>1058272</v>
      </c>
      <c r="L673" t="s">
        <v>146</v>
      </c>
      <c r="M673" s="4">
        <v>9</v>
      </c>
      <c r="N673" t="s">
        <v>322</v>
      </c>
      <c r="O673" t="s">
        <v>177</v>
      </c>
      <c r="P673" s="4">
        <v>40.814438000000003</v>
      </c>
      <c r="Q673" s="4">
        <v>-73.941615999999996</v>
      </c>
      <c r="R673" s="4">
        <v>40.814774999999997</v>
      </c>
      <c r="S673" s="4">
        <v>-73.94171</v>
      </c>
      <c r="T673" s="2">
        <v>44888</v>
      </c>
      <c r="U673" t="s">
        <v>49</v>
      </c>
      <c r="V673" t="s">
        <v>71</v>
      </c>
      <c r="W673" t="s">
        <v>51</v>
      </c>
      <c r="Y673" s="4">
        <v>4</v>
      </c>
      <c r="Z673" s="4">
        <v>14</v>
      </c>
      <c r="AD673" s="4">
        <v>1</v>
      </c>
      <c r="AE673" s="4">
        <v>1</v>
      </c>
      <c r="AF673" s="4">
        <v>10</v>
      </c>
      <c r="AG673" s="4">
        <v>6</v>
      </c>
      <c r="AL673" s="4">
        <v>18</v>
      </c>
      <c r="AN673" s="4">
        <v>18</v>
      </c>
      <c r="AO673" s="4">
        <v>18</v>
      </c>
    </row>
    <row r="674" spans="1:41" hidden="1" x14ac:dyDescent="0.2">
      <c r="A674" t="s">
        <v>1384</v>
      </c>
      <c r="B674" t="s">
        <v>1385</v>
      </c>
      <c r="C674" s="2">
        <v>43604</v>
      </c>
      <c r="D674" s="2">
        <v>44888</v>
      </c>
      <c r="E674" s="3">
        <v>40704</v>
      </c>
      <c r="F674" t="s">
        <v>429</v>
      </c>
      <c r="G674" t="s">
        <v>324</v>
      </c>
      <c r="H674" t="s">
        <v>45</v>
      </c>
      <c r="I674" s="3">
        <v>10030</v>
      </c>
      <c r="J674" s="3">
        <v>1019200020</v>
      </c>
      <c r="K674" s="3">
        <v>1058271</v>
      </c>
      <c r="L674" t="s">
        <v>146</v>
      </c>
      <c r="M674" s="4">
        <v>9</v>
      </c>
      <c r="N674" t="s">
        <v>322</v>
      </c>
      <c r="O674" t="s">
        <v>177</v>
      </c>
      <c r="P674" s="4">
        <v>40.814489999999999</v>
      </c>
      <c r="Q674" s="4">
        <v>-73.941742000000005</v>
      </c>
      <c r="R674" s="4">
        <v>40.814830000000001</v>
      </c>
      <c r="S674" s="4">
        <v>-73.941835999999995</v>
      </c>
      <c r="T674" s="2">
        <v>44888</v>
      </c>
      <c r="U674" t="s">
        <v>49</v>
      </c>
      <c r="V674" t="s">
        <v>71</v>
      </c>
      <c r="W674" t="s">
        <v>51</v>
      </c>
      <c r="Y674" s="4">
        <v>5</v>
      </c>
      <c r="Z674" s="4">
        <v>19</v>
      </c>
      <c r="AD674" s="4">
        <v>1</v>
      </c>
      <c r="AE674" s="4">
        <v>13</v>
      </c>
      <c r="AF674" s="4">
        <v>10</v>
      </c>
      <c r="AL674" s="4">
        <v>24</v>
      </c>
      <c r="AN674" s="4">
        <v>24</v>
      </c>
      <c r="AO674" s="4">
        <v>24</v>
      </c>
    </row>
    <row r="675" spans="1:41" hidden="1" x14ac:dyDescent="0.2">
      <c r="A675" t="s">
        <v>1384</v>
      </c>
      <c r="B675" t="s">
        <v>1385</v>
      </c>
      <c r="C675" s="2">
        <v>43604</v>
      </c>
      <c r="D675" s="2">
        <v>44888</v>
      </c>
      <c r="E675" s="3">
        <v>40705</v>
      </c>
      <c r="F675" t="s">
        <v>52</v>
      </c>
      <c r="G675" t="s">
        <v>324</v>
      </c>
      <c r="H675" t="s">
        <v>45</v>
      </c>
      <c r="I675" s="3">
        <v>10030</v>
      </c>
      <c r="J675" s="3">
        <v>1019200018</v>
      </c>
      <c r="K675" s="3">
        <v>1058270</v>
      </c>
      <c r="L675" t="s">
        <v>146</v>
      </c>
      <c r="M675" s="4">
        <v>9</v>
      </c>
      <c r="N675" t="s">
        <v>322</v>
      </c>
      <c r="O675" t="s">
        <v>177</v>
      </c>
      <c r="P675" s="4">
        <v>40.814545000000003</v>
      </c>
      <c r="Q675" s="4">
        <v>-73.941868999999997</v>
      </c>
      <c r="R675" s="4">
        <v>40.814883000000002</v>
      </c>
      <c r="S675" s="4">
        <v>-73.941965999999994</v>
      </c>
      <c r="T675" s="2">
        <v>44888</v>
      </c>
      <c r="U675" t="s">
        <v>49</v>
      </c>
      <c r="V675" t="s">
        <v>71</v>
      </c>
      <c r="W675" t="s">
        <v>51</v>
      </c>
      <c r="Y675" s="4">
        <v>4</v>
      </c>
      <c r="Z675" s="4">
        <v>18</v>
      </c>
      <c r="AE675" s="4">
        <v>12</v>
      </c>
      <c r="AF675" s="4">
        <v>10</v>
      </c>
      <c r="AL675" s="4">
        <v>22</v>
      </c>
      <c r="AN675" s="4">
        <v>22</v>
      </c>
      <c r="AO675" s="4">
        <v>22</v>
      </c>
    </row>
    <row r="676" spans="1:41" hidden="1" x14ac:dyDescent="0.2">
      <c r="A676" t="s">
        <v>1384</v>
      </c>
      <c r="B676" t="s">
        <v>1385</v>
      </c>
      <c r="C676" s="2">
        <v>43604</v>
      </c>
      <c r="D676" s="2">
        <v>44888</v>
      </c>
      <c r="E676" s="3">
        <v>40706</v>
      </c>
      <c r="F676" t="s">
        <v>56</v>
      </c>
      <c r="G676" t="s">
        <v>324</v>
      </c>
      <c r="H676" t="s">
        <v>45</v>
      </c>
      <c r="I676" s="3">
        <v>10030</v>
      </c>
      <c r="J676" s="3">
        <v>1019200017</v>
      </c>
      <c r="K676" s="3">
        <v>1058269</v>
      </c>
      <c r="L676" t="s">
        <v>146</v>
      </c>
      <c r="M676" s="4">
        <v>9</v>
      </c>
      <c r="N676" t="s">
        <v>322</v>
      </c>
      <c r="O676" t="s">
        <v>177</v>
      </c>
      <c r="P676" s="4">
        <v>40.814596999999999</v>
      </c>
      <c r="Q676" s="4">
        <v>-73.941995000000006</v>
      </c>
      <c r="R676" s="4">
        <v>40.814937</v>
      </c>
      <c r="S676" s="4">
        <v>-73.942092000000002</v>
      </c>
      <c r="T676" s="2">
        <v>44888</v>
      </c>
      <c r="U676" t="s">
        <v>49</v>
      </c>
      <c r="V676" t="s">
        <v>71</v>
      </c>
      <c r="W676" t="s">
        <v>51</v>
      </c>
      <c r="Y676" s="4">
        <v>2</v>
      </c>
      <c r="Z676" s="4">
        <v>20</v>
      </c>
      <c r="AE676" s="4">
        <v>12</v>
      </c>
      <c r="AF676" s="4">
        <v>10</v>
      </c>
      <c r="AL676" s="4">
        <v>22</v>
      </c>
      <c r="AN676" s="4">
        <v>22</v>
      </c>
      <c r="AO676" s="4">
        <v>22</v>
      </c>
    </row>
    <row r="677" spans="1:41" hidden="1" x14ac:dyDescent="0.2">
      <c r="A677" t="s">
        <v>1384</v>
      </c>
      <c r="B677" t="s">
        <v>1385</v>
      </c>
      <c r="C677" s="2">
        <v>43604</v>
      </c>
      <c r="D677" s="2">
        <v>44888</v>
      </c>
      <c r="E677" s="3">
        <v>40707</v>
      </c>
      <c r="F677" t="s">
        <v>436</v>
      </c>
      <c r="G677" t="s">
        <v>324</v>
      </c>
      <c r="H677" t="s">
        <v>45</v>
      </c>
      <c r="I677" s="3">
        <v>10030</v>
      </c>
      <c r="J677" s="3">
        <v>1019200015</v>
      </c>
      <c r="K677" s="3">
        <v>1058268</v>
      </c>
      <c r="L677" t="s">
        <v>146</v>
      </c>
      <c r="M677" s="4">
        <v>9</v>
      </c>
      <c r="N677" t="s">
        <v>322</v>
      </c>
      <c r="O677" t="s">
        <v>177</v>
      </c>
      <c r="P677" s="4">
        <v>40.814649000000003</v>
      </c>
      <c r="Q677" s="4">
        <v>-73.942121</v>
      </c>
      <c r="R677" s="4">
        <v>40.814990000000002</v>
      </c>
      <c r="S677" s="4">
        <v>-73.942222000000001</v>
      </c>
      <c r="T677" s="2">
        <v>44888</v>
      </c>
      <c r="U677" t="s">
        <v>49</v>
      </c>
      <c r="V677" t="s">
        <v>71</v>
      </c>
      <c r="W677" t="s">
        <v>51</v>
      </c>
      <c r="X677" s="4">
        <v>1</v>
      </c>
      <c r="Y677" s="4">
        <v>3</v>
      </c>
      <c r="Z677" s="4">
        <v>18</v>
      </c>
      <c r="AE677" s="4">
        <v>12</v>
      </c>
      <c r="AF677" s="4">
        <v>9</v>
      </c>
      <c r="AK677" s="4">
        <v>1</v>
      </c>
      <c r="AL677" s="4">
        <v>22</v>
      </c>
      <c r="AN677" s="4">
        <v>22</v>
      </c>
      <c r="AO677" s="4">
        <v>22</v>
      </c>
    </row>
    <row r="678" spans="1:41" hidden="1" x14ac:dyDescent="0.2">
      <c r="A678" t="s">
        <v>1384</v>
      </c>
      <c r="B678" t="s">
        <v>1385</v>
      </c>
      <c r="C678" s="2">
        <v>43604</v>
      </c>
      <c r="D678" s="2">
        <v>44888</v>
      </c>
      <c r="E678" s="3">
        <v>40708</v>
      </c>
      <c r="F678" t="s">
        <v>433</v>
      </c>
      <c r="G678" t="s">
        <v>324</v>
      </c>
      <c r="H678" t="s">
        <v>45</v>
      </c>
      <c r="I678" s="3">
        <v>10030</v>
      </c>
      <c r="J678" s="3">
        <v>1019200014</v>
      </c>
      <c r="K678" s="3">
        <v>1058267</v>
      </c>
      <c r="L678" t="s">
        <v>146</v>
      </c>
      <c r="M678" s="4">
        <v>9</v>
      </c>
      <c r="N678" t="s">
        <v>322</v>
      </c>
      <c r="O678" t="s">
        <v>177</v>
      </c>
      <c r="P678" s="4">
        <v>40.814703999999999</v>
      </c>
      <c r="Q678" s="4">
        <v>-73.942248000000006</v>
      </c>
      <c r="R678" s="4">
        <v>40.815044999999998</v>
      </c>
      <c r="S678" s="4">
        <v>-73.942348999999993</v>
      </c>
      <c r="T678" s="2">
        <v>44888</v>
      </c>
      <c r="U678" t="s">
        <v>49</v>
      </c>
      <c r="V678" t="s">
        <v>71</v>
      </c>
      <c r="W678" t="s">
        <v>51</v>
      </c>
      <c r="Y678" s="4">
        <v>1</v>
      </c>
      <c r="Z678" s="4">
        <v>17</v>
      </c>
      <c r="AD678" s="4">
        <v>1</v>
      </c>
      <c r="AE678" s="4">
        <v>1</v>
      </c>
      <c r="AF678" s="4">
        <v>10</v>
      </c>
      <c r="AG678" s="4">
        <v>6</v>
      </c>
      <c r="AL678" s="4">
        <v>18</v>
      </c>
      <c r="AN678" s="4">
        <v>18</v>
      </c>
      <c r="AO678" s="4">
        <v>18</v>
      </c>
    </row>
    <row r="679" spans="1:41" hidden="1" x14ac:dyDescent="0.2">
      <c r="A679" t="s">
        <v>1384</v>
      </c>
      <c r="B679" t="s">
        <v>1385</v>
      </c>
      <c r="C679" s="2">
        <v>43604</v>
      </c>
      <c r="D679" s="2">
        <v>44888</v>
      </c>
      <c r="E679" s="3">
        <v>40709</v>
      </c>
      <c r="F679" t="s">
        <v>642</v>
      </c>
      <c r="G679" t="s">
        <v>324</v>
      </c>
      <c r="H679" t="s">
        <v>45</v>
      </c>
      <c r="I679" s="3">
        <v>10030</v>
      </c>
      <c r="J679" s="3">
        <v>1019200012</v>
      </c>
      <c r="K679" s="3">
        <v>1058266</v>
      </c>
      <c r="L679" t="s">
        <v>146</v>
      </c>
      <c r="M679" s="4">
        <v>9</v>
      </c>
      <c r="N679" t="s">
        <v>322</v>
      </c>
      <c r="O679" t="s">
        <v>177</v>
      </c>
      <c r="P679" s="4">
        <v>40.814756000000003</v>
      </c>
      <c r="Q679" s="4">
        <v>-73.942370999999994</v>
      </c>
      <c r="R679" s="4">
        <v>40.815097000000002</v>
      </c>
      <c r="S679" s="4">
        <v>-73.942475000000002</v>
      </c>
      <c r="T679" s="2">
        <v>44888</v>
      </c>
      <c r="U679" t="s">
        <v>49</v>
      </c>
      <c r="V679" t="s">
        <v>71</v>
      </c>
      <c r="W679" t="s">
        <v>51</v>
      </c>
      <c r="Y679" s="4">
        <v>1</v>
      </c>
      <c r="Z679" s="4">
        <v>17</v>
      </c>
      <c r="AD679" s="4">
        <v>1</v>
      </c>
      <c r="AE679" s="4">
        <v>1</v>
      </c>
      <c r="AF679" s="4">
        <v>10</v>
      </c>
      <c r="AG679" s="4">
        <v>6</v>
      </c>
      <c r="AL679" s="4">
        <v>18</v>
      </c>
      <c r="AN679" s="4">
        <v>18</v>
      </c>
      <c r="AO679" s="4">
        <v>18</v>
      </c>
    </row>
    <row r="680" spans="1:41" hidden="1" x14ac:dyDescent="0.2">
      <c r="A680" t="s">
        <v>1384</v>
      </c>
      <c r="B680" t="s">
        <v>1385</v>
      </c>
      <c r="C680" s="2">
        <v>43604</v>
      </c>
      <c r="D680" s="2">
        <v>44888</v>
      </c>
      <c r="E680" s="3">
        <v>40710</v>
      </c>
      <c r="F680" t="s">
        <v>643</v>
      </c>
      <c r="G680" t="s">
        <v>324</v>
      </c>
      <c r="H680" t="s">
        <v>45</v>
      </c>
      <c r="I680" s="3">
        <v>10030</v>
      </c>
      <c r="J680" s="3">
        <v>1019200010</v>
      </c>
      <c r="K680" s="3">
        <v>1058265</v>
      </c>
      <c r="L680" t="s">
        <v>146</v>
      </c>
      <c r="M680" s="4">
        <v>9</v>
      </c>
      <c r="N680" t="s">
        <v>322</v>
      </c>
      <c r="O680" t="s">
        <v>177</v>
      </c>
      <c r="P680" s="4">
        <v>40.814937999999998</v>
      </c>
      <c r="Q680" s="4">
        <v>-73.942800000000005</v>
      </c>
      <c r="R680" s="4">
        <v>40.815148999999998</v>
      </c>
      <c r="S680" s="4">
        <v>-73.942598000000004</v>
      </c>
      <c r="T680" s="2">
        <v>44888</v>
      </c>
      <c r="U680" t="s">
        <v>49</v>
      </c>
      <c r="V680" t="s">
        <v>71</v>
      </c>
      <c r="W680" t="s">
        <v>51</v>
      </c>
      <c r="Y680" s="4">
        <v>2</v>
      </c>
      <c r="Z680" s="4">
        <v>16</v>
      </c>
      <c r="AD680" s="4">
        <v>1</v>
      </c>
      <c r="AE680" s="4">
        <v>1</v>
      </c>
      <c r="AF680" s="4">
        <v>10</v>
      </c>
      <c r="AG680" s="4">
        <v>6</v>
      </c>
      <c r="AL680" s="4">
        <v>18</v>
      </c>
      <c r="AN680" s="4">
        <v>18</v>
      </c>
      <c r="AO680" s="4">
        <v>18</v>
      </c>
    </row>
    <row r="681" spans="1:41" hidden="1" x14ac:dyDescent="0.2">
      <c r="A681" t="s">
        <v>1386</v>
      </c>
      <c r="B681" t="s">
        <v>1387</v>
      </c>
      <c r="C681" s="2">
        <v>43601</v>
      </c>
      <c r="D681" s="2">
        <v>45775</v>
      </c>
      <c r="E681" s="3">
        <v>27196</v>
      </c>
      <c r="F681" t="s">
        <v>1388</v>
      </c>
      <c r="G681" t="s">
        <v>1389</v>
      </c>
      <c r="H681" t="s">
        <v>45</v>
      </c>
      <c r="I681" s="3">
        <v>10032</v>
      </c>
      <c r="J681" s="3">
        <v>1021340206</v>
      </c>
      <c r="K681" s="3">
        <v>1063278</v>
      </c>
      <c r="L681" t="s">
        <v>114</v>
      </c>
      <c r="M681" s="4">
        <v>7</v>
      </c>
      <c r="N681" t="s">
        <v>323</v>
      </c>
      <c r="O681" t="s">
        <v>134</v>
      </c>
      <c r="P681" s="4">
        <v>40.835523000000002</v>
      </c>
      <c r="Q681" s="4">
        <v>-73.948763999999997</v>
      </c>
      <c r="R681" s="4">
        <v>40.835451999999997</v>
      </c>
      <c r="S681" s="4">
        <v>-73.948138</v>
      </c>
      <c r="T681" s="2">
        <v>45775</v>
      </c>
      <c r="U681" t="s">
        <v>49</v>
      </c>
      <c r="V681" t="s">
        <v>71</v>
      </c>
      <c r="W681" t="s">
        <v>51</v>
      </c>
      <c r="X681" s="4">
        <v>16</v>
      </c>
      <c r="Y681" s="4">
        <v>310</v>
      </c>
      <c r="Z681" s="4">
        <v>104</v>
      </c>
      <c r="AC681" s="4">
        <v>1</v>
      </c>
      <c r="AE681" s="4">
        <v>116</v>
      </c>
      <c r="AF681" s="4">
        <v>248</v>
      </c>
      <c r="AG681" s="4">
        <v>67</v>
      </c>
      <c r="AM681" s="4">
        <v>431</v>
      </c>
      <c r="AN681" s="4">
        <v>431</v>
      </c>
      <c r="AO681" s="4">
        <v>431</v>
      </c>
    </row>
    <row r="682" spans="1:41" hidden="1" x14ac:dyDescent="0.2">
      <c r="A682" t="s">
        <v>1390</v>
      </c>
      <c r="B682" t="s">
        <v>140</v>
      </c>
      <c r="C682" s="2">
        <v>43600</v>
      </c>
      <c r="D682" s="2">
        <v>43600</v>
      </c>
      <c r="F682" t="s">
        <v>141</v>
      </c>
      <c r="G682" t="s">
        <v>141</v>
      </c>
      <c r="H682" t="s">
        <v>45</v>
      </c>
      <c r="L682" t="s">
        <v>64</v>
      </c>
      <c r="M682" s="4">
        <v>2</v>
      </c>
      <c r="T682" s="2">
        <v>43600</v>
      </c>
      <c r="U682" t="s">
        <v>117</v>
      </c>
      <c r="V682" t="s">
        <v>71</v>
      </c>
      <c r="W682" t="s">
        <v>51</v>
      </c>
      <c r="Z682" s="4">
        <v>1</v>
      </c>
      <c r="AE682" s="4">
        <v>1</v>
      </c>
      <c r="AM682" s="4">
        <v>1</v>
      </c>
      <c r="AN682" s="4">
        <v>1</v>
      </c>
      <c r="AO682" s="4">
        <v>1</v>
      </c>
    </row>
    <row r="683" spans="1:41" hidden="1" x14ac:dyDescent="0.2">
      <c r="A683" t="s">
        <v>1391</v>
      </c>
      <c r="B683" t="s">
        <v>1392</v>
      </c>
      <c r="C683" s="2">
        <v>43585</v>
      </c>
      <c r="D683" s="2">
        <v>43585</v>
      </c>
      <c r="E683" s="3">
        <v>837775</v>
      </c>
      <c r="F683" t="s">
        <v>432</v>
      </c>
      <c r="G683" t="s">
        <v>677</v>
      </c>
      <c r="H683" t="s">
        <v>45</v>
      </c>
      <c r="I683" s="3">
        <v>10035</v>
      </c>
      <c r="J683" s="3">
        <v>1017700050</v>
      </c>
      <c r="K683" s="3">
        <v>1087334</v>
      </c>
      <c r="L683" t="s">
        <v>153</v>
      </c>
      <c r="M683" s="4">
        <v>8</v>
      </c>
      <c r="N683" t="s">
        <v>154</v>
      </c>
      <c r="O683" t="s">
        <v>155</v>
      </c>
      <c r="P683" s="4">
        <v>40.802241000000002</v>
      </c>
      <c r="Q683" s="4">
        <v>-73.938372000000001</v>
      </c>
      <c r="R683" s="4">
        <v>40.802106999999999</v>
      </c>
      <c r="S683" s="4">
        <v>-73.938603000000001</v>
      </c>
      <c r="T683" s="2">
        <v>43585</v>
      </c>
      <c r="U683" t="s">
        <v>49</v>
      </c>
      <c r="V683" t="s">
        <v>50</v>
      </c>
      <c r="W683" t="s">
        <v>51</v>
      </c>
      <c r="X683" s="4">
        <v>47</v>
      </c>
      <c r="Y683" s="4">
        <v>7</v>
      </c>
      <c r="Z683" s="4">
        <v>5</v>
      </c>
      <c r="AA683" s="4">
        <v>1</v>
      </c>
      <c r="AD683" s="4">
        <v>60</v>
      </c>
      <c r="AL683" s="4">
        <v>60</v>
      </c>
      <c r="AN683" s="4">
        <v>60</v>
      </c>
      <c r="AO683" s="4">
        <v>60</v>
      </c>
    </row>
    <row r="684" spans="1:41" hidden="1" x14ac:dyDescent="0.2">
      <c r="A684" t="s">
        <v>1393</v>
      </c>
      <c r="B684" t="s">
        <v>1394</v>
      </c>
      <c r="C684" s="2">
        <v>43584</v>
      </c>
      <c r="D684" s="2">
        <v>44148</v>
      </c>
      <c r="E684" s="3">
        <v>34782</v>
      </c>
      <c r="F684" t="s">
        <v>813</v>
      </c>
      <c r="G684" t="s">
        <v>1395</v>
      </c>
      <c r="H684" t="s">
        <v>45</v>
      </c>
      <c r="I684" s="3">
        <v>10023</v>
      </c>
      <c r="J684" s="3">
        <v>1011430030</v>
      </c>
      <c r="K684" s="3">
        <v>1029886</v>
      </c>
      <c r="L684" t="s">
        <v>46</v>
      </c>
      <c r="M684" s="4">
        <v>6</v>
      </c>
      <c r="N684" t="s">
        <v>728</v>
      </c>
      <c r="O684" t="s">
        <v>770</v>
      </c>
      <c r="P684" s="4">
        <v>40.776910999999998</v>
      </c>
      <c r="Q684" s="4">
        <v>-73.979693999999995</v>
      </c>
      <c r="R684" s="4">
        <v>40.777067000000002</v>
      </c>
      <c r="S684" s="4">
        <v>-73.979534999999998</v>
      </c>
      <c r="T684" s="2">
        <v>44148</v>
      </c>
      <c r="U684" t="s">
        <v>49</v>
      </c>
      <c r="V684" t="s">
        <v>71</v>
      </c>
      <c r="W684" t="s">
        <v>51</v>
      </c>
      <c r="Z684" s="4">
        <v>111</v>
      </c>
      <c r="AD684" s="4">
        <v>89</v>
      </c>
      <c r="AE684" s="4">
        <v>22</v>
      </c>
      <c r="AL684" s="4">
        <v>111</v>
      </c>
      <c r="AN684" s="4">
        <v>111</v>
      </c>
      <c r="AO684" s="4">
        <v>113</v>
      </c>
    </row>
    <row r="685" spans="1:41" hidden="1" x14ac:dyDescent="0.2">
      <c r="A685" t="s">
        <v>1396</v>
      </c>
      <c r="B685" t="s">
        <v>1397</v>
      </c>
      <c r="C685" s="2">
        <v>43580</v>
      </c>
      <c r="D685" s="2">
        <v>45098</v>
      </c>
      <c r="E685" s="3">
        <v>986518</v>
      </c>
      <c r="F685" t="s">
        <v>1398</v>
      </c>
      <c r="G685" t="s">
        <v>1399</v>
      </c>
      <c r="H685" t="s">
        <v>45</v>
      </c>
      <c r="I685" s="3">
        <v>10016</v>
      </c>
      <c r="J685" s="3">
        <v>1008600008</v>
      </c>
      <c r="K685" s="3">
        <v>1090601</v>
      </c>
      <c r="L685" t="s">
        <v>655</v>
      </c>
      <c r="M685" s="4">
        <v>2</v>
      </c>
      <c r="N685" t="s">
        <v>1400</v>
      </c>
      <c r="O685" t="s">
        <v>1127</v>
      </c>
      <c r="P685" s="4">
        <v>40.745685000000002</v>
      </c>
      <c r="Q685" s="4">
        <v>-73.985812999999993</v>
      </c>
      <c r="R685" s="4">
        <v>40.74577</v>
      </c>
      <c r="S685" s="4">
        <v>-73.985534999999999</v>
      </c>
      <c r="T685" s="2">
        <v>45098</v>
      </c>
      <c r="U685" t="s">
        <v>117</v>
      </c>
      <c r="V685" t="s">
        <v>71</v>
      </c>
      <c r="W685" t="s">
        <v>51</v>
      </c>
      <c r="Z685" s="4">
        <v>5</v>
      </c>
      <c r="AB685" s="4">
        <v>10</v>
      </c>
      <c r="AD685" s="4">
        <v>8</v>
      </c>
      <c r="AE685" s="4">
        <v>7</v>
      </c>
      <c r="AL685" s="4">
        <v>15</v>
      </c>
      <c r="AN685" s="4">
        <v>15</v>
      </c>
      <c r="AO685" s="4">
        <v>49</v>
      </c>
    </row>
    <row r="686" spans="1:41" hidden="1" x14ac:dyDescent="0.2">
      <c r="A686" t="s">
        <v>1401</v>
      </c>
      <c r="B686" t="s">
        <v>1402</v>
      </c>
      <c r="C686" s="2">
        <v>43579</v>
      </c>
      <c r="D686" s="2">
        <v>44603</v>
      </c>
      <c r="E686" s="3">
        <v>33025</v>
      </c>
      <c r="F686" t="s">
        <v>1403</v>
      </c>
      <c r="G686" t="s">
        <v>862</v>
      </c>
      <c r="H686" t="s">
        <v>45</v>
      </c>
      <c r="I686" s="3">
        <v>10036</v>
      </c>
      <c r="J686" s="3">
        <v>1010710042</v>
      </c>
      <c r="K686" s="3">
        <v>1085659</v>
      </c>
      <c r="L686" t="s">
        <v>78</v>
      </c>
      <c r="M686" s="4">
        <v>3</v>
      </c>
      <c r="N686" t="s">
        <v>202</v>
      </c>
      <c r="O686" t="s">
        <v>80</v>
      </c>
      <c r="P686" s="4">
        <v>40.760863999999998</v>
      </c>
      <c r="Q686" s="4">
        <v>-73.996335999999999</v>
      </c>
      <c r="R686" s="4">
        <v>40.760539999999999</v>
      </c>
      <c r="S686" s="4">
        <v>-73.996379000000005</v>
      </c>
      <c r="T686" s="2">
        <v>44603</v>
      </c>
      <c r="U686" t="s">
        <v>117</v>
      </c>
      <c r="V686" t="s">
        <v>71</v>
      </c>
      <c r="W686" t="s">
        <v>51</v>
      </c>
      <c r="AB686" s="4">
        <v>18</v>
      </c>
      <c r="AD686" s="4">
        <v>9</v>
      </c>
      <c r="AE686" s="4">
        <v>7</v>
      </c>
      <c r="AF686" s="4">
        <v>2</v>
      </c>
      <c r="AL686" s="4">
        <v>18</v>
      </c>
      <c r="AN686" s="4">
        <v>18</v>
      </c>
      <c r="AO686" s="4">
        <v>375</v>
      </c>
    </row>
    <row r="687" spans="1:41" hidden="1" x14ac:dyDescent="0.2">
      <c r="A687" t="s">
        <v>1404</v>
      </c>
      <c r="B687" t="s">
        <v>1405</v>
      </c>
      <c r="C687" s="2">
        <v>43573</v>
      </c>
      <c r="D687" s="2">
        <v>45636</v>
      </c>
      <c r="E687" s="3">
        <v>983770</v>
      </c>
      <c r="F687" t="s">
        <v>1118</v>
      </c>
      <c r="G687" t="s">
        <v>1406</v>
      </c>
      <c r="H687" t="s">
        <v>45</v>
      </c>
      <c r="I687" s="3">
        <v>10023</v>
      </c>
      <c r="J687" s="3">
        <v>1011637504</v>
      </c>
      <c r="K687" s="3">
        <v>1030422</v>
      </c>
      <c r="L687" t="s">
        <v>46</v>
      </c>
      <c r="M687" s="4">
        <v>6</v>
      </c>
      <c r="N687" t="s">
        <v>1407</v>
      </c>
      <c r="O687" t="s">
        <v>770</v>
      </c>
      <c r="P687" s="4">
        <v>40.779040999999999</v>
      </c>
      <c r="Q687" s="4">
        <v>-73.982664999999997</v>
      </c>
      <c r="R687" s="4">
        <v>40.778753000000002</v>
      </c>
      <c r="S687" s="4">
        <v>-73.982714999999999</v>
      </c>
      <c r="T687" s="2">
        <v>45636</v>
      </c>
      <c r="U687" t="s">
        <v>117</v>
      </c>
      <c r="V687" t="s">
        <v>71</v>
      </c>
      <c r="W687" t="s">
        <v>51</v>
      </c>
      <c r="Z687" s="4">
        <v>1</v>
      </c>
      <c r="AG687" s="4">
        <v>1</v>
      </c>
      <c r="AL687" s="4">
        <v>1</v>
      </c>
      <c r="AN687" s="4">
        <v>1</v>
      </c>
      <c r="AO687" s="4">
        <v>19</v>
      </c>
    </row>
    <row r="688" spans="1:41" hidden="1" x14ac:dyDescent="0.2">
      <c r="A688" t="s">
        <v>1408</v>
      </c>
      <c r="B688" t="s">
        <v>1409</v>
      </c>
      <c r="C688" s="2">
        <v>43559</v>
      </c>
      <c r="D688" s="2">
        <v>43559</v>
      </c>
      <c r="E688" s="3">
        <v>19759</v>
      </c>
      <c r="F688" t="s">
        <v>778</v>
      </c>
      <c r="G688" t="s">
        <v>1410</v>
      </c>
      <c r="H688" t="s">
        <v>45</v>
      </c>
      <c r="I688" s="3">
        <v>10029</v>
      </c>
      <c r="J688" s="3">
        <v>1017100022</v>
      </c>
      <c r="K688" s="3">
        <v>1053084</v>
      </c>
      <c r="L688" t="s">
        <v>153</v>
      </c>
      <c r="M688" s="4">
        <v>8</v>
      </c>
      <c r="N688" t="s">
        <v>364</v>
      </c>
      <c r="O688" t="s">
        <v>155</v>
      </c>
      <c r="P688" s="4">
        <v>40.795250000000003</v>
      </c>
      <c r="Q688" s="4">
        <v>-73.933600999999996</v>
      </c>
      <c r="R688" s="4">
        <v>40.795434</v>
      </c>
      <c r="S688" s="4">
        <v>-73.93338</v>
      </c>
      <c r="T688" s="2">
        <v>43559</v>
      </c>
      <c r="U688" t="s">
        <v>49</v>
      </c>
      <c r="V688" t="s">
        <v>50</v>
      </c>
      <c r="W688" t="s">
        <v>51</v>
      </c>
      <c r="X688" s="4">
        <v>1</v>
      </c>
      <c r="Y688" s="4">
        <v>1</v>
      </c>
      <c r="Z688" s="4">
        <v>15</v>
      </c>
      <c r="AA688" s="4">
        <v>11</v>
      </c>
      <c r="AE688" s="4">
        <v>12</v>
      </c>
      <c r="AF688" s="4">
        <v>16</v>
      </c>
      <c r="AL688" s="4">
        <v>28</v>
      </c>
      <c r="AN688" s="4">
        <v>28</v>
      </c>
      <c r="AO688" s="4">
        <v>28</v>
      </c>
    </row>
    <row r="689" spans="1:41" hidden="1" x14ac:dyDescent="0.2">
      <c r="A689" t="s">
        <v>1408</v>
      </c>
      <c r="B689" t="s">
        <v>1409</v>
      </c>
      <c r="C689" s="2">
        <v>43559</v>
      </c>
      <c r="D689" s="2">
        <v>43559</v>
      </c>
      <c r="E689" s="3">
        <v>26933</v>
      </c>
      <c r="F689" t="s">
        <v>1411</v>
      </c>
      <c r="G689" t="s">
        <v>1412</v>
      </c>
      <c r="H689" t="s">
        <v>45</v>
      </c>
      <c r="I689" s="3">
        <v>10035</v>
      </c>
      <c r="J689" s="3">
        <v>1017100024</v>
      </c>
      <c r="K689" s="3">
        <v>1053085</v>
      </c>
      <c r="L689" t="s">
        <v>153</v>
      </c>
      <c r="M689" s="4">
        <v>8</v>
      </c>
      <c r="N689" t="s">
        <v>364</v>
      </c>
      <c r="O689" t="s">
        <v>155</v>
      </c>
      <c r="P689" s="4">
        <v>40.795105</v>
      </c>
      <c r="Q689" s="4">
        <v>-73.933131000000003</v>
      </c>
      <c r="R689" s="4">
        <v>40.795368000000003</v>
      </c>
      <c r="S689" s="4">
        <v>-73.933224999999993</v>
      </c>
      <c r="T689" s="2">
        <v>43559</v>
      </c>
      <c r="U689" t="s">
        <v>49</v>
      </c>
      <c r="V689" t="s">
        <v>50</v>
      </c>
      <c r="W689" t="s">
        <v>51</v>
      </c>
      <c r="Y689" s="4">
        <v>3</v>
      </c>
      <c r="Z689" s="4">
        <v>10</v>
      </c>
      <c r="AA689" s="4">
        <v>11</v>
      </c>
      <c r="AC689" s="4">
        <v>1</v>
      </c>
      <c r="AF689" s="4">
        <v>15</v>
      </c>
      <c r="AG689" s="4">
        <v>10</v>
      </c>
      <c r="AL689" s="4">
        <v>25</v>
      </c>
      <c r="AN689" s="4">
        <v>25</v>
      </c>
      <c r="AO689" s="4">
        <v>25</v>
      </c>
    </row>
    <row r="690" spans="1:41" hidden="1" x14ac:dyDescent="0.2">
      <c r="A690" t="s">
        <v>1413</v>
      </c>
      <c r="B690" t="s">
        <v>1414</v>
      </c>
      <c r="C690" s="2">
        <v>43551</v>
      </c>
      <c r="D690" s="2">
        <v>44898</v>
      </c>
      <c r="E690" s="3">
        <v>6097</v>
      </c>
      <c r="F690" t="s">
        <v>708</v>
      </c>
      <c r="G690" t="s">
        <v>87</v>
      </c>
      <c r="H690" t="s">
        <v>45</v>
      </c>
      <c r="I690" s="3">
        <v>10025</v>
      </c>
      <c r="J690" s="3">
        <v>1018630001</v>
      </c>
      <c r="K690" s="3">
        <v>1055996</v>
      </c>
      <c r="L690" t="s">
        <v>46</v>
      </c>
      <c r="M690" s="4">
        <v>7</v>
      </c>
      <c r="N690" t="s">
        <v>54</v>
      </c>
      <c r="O690" t="s">
        <v>48</v>
      </c>
      <c r="P690" s="4">
        <v>40.801831999999997</v>
      </c>
      <c r="Q690" s="4">
        <v>-73.964679000000004</v>
      </c>
      <c r="R690" s="4">
        <v>40.801710999999997</v>
      </c>
      <c r="S690" s="4">
        <v>-73.964382000000001</v>
      </c>
      <c r="T690" s="2">
        <v>44888</v>
      </c>
      <c r="U690" t="s">
        <v>49</v>
      </c>
      <c r="V690" t="s">
        <v>71</v>
      </c>
      <c r="W690" t="s">
        <v>51</v>
      </c>
      <c r="AA690" s="4">
        <v>13</v>
      </c>
      <c r="AF690" s="4">
        <v>13</v>
      </c>
      <c r="AM690" s="4">
        <v>13</v>
      </c>
      <c r="AN690" s="4">
        <v>13</v>
      </c>
      <c r="AO690" s="4">
        <v>13</v>
      </c>
    </row>
    <row r="691" spans="1:41" hidden="1" x14ac:dyDescent="0.2">
      <c r="A691" t="s">
        <v>1413</v>
      </c>
      <c r="B691" t="s">
        <v>1414</v>
      </c>
      <c r="C691" s="2">
        <v>43551</v>
      </c>
      <c r="D691" s="2">
        <v>44898</v>
      </c>
      <c r="E691" s="3">
        <v>37513</v>
      </c>
      <c r="F691" t="s">
        <v>811</v>
      </c>
      <c r="G691" t="s">
        <v>44</v>
      </c>
      <c r="H691" t="s">
        <v>45</v>
      </c>
      <c r="I691" s="3">
        <v>10025</v>
      </c>
      <c r="J691" s="3">
        <v>1018600027</v>
      </c>
      <c r="K691" s="3">
        <v>1055933</v>
      </c>
      <c r="L691" t="s">
        <v>46</v>
      </c>
      <c r="M691" s="4">
        <v>7</v>
      </c>
      <c r="N691" t="s">
        <v>47</v>
      </c>
      <c r="O691" t="s">
        <v>48</v>
      </c>
      <c r="P691" s="4">
        <v>40.798698000000002</v>
      </c>
      <c r="Q691" s="4">
        <v>-73.963654000000005</v>
      </c>
      <c r="R691" s="4">
        <v>40.799002000000002</v>
      </c>
      <c r="S691" s="4">
        <v>-73.963817000000006</v>
      </c>
      <c r="T691" s="2">
        <v>44898</v>
      </c>
      <c r="U691" t="s">
        <v>49</v>
      </c>
      <c r="V691" t="s">
        <v>71</v>
      </c>
      <c r="W691" t="s">
        <v>51</v>
      </c>
      <c r="AA691" s="4">
        <v>15</v>
      </c>
      <c r="AF691" s="4">
        <v>15</v>
      </c>
      <c r="AM691" s="4">
        <v>15</v>
      </c>
      <c r="AN691" s="4">
        <v>15</v>
      </c>
      <c r="AO691" s="4">
        <v>15</v>
      </c>
    </row>
    <row r="692" spans="1:41" hidden="1" x14ac:dyDescent="0.2">
      <c r="A692" t="s">
        <v>1415</v>
      </c>
      <c r="B692" t="s">
        <v>1416</v>
      </c>
      <c r="C692" s="2">
        <v>43524</v>
      </c>
      <c r="D692" s="2">
        <v>43524</v>
      </c>
      <c r="E692" s="3">
        <v>11391</v>
      </c>
      <c r="F692" t="s">
        <v>734</v>
      </c>
      <c r="G692" t="s">
        <v>616</v>
      </c>
      <c r="H692" t="s">
        <v>45</v>
      </c>
      <c r="I692" s="3">
        <v>10009</v>
      </c>
      <c r="J692" s="3">
        <v>1003910014</v>
      </c>
      <c r="K692" s="3">
        <v>1082474</v>
      </c>
      <c r="L692" t="s">
        <v>64</v>
      </c>
      <c r="M692" s="4">
        <v>2</v>
      </c>
      <c r="N692" t="s">
        <v>603</v>
      </c>
      <c r="O692" t="s">
        <v>197</v>
      </c>
      <c r="P692" s="4">
        <v>40.725924999999997</v>
      </c>
      <c r="Q692" s="4">
        <v>-73.979515000000006</v>
      </c>
      <c r="R692" s="4">
        <v>40.725669000000003</v>
      </c>
      <c r="S692" s="4">
        <v>-73.979546999999997</v>
      </c>
      <c r="T692" s="2">
        <v>43524</v>
      </c>
      <c r="U692" t="s">
        <v>49</v>
      </c>
      <c r="V692" t="s">
        <v>50</v>
      </c>
      <c r="W692" t="s">
        <v>51</v>
      </c>
      <c r="AA692" s="4">
        <v>8</v>
      </c>
      <c r="AF692" s="4">
        <v>8</v>
      </c>
      <c r="AM692" s="4">
        <v>8</v>
      </c>
      <c r="AN692" s="4">
        <v>8</v>
      </c>
      <c r="AO692" s="4">
        <v>8</v>
      </c>
    </row>
    <row r="693" spans="1:41" hidden="1" x14ac:dyDescent="0.2">
      <c r="A693" t="s">
        <v>1415</v>
      </c>
      <c r="B693" t="s">
        <v>1416</v>
      </c>
      <c r="C693" s="2">
        <v>43524</v>
      </c>
      <c r="D693" s="2">
        <v>43524</v>
      </c>
      <c r="E693" s="3">
        <v>804298</v>
      </c>
      <c r="F693" t="s">
        <v>210</v>
      </c>
      <c r="G693" t="s">
        <v>616</v>
      </c>
      <c r="H693" t="s">
        <v>45</v>
      </c>
      <c r="I693" s="3">
        <v>10009</v>
      </c>
      <c r="J693" s="3">
        <v>1003910014</v>
      </c>
      <c r="K693" s="3">
        <v>1077482</v>
      </c>
      <c r="L693" t="s">
        <v>64</v>
      </c>
      <c r="M693" s="4">
        <v>2</v>
      </c>
      <c r="N693" t="s">
        <v>603</v>
      </c>
      <c r="O693" t="s">
        <v>197</v>
      </c>
      <c r="P693" s="4">
        <v>40.725914000000003</v>
      </c>
      <c r="Q693" s="4">
        <v>-73.979485999999994</v>
      </c>
      <c r="R693" s="4">
        <v>40.725669000000003</v>
      </c>
      <c r="S693" s="4">
        <v>-73.979546999999997</v>
      </c>
      <c r="T693" s="2">
        <v>43524</v>
      </c>
      <c r="U693" t="s">
        <v>49</v>
      </c>
      <c r="V693" t="s">
        <v>50</v>
      </c>
      <c r="W693" t="s">
        <v>51</v>
      </c>
      <c r="AA693" s="4">
        <v>8</v>
      </c>
      <c r="AF693" s="4">
        <v>8</v>
      </c>
      <c r="AM693" s="4">
        <v>8</v>
      </c>
      <c r="AN693" s="4">
        <v>8</v>
      </c>
      <c r="AO693" s="4">
        <v>8</v>
      </c>
    </row>
    <row r="694" spans="1:41" hidden="1" x14ac:dyDescent="0.2">
      <c r="A694" t="s">
        <v>1415</v>
      </c>
      <c r="B694" t="s">
        <v>1416</v>
      </c>
      <c r="C694" s="2">
        <v>43524</v>
      </c>
      <c r="D694" s="2">
        <v>43524</v>
      </c>
      <c r="E694" s="3">
        <v>804299</v>
      </c>
      <c r="F694" t="s">
        <v>1417</v>
      </c>
      <c r="G694" t="s">
        <v>616</v>
      </c>
      <c r="H694" t="s">
        <v>45</v>
      </c>
      <c r="I694" s="3">
        <v>10009</v>
      </c>
      <c r="J694" s="3">
        <v>1003910014</v>
      </c>
      <c r="K694" s="3">
        <v>1077483</v>
      </c>
      <c r="L694" t="s">
        <v>64</v>
      </c>
      <c r="M694" s="4">
        <v>2</v>
      </c>
      <c r="N694" t="s">
        <v>603</v>
      </c>
      <c r="O694" t="s">
        <v>197</v>
      </c>
      <c r="P694" s="4">
        <v>40.725900000000003</v>
      </c>
      <c r="Q694" s="4">
        <v>-73.979453000000007</v>
      </c>
      <c r="R694" s="4">
        <v>40.725669000000003</v>
      </c>
      <c r="S694" s="4">
        <v>-73.979546999999997</v>
      </c>
      <c r="T694" s="2">
        <v>43524</v>
      </c>
      <c r="U694" t="s">
        <v>49</v>
      </c>
      <c r="V694" t="s">
        <v>50</v>
      </c>
      <c r="W694" t="s">
        <v>51</v>
      </c>
      <c r="AA694" s="4">
        <v>8</v>
      </c>
      <c r="AF694" s="4">
        <v>8</v>
      </c>
      <c r="AM694" s="4">
        <v>8</v>
      </c>
      <c r="AN694" s="4">
        <v>8</v>
      </c>
      <c r="AO694" s="4">
        <v>8</v>
      </c>
    </row>
    <row r="695" spans="1:41" hidden="1" x14ac:dyDescent="0.2">
      <c r="A695" t="s">
        <v>1415</v>
      </c>
      <c r="B695" t="s">
        <v>1416</v>
      </c>
      <c r="C695" s="2">
        <v>43524</v>
      </c>
      <c r="D695" s="2">
        <v>43524</v>
      </c>
      <c r="E695" s="3">
        <v>804300</v>
      </c>
      <c r="F695" t="s">
        <v>1418</v>
      </c>
      <c r="G695" t="s">
        <v>616</v>
      </c>
      <c r="H695" t="s">
        <v>45</v>
      </c>
      <c r="I695" s="3">
        <v>10009</v>
      </c>
      <c r="J695" s="3">
        <v>1003910014</v>
      </c>
      <c r="K695" s="3">
        <v>1077484</v>
      </c>
      <c r="L695" t="s">
        <v>64</v>
      </c>
      <c r="M695" s="4">
        <v>2</v>
      </c>
      <c r="N695" t="s">
        <v>603</v>
      </c>
      <c r="O695" t="s">
        <v>197</v>
      </c>
      <c r="P695" s="4">
        <v>40.725889000000002</v>
      </c>
      <c r="Q695" s="4">
        <v>-73.979423999999995</v>
      </c>
      <c r="R695" s="4">
        <v>40.725669000000003</v>
      </c>
      <c r="S695" s="4">
        <v>-73.979546999999997</v>
      </c>
      <c r="T695" s="2">
        <v>43524</v>
      </c>
      <c r="U695" t="s">
        <v>49</v>
      </c>
      <c r="V695" t="s">
        <v>50</v>
      </c>
      <c r="W695" t="s">
        <v>51</v>
      </c>
      <c r="AA695" s="4">
        <v>8</v>
      </c>
      <c r="AF695" s="4">
        <v>8</v>
      </c>
      <c r="AM695" s="4">
        <v>8</v>
      </c>
      <c r="AN695" s="4">
        <v>8</v>
      </c>
      <c r="AO695" s="4">
        <v>8</v>
      </c>
    </row>
    <row r="696" spans="1:41" hidden="1" x14ac:dyDescent="0.2">
      <c r="A696" t="s">
        <v>1419</v>
      </c>
      <c r="B696" t="s">
        <v>1420</v>
      </c>
      <c r="C696" s="2">
        <v>43510</v>
      </c>
      <c r="D696" s="2">
        <v>44677</v>
      </c>
      <c r="E696" s="3">
        <v>10031</v>
      </c>
      <c r="F696" t="s">
        <v>1021</v>
      </c>
      <c r="G696" t="s">
        <v>1421</v>
      </c>
      <c r="H696" t="s">
        <v>45</v>
      </c>
      <c r="I696" s="3">
        <v>10003</v>
      </c>
      <c r="J696" s="3">
        <v>1004600001</v>
      </c>
      <c r="K696" s="3">
        <v>1006580</v>
      </c>
      <c r="L696" t="s">
        <v>64</v>
      </c>
      <c r="M696" s="4">
        <v>2</v>
      </c>
      <c r="N696" t="s">
        <v>1168</v>
      </c>
      <c r="O696" t="s">
        <v>197</v>
      </c>
      <c r="P696" s="4">
        <v>40.727153000000001</v>
      </c>
      <c r="Q696" s="4">
        <v>-73.991517999999999</v>
      </c>
      <c r="R696" s="4">
        <v>40.727285000000002</v>
      </c>
      <c r="S696" s="4">
        <v>-73.991060000000004</v>
      </c>
      <c r="T696" s="2">
        <v>44677</v>
      </c>
      <c r="U696" t="s">
        <v>49</v>
      </c>
      <c r="V696" t="s">
        <v>71</v>
      </c>
      <c r="W696" t="s">
        <v>51</v>
      </c>
      <c r="X696" s="4">
        <v>145</v>
      </c>
      <c r="Y696" s="4">
        <v>4</v>
      </c>
      <c r="Z696" s="4">
        <v>1</v>
      </c>
      <c r="AC696" s="4">
        <v>1</v>
      </c>
      <c r="AE696" s="4">
        <v>151</v>
      </c>
      <c r="AL696" s="4">
        <v>151</v>
      </c>
      <c r="AN696" s="4">
        <v>151</v>
      </c>
      <c r="AO696" s="4">
        <v>151</v>
      </c>
    </row>
    <row r="697" spans="1:41" hidden="1" x14ac:dyDescent="0.2">
      <c r="A697" t="s">
        <v>1422</v>
      </c>
      <c r="B697" t="s">
        <v>1423</v>
      </c>
      <c r="C697" s="2">
        <v>43488</v>
      </c>
      <c r="D697" s="2">
        <v>45131</v>
      </c>
      <c r="E697" s="3">
        <v>5169</v>
      </c>
      <c r="F697" t="s">
        <v>1424</v>
      </c>
      <c r="G697" t="s">
        <v>779</v>
      </c>
      <c r="H697" t="s">
        <v>45</v>
      </c>
      <c r="I697" s="3">
        <v>10019</v>
      </c>
      <c r="J697" s="3">
        <v>1010600061</v>
      </c>
      <c r="K697" s="3">
        <v>1026704</v>
      </c>
      <c r="L697" t="s">
        <v>78</v>
      </c>
      <c r="M697" s="4">
        <v>3</v>
      </c>
      <c r="N697" t="s">
        <v>490</v>
      </c>
      <c r="O697" t="s">
        <v>80</v>
      </c>
      <c r="P697" s="4">
        <v>40.765211999999998</v>
      </c>
      <c r="Q697" s="4">
        <v>-73.991389999999996</v>
      </c>
      <c r="R697" s="4">
        <v>40.765098999999999</v>
      </c>
      <c r="S697" s="4">
        <v>-73.991140999999999</v>
      </c>
      <c r="T697" s="2">
        <v>45131</v>
      </c>
      <c r="U697" t="s">
        <v>49</v>
      </c>
      <c r="V697" t="s">
        <v>71</v>
      </c>
      <c r="W697" t="s">
        <v>51</v>
      </c>
      <c r="X697" s="4">
        <v>3</v>
      </c>
      <c r="AG697" s="4">
        <v>3</v>
      </c>
      <c r="AM697" s="4">
        <v>3</v>
      </c>
      <c r="AN697" s="4">
        <v>3</v>
      </c>
      <c r="AO697" s="4">
        <v>3</v>
      </c>
    </row>
    <row r="698" spans="1:41" hidden="1" x14ac:dyDescent="0.2">
      <c r="A698" t="s">
        <v>1422</v>
      </c>
      <c r="B698" t="s">
        <v>1423</v>
      </c>
      <c r="C698" s="2">
        <v>43488</v>
      </c>
      <c r="D698" s="2">
        <v>45131</v>
      </c>
      <c r="E698" s="3">
        <v>33920</v>
      </c>
      <c r="F698" t="s">
        <v>1425</v>
      </c>
      <c r="G698" t="s">
        <v>1426</v>
      </c>
      <c r="H698" t="s">
        <v>45</v>
      </c>
      <c r="I698" s="3">
        <v>10019</v>
      </c>
      <c r="J698" s="3">
        <v>1010600160</v>
      </c>
      <c r="K698" s="3">
        <v>1026709</v>
      </c>
      <c r="L698" t="s">
        <v>78</v>
      </c>
      <c r="M698" s="4">
        <v>3</v>
      </c>
      <c r="N698" t="s">
        <v>490</v>
      </c>
      <c r="O698" t="s">
        <v>80</v>
      </c>
      <c r="P698" s="4">
        <v>40.764833000000003</v>
      </c>
      <c r="Q698" s="4">
        <v>-73.990223999999998</v>
      </c>
      <c r="R698" s="4">
        <v>40.764997999999999</v>
      </c>
      <c r="S698" s="4">
        <v>-73.990996999999993</v>
      </c>
      <c r="T698" s="2">
        <v>45131</v>
      </c>
      <c r="U698" t="s">
        <v>49</v>
      </c>
      <c r="V698" t="s">
        <v>71</v>
      </c>
      <c r="W698" t="s">
        <v>51</v>
      </c>
      <c r="X698" s="4">
        <v>7</v>
      </c>
      <c r="Z698" s="4">
        <v>1</v>
      </c>
      <c r="AE698" s="4">
        <v>7</v>
      </c>
      <c r="AF698" s="4">
        <v>1</v>
      </c>
      <c r="AM698" s="4">
        <v>8</v>
      </c>
      <c r="AN698" s="4">
        <v>8</v>
      </c>
      <c r="AO698" s="4">
        <v>8</v>
      </c>
    </row>
    <row r="699" spans="1:41" hidden="1" x14ac:dyDescent="0.2">
      <c r="A699" t="s">
        <v>1427</v>
      </c>
      <c r="B699" t="s">
        <v>1428</v>
      </c>
      <c r="C699" s="2">
        <v>43483</v>
      </c>
      <c r="D699" s="2">
        <v>43811</v>
      </c>
      <c r="E699" s="3">
        <v>3462</v>
      </c>
      <c r="F699" t="s">
        <v>1107</v>
      </c>
      <c r="G699" t="s">
        <v>255</v>
      </c>
      <c r="H699" t="s">
        <v>45</v>
      </c>
      <c r="I699" s="3">
        <v>10027</v>
      </c>
      <c r="J699" s="3">
        <v>1019110001</v>
      </c>
      <c r="K699" s="3">
        <v>1090567</v>
      </c>
      <c r="L699" t="s">
        <v>146</v>
      </c>
      <c r="M699" s="4">
        <v>9</v>
      </c>
      <c r="N699" t="s">
        <v>244</v>
      </c>
      <c r="O699" t="s">
        <v>177</v>
      </c>
      <c r="P699" s="4">
        <v>40.809804999999997</v>
      </c>
      <c r="Q699" s="4">
        <v>-73.947706999999994</v>
      </c>
      <c r="R699" s="4">
        <v>40.809714</v>
      </c>
      <c r="S699" s="4">
        <v>-73.947406999999998</v>
      </c>
      <c r="T699" s="2">
        <v>43811</v>
      </c>
      <c r="U699" t="s">
        <v>117</v>
      </c>
      <c r="V699" t="s">
        <v>71</v>
      </c>
      <c r="W699" t="s">
        <v>51</v>
      </c>
      <c r="AB699" s="4">
        <v>7</v>
      </c>
      <c r="AE699" s="4">
        <v>4</v>
      </c>
      <c r="AF699" s="4">
        <v>3</v>
      </c>
      <c r="AL699" s="4">
        <v>7</v>
      </c>
      <c r="AN699" s="4">
        <v>7</v>
      </c>
      <c r="AO699" s="4">
        <v>22</v>
      </c>
    </row>
    <row r="700" spans="1:41" hidden="1" x14ac:dyDescent="0.2">
      <c r="A700" t="s">
        <v>1429</v>
      </c>
      <c r="B700" t="s">
        <v>1430</v>
      </c>
      <c r="C700" s="2">
        <v>43482</v>
      </c>
      <c r="D700" s="2">
        <v>44596</v>
      </c>
      <c r="E700" s="3">
        <v>6125</v>
      </c>
      <c r="F700" t="s">
        <v>1170</v>
      </c>
      <c r="G700" t="s">
        <v>1431</v>
      </c>
      <c r="H700" t="s">
        <v>45</v>
      </c>
      <c r="I700" s="3">
        <v>10040</v>
      </c>
      <c r="J700" s="3">
        <v>1021740188</v>
      </c>
      <c r="K700" s="3">
        <v>1064203</v>
      </c>
      <c r="L700" t="s">
        <v>114</v>
      </c>
      <c r="M700" s="4">
        <v>10</v>
      </c>
      <c r="N700" t="s">
        <v>1383</v>
      </c>
      <c r="O700" t="s">
        <v>116</v>
      </c>
      <c r="P700" s="4">
        <v>40.861702000000001</v>
      </c>
      <c r="Q700" s="4">
        <v>-73.926969</v>
      </c>
      <c r="R700" s="4">
        <v>40.861671000000001</v>
      </c>
      <c r="S700" s="4">
        <v>-73.926632999999995</v>
      </c>
      <c r="T700" s="2">
        <v>44596</v>
      </c>
      <c r="U700" t="s">
        <v>49</v>
      </c>
      <c r="V700" t="s">
        <v>71</v>
      </c>
      <c r="W700" t="s">
        <v>51</v>
      </c>
      <c r="AA700" s="4">
        <v>15</v>
      </c>
      <c r="AE700" s="4">
        <v>6</v>
      </c>
      <c r="AF700" s="4">
        <v>9</v>
      </c>
      <c r="AM700" s="4">
        <v>15</v>
      </c>
      <c r="AN700" s="4">
        <v>15</v>
      </c>
      <c r="AO700" s="4">
        <v>15</v>
      </c>
    </row>
    <row r="701" spans="1:41" hidden="1" x14ac:dyDescent="0.2">
      <c r="A701" t="s">
        <v>1432</v>
      </c>
      <c r="B701" t="s">
        <v>1433</v>
      </c>
      <c r="C701" s="2">
        <v>43465</v>
      </c>
      <c r="D701" s="2">
        <v>44608</v>
      </c>
      <c r="E701" s="3">
        <v>987329</v>
      </c>
      <c r="F701" t="s">
        <v>1434</v>
      </c>
      <c r="G701" t="s">
        <v>237</v>
      </c>
      <c r="H701" t="s">
        <v>45</v>
      </c>
      <c r="I701" s="3">
        <v>10035</v>
      </c>
      <c r="J701" s="3">
        <v>1017907501</v>
      </c>
      <c r="K701" s="3">
        <v>1054682</v>
      </c>
      <c r="L701" t="s">
        <v>153</v>
      </c>
      <c r="M701" s="4">
        <v>8</v>
      </c>
      <c r="N701" t="s">
        <v>1018</v>
      </c>
      <c r="O701" t="s">
        <v>155</v>
      </c>
      <c r="P701" s="4">
        <v>40.804262000000001</v>
      </c>
      <c r="Q701" s="4">
        <v>-73.935383000000002</v>
      </c>
      <c r="R701" s="4">
        <v>40.803837000000001</v>
      </c>
      <c r="S701" s="4">
        <v>-73.935040000000001</v>
      </c>
      <c r="T701" s="2">
        <v>44608</v>
      </c>
      <c r="U701" t="s">
        <v>117</v>
      </c>
      <c r="V701" t="s">
        <v>71</v>
      </c>
      <c r="W701" t="s">
        <v>51</v>
      </c>
      <c r="Y701" s="4">
        <v>101</v>
      </c>
      <c r="Z701" s="4">
        <v>101</v>
      </c>
      <c r="AB701" s="4">
        <v>93</v>
      </c>
      <c r="AC701" s="4">
        <v>2</v>
      </c>
      <c r="AD701" s="4">
        <v>83</v>
      </c>
      <c r="AE701" s="4">
        <v>70</v>
      </c>
      <c r="AF701" s="4">
        <v>129</v>
      </c>
      <c r="AG701" s="4">
        <v>15</v>
      </c>
      <c r="AL701" s="4">
        <v>297</v>
      </c>
      <c r="AN701" s="4">
        <v>297</v>
      </c>
      <c r="AO701" s="4">
        <v>404</v>
      </c>
    </row>
    <row r="702" spans="1:41" hidden="1" x14ac:dyDescent="0.2">
      <c r="A702" t="s">
        <v>1435</v>
      </c>
      <c r="B702" t="s">
        <v>1436</v>
      </c>
      <c r="C702" s="2">
        <v>43465</v>
      </c>
      <c r="D702" s="2">
        <v>44468</v>
      </c>
      <c r="E702" s="3">
        <v>988143</v>
      </c>
      <c r="F702" t="s">
        <v>1150</v>
      </c>
      <c r="G702" t="s">
        <v>58</v>
      </c>
      <c r="H702" t="s">
        <v>45</v>
      </c>
      <c r="I702" s="3">
        <v>10025</v>
      </c>
      <c r="J702" s="3">
        <v>1018637501</v>
      </c>
      <c r="K702" s="3">
        <v>1090749</v>
      </c>
      <c r="L702" t="s">
        <v>46</v>
      </c>
      <c r="M702" s="4">
        <v>7</v>
      </c>
      <c r="N702" t="s">
        <v>54</v>
      </c>
      <c r="O702" t="s">
        <v>48</v>
      </c>
      <c r="P702" s="4">
        <v>40.801082999999998</v>
      </c>
      <c r="Q702" s="4">
        <v>-73.963172999999998</v>
      </c>
      <c r="R702" s="4">
        <v>40.801532999999999</v>
      </c>
      <c r="S702" s="4">
        <v>-73.963678000000002</v>
      </c>
      <c r="T702" s="2">
        <v>44468</v>
      </c>
      <c r="U702" t="s">
        <v>117</v>
      </c>
      <c r="V702" t="s">
        <v>71</v>
      </c>
      <c r="W702" t="s">
        <v>51</v>
      </c>
      <c r="X702" s="4">
        <v>129</v>
      </c>
      <c r="Z702" s="4">
        <v>69</v>
      </c>
      <c r="AC702" s="4">
        <v>1</v>
      </c>
      <c r="AD702" s="4">
        <v>119</v>
      </c>
      <c r="AE702" s="4">
        <v>53</v>
      </c>
      <c r="AF702" s="4">
        <v>19</v>
      </c>
      <c r="AG702" s="4">
        <v>8</v>
      </c>
      <c r="AL702" s="4">
        <v>199</v>
      </c>
      <c r="AN702" s="4">
        <v>199</v>
      </c>
      <c r="AO702" s="4">
        <v>199</v>
      </c>
    </row>
    <row r="703" spans="1:41" hidden="1" x14ac:dyDescent="0.2">
      <c r="A703" t="s">
        <v>1437</v>
      </c>
      <c r="B703" t="s">
        <v>1438</v>
      </c>
      <c r="C703" s="2">
        <v>43465</v>
      </c>
      <c r="D703" s="2">
        <v>44967</v>
      </c>
      <c r="E703" s="3">
        <v>35779</v>
      </c>
      <c r="F703" t="s">
        <v>93</v>
      </c>
      <c r="G703" t="s">
        <v>1439</v>
      </c>
      <c r="H703" t="s">
        <v>45</v>
      </c>
      <c r="I703" s="3">
        <v>10024</v>
      </c>
      <c r="J703" s="3">
        <v>1012110007</v>
      </c>
      <c r="K703" s="3">
        <v>1031954</v>
      </c>
      <c r="L703" t="s">
        <v>46</v>
      </c>
      <c r="M703" s="4">
        <v>6</v>
      </c>
      <c r="N703" t="s">
        <v>93</v>
      </c>
      <c r="O703" t="s">
        <v>285</v>
      </c>
      <c r="P703" s="4">
        <v>40.783555999999997</v>
      </c>
      <c r="Q703" s="4">
        <v>-73.977157000000005</v>
      </c>
      <c r="R703" s="4">
        <v>40.783734000000003</v>
      </c>
      <c r="S703" s="4">
        <v>-73.977008999999995</v>
      </c>
      <c r="T703" s="2">
        <v>44967</v>
      </c>
      <c r="U703" t="s">
        <v>49</v>
      </c>
      <c r="V703" t="s">
        <v>71</v>
      </c>
      <c r="W703" t="s">
        <v>51</v>
      </c>
      <c r="Y703" s="4">
        <v>14</v>
      </c>
      <c r="Z703" s="4">
        <v>14</v>
      </c>
      <c r="AC703" s="4">
        <v>1</v>
      </c>
      <c r="AD703" s="4">
        <v>20</v>
      </c>
      <c r="AE703" s="4">
        <v>9</v>
      </c>
      <c r="AL703" s="4">
        <v>29</v>
      </c>
      <c r="AN703" s="4">
        <v>29</v>
      </c>
      <c r="AO703" s="4">
        <v>29</v>
      </c>
    </row>
    <row r="704" spans="1:41" hidden="1" x14ac:dyDescent="0.2">
      <c r="A704" t="s">
        <v>1440</v>
      </c>
      <c r="B704" t="s">
        <v>1441</v>
      </c>
      <c r="C704" s="2">
        <v>43461</v>
      </c>
      <c r="D704" s="2">
        <v>43461</v>
      </c>
      <c r="E704" s="3">
        <v>967819</v>
      </c>
      <c r="F704" t="s">
        <v>1326</v>
      </c>
      <c r="G704" t="s">
        <v>389</v>
      </c>
      <c r="H704" t="s">
        <v>45</v>
      </c>
      <c r="I704" s="3">
        <v>10031</v>
      </c>
      <c r="J704" s="3">
        <v>1020947503</v>
      </c>
      <c r="K704" s="3">
        <v>1083034</v>
      </c>
      <c r="L704" t="s">
        <v>169</v>
      </c>
      <c r="M704" s="4">
        <v>7</v>
      </c>
      <c r="N704" t="s">
        <v>1062</v>
      </c>
      <c r="O704" t="s">
        <v>232</v>
      </c>
      <c r="P704" s="4">
        <v>40.828164999999998</v>
      </c>
      <c r="Q704" s="4">
        <v>-73.949198999999993</v>
      </c>
      <c r="R704" s="4">
        <v>40.828308</v>
      </c>
      <c r="S704" s="4">
        <v>-73.949528000000001</v>
      </c>
      <c r="T704" s="2">
        <v>43461</v>
      </c>
      <c r="U704" t="s">
        <v>49</v>
      </c>
      <c r="V704" t="s">
        <v>50</v>
      </c>
      <c r="W704" t="s">
        <v>51</v>
      </c>
      <c r="Z704" s="4">
        <v>7</v>
      </c>
      <c r="AF704" s="4">
        <v>7</v>
      </c>
      <c r="AM704" s="4">
        <v>7</v>
      </c>
      <c r="AN704" s="4">
        <v>7</v>
      </c>
      <c r="AO704" s="4">
        <v>43</v>
      </c>
    </row>
    <row r="705" spans="1:41" hidden="1" x14ac:dyDescent="0.2">
      <c r="A705" t="s">
        <v>1442</v>
      </c>
      <c r="B705" t="s">
        <v>1443</v>
      </c>
      <c r="C705" s="2">
        <v>43461</v>
      </c>
      <c r="D705" s="2">
        <v>44259</v>
      </c>
      <c r="E705" s="3">
        <v>985501</v>
      </c>
      <c r="F705" t="s">
        <v>135</v>
      </c>
      <c r="G705" t="s">
        <v>961</v>
      </c>
      <c r="H705" t="s">
        <v>45</v>
      </c>
      <c r="I705" s="3">
        <v>10026</v>
      </c>
      <c r="J705" s="3">
        <v>1017170028</v>
      </c>
      <c r="K705" s="3">
        <v>1090710</v>
      </c>
      <c r="L705" t="s">
        <v>146</v>
      </c>
      <c r="M705" s="4">
        <v>9</v>
      </c>
      <c r="N705" t="s">
        <v>275</v>
      </c>
      <c r="O705" t="s">
        <v>148</v>
      </c>
      <c r="P705" s="4">
        <v>40.802418000000003</v>
      </c>
      <c r="Q705" s="4">
        <v>-73.946541999999994</v>
      </c>
      <c r="R705" s="4">
        <v>40.802447999999998</v>
      </c>
      <c r="S705" s="4">
        <v>-73.946050999999997</v>
      </c>
      <c r="T705" s="2">
        <v>44259</v>
      </c>
      <c r="U705" t="s">
        <v>117</v>
      </c>
      <c r="V705" t="s">
        <v>71</v>
      </c>
      <c r="W705" t="s">
        <v>123</v>
      </c>
      <c r="X705" s="4">
        <v>135</v>
      </c>
      <c r="AC705" s="4">
        <v>1</v>
      </c>
      <c r="AD705" s="4">
        <v>134</v>
      </c>
      <c r="AE705" s="4">
        <v>2</v>
      </c>
      <c r="AL705" s="4">
        <v>136</v>
      </c>
      <c r="AN705" s="4">
        <v>136</v>
      </c>
      <c r="AO705" s="4">
        <v>136</v>
      </c>
    </row>
    <row r="706" spans="1:41" hidden="1" x14ac:dyDescent="0.2">
      <c r="A706" t="s">
        <v>1444</v>
      </c>
      <c r="B706" t="s">
        <v>1445</v>
      </c>
      <c r="C706" s="2">
        <v>43461</v>
      </c>
      <c r="E706" s="3">
        <v>3638</v>
      </c>
      <c r="F706" t="s">
        <v>1446</v>
      </c>
      <c r="G706" t="s">
        <v>255</v>
      </c>
      <c r="H706" t="s">
        <v>45</v>
      </c>
      <c r="I706" s="3">
        <v>10039</v>
      </c>
      <c r="J706" s="3">
        <v>1020160050</v>
      </c>
      <c r="K706" s="3">
        <v>1079770</v>
      </c>
      <c r="L706" t="s">
        <v>146</v>
      </c>
      <c r="M706" s="4">
        <v>9</v>
      </c>
      <c r="N706" t="s">
        <v>690</v>
      </c>
      <c r="O706" t="s">
        <v>177</v>
      </c>
      <c r="P706" s="4">
        <v>40.823023999999997</v>
      </c>
      <c r="Q706" s="4">
        <v>-73.938049000000007</v>
      </c>
      <c r="R706" s="4">
        <v>40.822927</v>
      </c>
      <c r="S706" s="4">
        <v>-73.936261000000002</v>
      </c>
      <c r="U706" t="s">
        <v>49</v>
      </c>
      <c r="V706" t="s">
        <v>71</v>
      </c>
      <c r="W706" t="s">
        <v>51</v>
      </c>
      <c r="X706" s="4">
        <v>19</v>
      </c>
      <c r="Y706" s="4">
        <v>293</v>
      </c>
      <c r="AE706" s="4">
        <v>51</v>
      </c>
      <c r="AF706" s="4">
        <v>210</v>
      </c>
      <c r="AG706" s="4">
        <v>51</v>
      </c>
      <c r="AM706" s="4">
        <v>312</v>
      </c>
      <c r="AN706" s="4">
        <v>312</v>
      </c>
      <c r="AO706" s="4">
        <v>312</v>
      </c>
    </row>
    <row r="707" spans="1:41" hidden="1" x14ac:dyDescent="0.2">
      <c r="A707" t="s">
        <v>1444</v>
      </c>
      <c r="B707" t="s">
        <v>1445</v>
      </c>
      <c r="C707" s="2">
        <v>43461</v>
      </c>
      <c r="E707" s="3">
        <v>23412</v>
      </c>
      <c r="F707" t="s">
        <v>1447</v>
      </c>
      <c r="G707" t="s">
        <v>1448</v>
      </c>
      <c r="H707" t="s">
        <v>45</v>
      </c>
      <c r="I707" s="3">
        <v>10039</v>
      </c>
      <c r="J707" s="3">
        <v>1017440001</v>
      </c>
      <c r="K707" s="3">
        <v>1083992</v>
      </c>
      <c r="L707" t="s">
        <v>146</v>
      </c>
      <c r="M707" s="4">
        <v>9</v>
      </c>
      <c r="N707" t="s">
        <v>690</v>
      </c>
      <c r="O707" t="s">
        <v>177</v>
      </c>
      <c r="P707" s="4">
        <v>40.820534000000002</v>
      </c>
      <c r="Q707" s="4">
        <v>-73.936143999999999</v>
      </c>
      <c r="R707" s="4">
        <v>40.820968999999998</v>
      </c>
      <c r="S707" s="4">
        <v>-73.934708999999998</v>
      </c>
      <c r="U707" t="s">
        <v>49</v>
      </c>
      <c r="V707" t="s">
        <v>71</v>
      </c>
      <c r="W707" t="s">
        <v>51</v>
      </c>
      <c r="X707" s="4">
        <v>19</v>
      </c>
      <c r="Y707" s="4">
        <v>292</v>
      </c>
      <c r="AC707" s="4">
        <v>1</v>
      </c>
      <c r="AE707" s="4">
        <v>51</v>
      </c>
      <c r="AF707" s="4">
        <v>209</v>
      </c>
      <c r="AG707" s="4">
        <v>52</v>
      </c>
      <c r="AM707" s="4">
        <v>312</v>
      </c>
      <c r="AN707" s="4">
        <v>312</v>
      </c>
      <c r="AO707" s="4">
        <v>312</v>
      </c>
    </row>
    <row r="708" spans="1:41" hidden="1" x14ac:dyDescent="0.2">
      <c r="A708" t="s">
        <v>1444</v>
      </c>
      <c r="B708" t="s">
        <v>1445</v>
      </c>
      <c r="C708" s="2">
        <v>43461</v>
      </c>
      <c r="E708" s="3">
        <v>803887</v>
      </c>
      <c r="F708" t="s">
        <v>1449</v>
      </c>
      <c r="G708" t="s">
        <v>546</v>
      </c>
      <c r="H708" t="s">
        <v>45</v>
      </c>
      <c r="I708" s="3">
        <v>10039</v>
      </c>
      <c r="J708" s="3">
        <v>1020160050</v>
      </c>
      <c r="K708" s="3">
        <v>1079773</v>
      </c>
      <c r="L708" t="s">
        <v>146</v>
      </c>
      <c r="M708" s="4">
        <v>9</v>
      </c>
      <c r="N708" t="s">
        <v>690</v>
      </c>
      <c r="O708" t="s">
        <v>177</v>
      </c>
      <c r="P708" s="4">
        <v>40.823872000000001</v>
      </c>
      <c r="Q708" s="4">
        <v>-73.937438</v>
      </c>
      <c r="R708" s="4">
        <v>40.822927</v>
      </c>
      <c r="S708" s="4">
        <v>-73.936261000000002</v>
      </c>
      <c r="U708" t="s">
        <v>49</v>
      </c>
      <c r="V708" t="s">
        <v>71</v>
      </c>
      <c r="W708" t="s">
        <v>51</v>
      </c>
      <c r="X708" s="4">
        <v>27</v>
      </c>
      <c r="Y708" s="4">
        <v>285</v>
      </c>
      <c r="AE708" s="4">
        <v>53</v>
      </c>
      <c r="AF708" s="4">
        <v>206</v>
      </c>
      <c r="AG708" s="4">
        <v>53</v>
      </c>
      <c r="AM708" s="4">
        <v>312</v>
      </c>
      <c r="AN708" s="4">
        <v>312</v>
      </c>
      <c r="AO708" s="4">
        <v>312</v>
      </c>
    </row>
    <row r="709" spans="1:41" hidden="1" x14ac:dyDescent="0.2">
      <c r="A709" t="s">
        <v>1444</v>
      </c>
      <c r="B709" t="s">
        <v>1445</v>
      </c>
      <c r="C709" s="2">
        <v>43461</v>
      </c>
      <c r="E709" s="3">
        <v>804988</v>
      </c>
      <c r="F709" t="s">
        <v>1450</v>
      </c>
      <c r="G709" t="s">
        <v>274</v>
      </c>
      <c r="H709" t="s">
        <v>45</v>
      </c>
      <c r="I709" s="3">
        <v>10039</v>
      </c>
      <c r="J709" s="3">
        <v>1017440001</v>
      </c>
      <c r="K709" s="3">
        <v>1083993</v>
      </c>
      <c r="L709" t="s">
        <v>146</v>
      </c>
      <c r="M709" s="4">
        <v>9</v>
      </c>
      <c r="N709" t="s">
        <v>690</v>
      </c>
      <c r="O709" t="s">
        <v>177</v>
      </c>
      <c r="P709" s="4">
        <v>40.821198000000003</v>
      </c>
      <c r="Q709" s="4">
        <v>-73.935663000000005</v>
      </c>
      <c r="R709" s="4">
        <v>40.820968999999998</v>
      </c>
      <c r="S709" s="4">
        <v>-73.934708999999998</v>
      </c>
      <c r="U709" t="s">
        <v>49</v>
      </c>
      <c r="V709" t="s">
        <v>71</v>
      </c>
      <c r="W709" t="s">
        <v>51</v>
      </c>
      <c r="X709" s="4">
        <v>16</v>
      </c>
      <c r="Y709" s="4">
        <v>296</v>
      </c>
      <c r="AE709" s="4">
        <v>52</v>
      </c>
      <c r="AF709" s="4">
        <v>208</v>
      </c>
      <c r="AG709" s="4">
        <v>52</v>
      </c>
      <c r="AM709" s="4">
        <v>312</v>
      </c>
      <c r="AN709" s="4">
        <v>312</v>
      </c>
      <c r="AO709" s="4">
        <v>312</v>
      </c>
    </row>
    <row r="710" spans="1:41" hidden="1" x14ac:dyDescent="0.2">
      <c r="A710" t="s">
        <v>1444</v>
      </c>
      <c r="B710" t="s">
        <v>1445</v>
      </c>
      <c r="C710" s="2">
        <v>43461</v>
      </c>
      <c r="E710" s="3">
        <v>805981</v>
      </c>
      <c r="F710" t="s">
        <v>347</v>
      </c>
      <c r="G710" t="s">
        <v>1451</v>
      </c>
      <c r="H710" t="s">
        <v>45</v>
      </c>
      <c r="I710" s="3">
        <v>10039</v>
      </c>
      <c r="J710" s="3">
        <v>1020160050</v>
      </c>
      <c r="K710" s="3">
        <v>1079771</v>
      </c>
      <c r="L710" t="s">
        <v>146</v>
      </c>
      <c r="M710" s="4">
        <v>9</v>
      </c>
      <c r="N710" t="s">
        <v>690</v>
      </c>
      <c r="O710" t="s">
        <v>177</v>
      </c>
      <c r="P710" s="4">
        <v>40.821840000000002</v>
      </c>
      <c r="Q710" s="4">
        <v>-73.935524999999998</v>
      </c>
      <c r="R710" s="4">
        <v>40.822927</v>
      </c>
      <c r="S710" s="4">
        <v>-73.936261000000002</v>
      </c>
      <c r="U710" t="s">
        <v>49</v>
      </c>
      <c r="V710" t="s">
        <v>71</v>
      </c>
      <c r="W710" t="s">
        <v>51</v>
      </c>
      <c r="X710" s="4">
        <v>17</v>
      </c>
      <c r="Y710" s="4">
        <v>294</v>
      </c>
      <c r="AC710" s="4">
        <v>1</v>
      </c>
      <c r="AE710" s="4">
        <v>54</v>
      </c>
      <c r="AF710" s="4">
        <v>207</v>
      </c>
      <c r="AG710" s="4">
        <v>51</v>
      </c>
      <c r="AM710" s="4">
        <v>312</v>
      </c>
      <c r="AN710" s="4">
        <v>312</v>
      </c>
      <c r="AO710" s="4">
        <v>312</v>
      </c>
    </row>
    <row r="711" spans="1:41" hidden="1" x14ac:dyDescent="0.2">
      <c r="A711" t="s">
        <v>1444</v>
      </c>
      <c r="B711" t="s">
        <v>1445</v>
      </c>
      <c r="C711" s="2">
        <v>43461</v>
      </c>
      <c r="E711" s="3">
        <v>805982</v>
      </c>
      <c r="F711" t="s">
        <v>1452</v>
      </c>
      <c r="G711" t="s">
        <v>1451</v>
      </c>
      <c r="H711" t="s">
        <v>45</v>
      </c>
      <c r="I711" s="3">
        <v>10039</v>
      </c>
      <c r="J711" s="3">
        <v>1020160050</v>
      </c>
      <c r="K711" s="3">
        <v>1079772</v>
      </c>
      <c r="L711" t="s">
        <v>146</v>
      </c>
      <c r="M711" s="4">
        <v>9</v>
      </c>
      <c r="N711" t="s">
        <v>690</v>
      </c>
      <c r="O711" t="s">
        <v>177</v>
      </c>
      <c r="P711" s="4">
        <v>40.822243999999998</v>
      </c>
      <c r="Q711" s="4">
        <v>-73.936475000000002</v>
      </c>
      <c r="R711" s="4">
        <v>40.822927</v>
      </c>
      <c r="S711" s="4">
        <v>-73.936261000000002</v>
      </c>
      <c r="U711" t="s">
        <v>49</v>
      </c>
      <c r="V711" t="s">
        <v>71</v>
      </c>
      <c r="W711" t="s">
        <v>51</v>
      </c>
      <c r="X711" s="4">
        <v>26</v>
      </c>
      <c r="Y711" s="4">
        <v>286</v>
      </c>
      <c r="AE711" s="4">
        <v>51</v>
      </c>
      <c r="AF711" s="4">
        <v>208</v>
      </c>
      <c r="AG711" s="4">
        <v>53</v>
      </c>
      <c r="AM711" s="4">
        <v>312</v>
      </c>
      <c r="AN711" s="4">
        <v>312</v>
      </c>
      <c r="AO711" s="4">
        <v>312</v>
      </c>
    </row>
    <row r="712" spans="1:41" hidden="1" x14ac:dyDescent="0.2">
      <c r="A712" t="s">
        <v>1453</v>
      </c>
      <c r="B712" t="s">
        <v>1454</v>
      </c>
      <c r="C712" s="2">
        <v>43460</v>
      </c>
      <c r="E712" s="3">
        <v>5729</v>
      </c>
      <c r="F712" t="s">
        <v>1455</v>
      </c>
      <c r="G712" t="s">
        <v>87</v>
      </c>
      <c r="H712" t="s">
        <v>45</v>
      </c>
      <c r="I712" s="3">
        <v>10032</v>
      </c>
      <c r="J712" s="3">
        <v>1021177501</v>
      </c>
      <c r="K712" s="3">
        <v>1062769</v>
      </c>
      <c r="L712" t="s">
        <v>114</v>
      </c>
      <c r="M712" s="4">
        <v>10</v>
      </c>
      <c r="N712" t="s">
        <v>762</v>
      </c>
      <c r="O712" t="s">
        <v>134</v>
      </c>
      <c r="P712" s="4">
        <v>40.833587999999999</v>
      </c>
      <c r="Q712" s="4">
        <v>-73.941519999999997</v>
      </c>
      <c r="R712" s="4">
        <v>40.833717</v>
      </c>
      <c r="S712" s="4">
        <v>-73.941816000000003</v>
      </c>
      <c r="U712" t="s">
        <v>117</v>
      </c>
      <c r="V712" t="s">
        <v>71</v>
      </c>
      <c r="W712" t="s">
        <v>51</v>
      </c>
      <c r="AB712" s="4">
        <v>5</v>
      </c>
      <c r="AE712" s="4">
        <v>5</v>
      </c>
      <c r="AL712" s="4">
        <v>5</v>
      </c>
      <c r="AN712" s="4">
        <v>5</v>
      </c>
      <c r="AO712" s="4">
        <v>14</v>
      </c>
    </row>
    <row r="713" spans="1:41" hidden="1" x14ac:dyDescent="0.2">
      <c r="A713" t="s">
        <v>1456</v>
      </c>
      <c r="B713" t="s">
        <v>1457</v>
      </c>
      <c r="C713" s="2">
        <v>43452</v>
      </c>
      <c r="D713" s="2">
        <v>44391</v>
      </c>
      <c r="E713" s="3">
        <v>959077</v>
      </c>
      <c r="F713" t="s">
        <v>1458</v>
      </c>
      <c r="G713" t="s">
        <v>1459</v>
      </c>
      <c r="H713" t="s">
        <v>45</v>
      </c>
      <c r="I713" s="3">
        <v>10044</v>
      </c>
      <c r="J713" s="3">
        <v>1013730009</v>
      </c>
      <c r="K713" s="3">
        <v>1088859</v>
      </c>
      <c r="L713" t="s">
        <v>107</v>
      </c>
      <c r="M713" s="4">
        <v>5</v>
      </c>
      <c r="N713" t="s">
        <v>1460</v>
      </c>
      <c r="O713" t="s">
        <v>341</v>
      </c>
      <c r="P713" s="4">
        <v>40.759183</v>
      </c>
      <c r="Q713" s="4">
        <v>-73.951963000000006</v>
      </c>
      <c r="R713" s="4">
        <v>40.759017999999998</v>
      </c>
      <c r="S713" s="4">
        <v>-73.951187000000004</v>
      </c>
      <c r="T713" s="2">
        <v>44250</v>
      </c>
      <c r="U713" t="s">
        <v>117</v>
      </c>
      <c r="V713" t="s">
        <v>71</v>
      </c>
      <c r="W713" t="s">
        <v>51</v>
      </c>
      <c r="Y713" s="4">
        <v>69</v>
      </c>
      <c r="Z713" s="4">
        <v>33</v>
      </c>
      <c r="AA713" s="4">
        <v>68</v>
      </c>
      <c r="AB713" s="4">
        <v>170</v>
      </c>
      <c r="AC713" s="4">
        <v>1</v>
      </c>
      <c r="AD713" s="4">
        <v>82</v>
      </c>
      <c r="AE713" s="4">
        <v>158</v>
      </c>
      <c r="AF713" s="4">
        <v>51</v>
      </c>
      <c r="AG713" s="4">
        <v>50</v>
      </c>
      <c r="AL713" s="4">
        <v>341</v>
      </c>
      <c r="AN713" s="4">
        <v>341</v>
      </c>
      <c r="AO713" s="4">
        <v>341</v>
      </c>
    </row>
    <row r="714" spans="1:41" hidden="1" x14ac:dyDescent="0.2">
      <c r="A714" t="s">
        <v>1461</v>
      </c>
      <c r="B714" t="s">
        <v>1462</v>
      </c>
      <c r="C714" s="2">
        <v>43448</v>
      </c>
      <c r="D714" s="2">
        <v>44407</v>
      </c>
      <c r="E714" s="3">
        <v>42263</v>
      </c>
      <c r="F714" t="s">
        <v>1463</v>
      </c>
      <c r="G714" t="s">
        <v>662</v>
      </c>
      <c r="H714" t="s">
        <v>45</v>
      </c>
      <c r="I714" s="3">
        <v>10031</v>
      </c>
      <c r="J714" s="3">
        <v>1020620061</v>
      </c>
      <c r="K714" s="3">
        <v>1061468</v>
      </c>
      <c r="L714" t="s">
        <v>169</v>
      </c>
      <c r="M714" s="4">
        <v>7</v>
      </c>
      <c r="N714" t="s">
        <v>320</v>
      </c>
      <c r="O714" t="s">
        <v>232</v>
      </c>
      <c r="P714" s="4">
        <v>40.826895</v>
      </c>
      <c r="Q714" s="4">
        <v>-73.945611999999997</v>
      </c>
      <c r="R714" s="4">
        <v>40.826923000000001</v>
      </c>
      <c r="S714" s="4">
        <v>-73.945965999999999</v>
      </c>
      <c r="T714" s="2">
        <v>44407</v>
      </c>
      <c r="U714" t="s">
        <v>49</v>
      </c>
      <c r="V714" t="s">
        <v>71</v>
      </c>
      <c r="W714" t="s">
        <v>51</v>
      </c>
      <c r="X714" s="4">
        <v>6</v>
      </c>
      <c r="Y714" s="4">
        <v>4</v>
      </c>
      <c r="Z714" s="4">
        <v>11</v>
      </c>
      <c r="AC714" s="4">
        <v>1</v>
      </c>
      <c r="AE714" s="4">
        <v>4</v>
      </c>
      <c r="AF714" s="4">
        <v>18</v>
      </c>
      <c r="AL714" s="4">
        <v>22</v>
      </c>
      <c r="AN714" s="4">
        <v>22</v>
      </c>
      <c r="AO714" s="4">
        <v>22</v>
      </c>
    </row>
    <row r="715" spans="1:41" hidden="1" x14ac:dyDescent="0.2">
      <c r="A715" t="s">
        <v>1464</v>
      </c>
      <c r="B715" t="s">
        <v>1465</v>
      </c>
      <c r="C715" s="2">
        <v>43439</v>
      </c>
      <c r="D715" s="2">
        <v>45513</v>
      </c>
      <c r="E715" s="3">
        <v>19431</v>
      </c>
      <c r="F715" t="s">
        <v>1466</v>
      </c>
      <c r="G715" t="s">
        <v>639</v>
      </c>
      <c r="H715" t="s">
        <v>45</v>
      </c>
      <c r="I715" s="3">
        <v>10029</v>
      </c>
      <c r="J715" s="3">
        <v>1016390062</v>
      </c>
      <c r="K715" s="3">
        <v>1052223</v>
      </c>
      <c r="L715" t="s">
        <v>153</v>
      </c>
      <c r="M715" s="4">
        <v>8</v>
      </c>
      <c r="N715" t="s">
        <v>600</v>
      </c>
      <c r="O715" t="s">
        <v>267</v>
      </c>
      <c r="P715" s="4">
        <v>40.796309999999998</v>
      </c>
      <c r="Q715" s="4">
        <v>-73.944058999999996</v>
      </c>
      <c r="R715" s="4">
        <v>40.796145000000003</v>
      </c>
      <c r="S715" s="4">
        <v>-73.944267999999994</v>
      </c>
      <c r="T715" s="2">
        <v>45513</v>
      </c>
      <c r="U715" t="s">
        <v>49</v>
      </c>
      <c r="V715" t="s">
        <v>71</v>
      </c>
      <c r="W715" t="s">
        <v>123</v>
      </c>
      <c r="X715" s="4">
        <v>56</v>
      </c>
      <c r="AC715" s="4">
        <v>1</v>
      </c>
      <c r="AD715" s="4">
        <v>55</v>
      </c>
      <c r="AE715" s="4">
        <v>2</v>
      </c>
      <c r="AL715" s="4">
        <v>57</v>
      </c>
      <c r="AN715" s="4">
        <v>57</v>
      </c>
      <c r="AO715" s="4">
        <v>57</v>
      </c>
    </row>
    <row r="716" spans="1:41" hidden="1" x14ac:dyDescent="0.2">
      <c r="A716" t="s">
        <v>1467</v>
      </c>
      <c r="B716" t="s">
        <v>1468</v>
      </c>
      <c r="C716" s="2">
        <v>43431</v>
      </c>
      <c r="D716" s="2">
        <v>44736</v>
      </c>
      <c r="E716" s="3">
        <v>986507</v>
      </c>
      <c r="F716" t="s">
        <v>813</v>
      </c>
      <c r="G716" t="s">
        <v>1469</v>
      </c>
      <c r="H716" t="s">
        <v>45</v>
      </c>
      <c r="I716" s="3">
        <v>10013</v>
      </c>
      <c r="J716" s="3">
        <v>1005780071</v>
      </c>
      <c r="K716" s="3">
        <v>1090671</v>
      </c>
      <c r="L716" t="s">
        <v>161</v>
      </c>
      <c r="M716" s="4">
        <v>1</v>
      </c>
      <c r="N716" t="s">
        <v>303</v>
      </c>
      <c r="O716" t="s">
        <v>927</v>
      </c>
      <c r="P716" s="4">
        <v>40.724525999999997</v>
      </c>
      <c r="Q716" s="4">
        <v>-74.006360999999998</v>
      </c>
      <c r="R716" s="4">
        <v>40.724598</v>
      </c>
      <c r="S716" s="4">
        <v>-74.006314000000003</v>
      </c>
      <c r="T716" s="2">
        <v>44736</v>
      </c>
      <c r="U716" t="s">
        <v>117</v>
      </c>
      <c r="V716" t="s">
        <v>71</v>
      </c>
      <c r="W716" t="s">
        <v>51</v>
      </c>
      <c r="Z716" s="4">
        <v>25</v>
      </c>
      <c r="AB716" s="4">
        <v>5</v>
      </c>
      <c r="AD716" s="4">
        <v>8</v>
      </c>
      <c r="AE716" s="4">
        <v>15</v>
      </c>
      <c r="AF716" s="4">
        <v>7</v>
      </c>
      <c r="AL716" s="4">
        <v>30</v>
      </c>
      <c r="AN716" s="4">
        <v>30</v>
      </c>
      <c r="AO716" s="4">
        <v>100</v>
      </c>
    </row>
    <row r="717" spans="1:41" hidden="1" x14ac:dyDescent="0.2">
      <c r="A717" t="s">
        <v>1470</v>
      </c>
      <c r="B717" t="s">
        <v>1471</v>
      </c>
      <c r="C717" s="2">
        <v>43425</v>
      </c>
      <c r="D717" s="2">
        <v>44453</v>
      </c>
      <c r="E717" s="3">
        <v>986413</v>
      </c>
      <c r="F717" t="s">
        <v>1177</v>
      </c>
      <c r="G717" t="s">
        <v>260</v>
      </c>
      <c r="H717" t="s">
        <v>45</v>
      </c>
      <c r="I717" s="3">
        <v>10027</v>
      </c>
      <c r="J717" s="3">
        <v>1017227502</v>
      </c>
      <c r="K717" s="3">
        <v>1053478</v>
      </c>
      <c r="L717" t="s">
        <v>146</v>
      </c>
      <c r="M717" s="4">
        <v>9</v>
      </c>
      <c r="N717" t="s">
        <v>1472</v>
      </c>
      <c r="O717" t="s">
        <v>148</v>
      </c>
      <c r="P717" s="4">
        <v>40.807295000000003</v>
      </c>
      <c r="Q717" s="4">
        <v>-73.944371000000004</v>
      </c>
      <c r="R717" s="4">
        <v>40.807039000000003</v>
      </c>
      <c r="S717" s="4">
        <v>-73.944479999999999</v>
      </c>
      <c r="T717" s="2">
        <v>44453</v>
      </c>
      <c r="U717" t="s">
        <v>117</v>
      </c>
      <c r="V717" t="s">
        <v>71</v>
      </c>
      <c r="W717" t="s">
        <v>51</v>
      </c>
      <c r="Z717" s="4">
        <v>24</v>
      </c>
      <c r="AB717" s="4">
        <v>19</v>
      </c>
      <c r="AD717" s="4">
        <v>10</v>
      </c>
      <c r="AE717" s="4">
        <v>11</v>
      </c>
      <c r="AF717" s="4">
        <v>22</v>
      </c>
      <c r="AL717" s="4">
        <v>43</v>
      </c>
      <c r="AN717" s="4">
        <v>43</v>
      </c>
      <c r="AO717" s="4">
        <v>141</v>
      </c>
    </row>
    <row r="718" spans="1:41" hidden="1" x14ac:dyDescent="0.2">
      <c r="A718" t="s">
        <v>1473</v>
      </c>
      <c r="B718" t="s">
        <v>1474</v>
      </c>
      <c r="C718" s="2">
        <v>43399</v>
      </c>
      <c r="D718" s="2">
        <v>43980</v>
      </c>
      <c r="E718" s="3">
        <v>826520</v>
      </c>
      <c r="F718" t="s">
        <v>765</v>
      </c>
      <c r="G718" t="s">
        <v>1475</v>
      </c>
      <c r="H718" t="s">
        <v>45</v>
      </c>
      <c r="I718" s="3">
        <v>10019</v>
      </c>
      <c r="J718" s="3">
        <v>1010210001</v>
      </c>
      <c r="K718" s="3">
        <v>1085498</v>
      </c>
      <c r="L718" t="s">
        <v>655</v>
      </c>
      <c r="M718" s="4">
        <v>3</v>
      </c>
      <c r="N718" t="s">
        <v>55</v>
      </c>
      <c r="O718" t="s">
        <v>1330</v>
      </c>
      <c r="P718" s="4">
        <v>40.761830000000003</v>
      </c>
      <c r="Q718" s="4">
        <v>-73.985033999999999</v>
      </c>
      <c r="R718" s="4">
        <v>40.761826999999997</v>
      </c>
      <c r="S718" s="4">
        <v>-73.985816999999997</v>
      </c>
      <c r="T718" s="2">
        <v>43980</v>
      </c>
      <c r="U718" t="s">
        <v>49</v>
      </c>
      <c r="V718" t="s">
        <v>71</v>
      </c>
      <c r="W718" t="s">
        <v>51</v>
      </c>
      <c r="AB718" s="4">
        <v>28</v>
      </c>
      <c r="AK718" s="4">
        <v>28</v>
      </c>
      <c r="AL718" s="4">
        <v>28</v>
      </c>
      <c r="AN718" s="4">
        <v>28</v>
      </c>
      <c r="AO718" s="4">
        <v>550</v>
      </c>
    </row>
    <row r="719" spans="1:41" hidden="1" x14ac:dyDescent="0.2">
      <c r="A719" t="s">
        <v>1476</v>
      </c>
      <c r="B719" t="s">
        <v>1477</v>
      </c>
      <c r="C719" s="2">
        <v>43395</v>
      </c>
      <c r="D719" s="2">
        <v>43395</v>
      </c>
      <c r="E719" s="3">
        <v>6213</v>
      </c>
      <c r="F719" t="s">
        <v>453</v>
      </c>
      <c r="G719" t="s">
        <v>136</v>
      </c>
      <c r="H719" t="s">
        <v>45</v>
      </c>
      <c r="I719" s="3">
        <v>10033</v>
      </c>
      <c r="J719" s="3">
        <v>1021520036</v>
      </c>
      <c r="K719" s="3">
        <v>1063596</v>
      </c>
      <c r="L719" t="s">
        <v>114</v>
      </c>
      <c r="M719" s="4">
        <v>10</v>
      </c>
      <c r="N719" t="s">
        <v>346</v>
      </c>
      <c r="O719" t="s">
        <v>134</v>
      </c>
      <c r="P719" s="4">
        <v>40.847723999999999</v>
      </c>
      <c r="Q719" s="4">
        <v>-73.933066999999994</v>
      </c>
      <c r="R719" s="4">
        <v>40.847715000000001</v>
      </c>
      <c r="S719" s="4">
        <v>-73.932727999999997</v>
      </c>
      <c r="T719" s="2">
        <v>43395</v>
      </c>
      <c r="U719" t="s">
        <v>49</v>
      </c>
      <c r="V719" t="s">
        <v>50</v>
      </c>
      <c r="W719" t="s">
        <v>51</v>
      </c>
      <c r="Z719" s="4">
        <v>5</v>
      </c>
      <c r="AA719" s="4">
        <v>12</v>
      </c>
      <c r="AD719" s="4">
        <v>5</v>
      </c>
      <c r="AE719" s="4">
        <v>2</v>
      </c>
      <c r="AF719" s="4">
        <v>7</v>
      </c>
      <c r="AG719" s="4">
        <v>3</v>
      </c>
      <c r="AL719" s="4">
        <v>17</v>
      </c>
      <c r="AN719" s="4">
        <v>17</v>
      </c>
      <c r="AO719" s="4">
        <v>17</v>
      </c>
    </row>
    <row r="720" spans="1:41" hidden="1" x14ac:dyDescent="0.2">
      <c r="A720" t="s">
        <v>1476</v>
      </c>
      <c r="B720" t="s">
        <v>1477</v>
      </c>
      <c r="C720" s="2">
        <v>43395</v>
      </c>
      <c r="D720" s="2">
        <v>43395</v>
      </c>
      <c r="E720" s="3">
        <v>6215</v>
      </c>
      <c r="F720" t="s">
        <v>1478</v>
      </c>
      <c r="G720" t="s">
        <v>136</v>
      </c>
      <c r="H720" t="s">
        <v>45</v>
      </c>
      <c r="I720" s="3">
        <v>10033</v>
      </c>
      <c r="J720" s="3">
        <v>1021520038</v>
      </c>
      <c r="K720" s="3">
        <v>1063597</v>
      </c>
      <c r="L720" t="s">
        <v>114</v>
      </c>
      <c r="M720" s="4">
        <v>10</v>
      </c>
      <c r="N720" t="s">
        <v>346</v>
      </c>
      <c r="O720" t="s">
        <v>134</v>
      </c>
      <c r="P720" s="4">
        <v>40.847779000000003</v>
      </c>
      <c r="Q720" s="4">
        <v>-73.933027999999993</v>
      </c>
      <c r="R720" s="4">
        <v>40.847808999999998</v>
      </c>
      <c r="S720" s="4">
        <v>-73.932661999999993</v>
      </c>
      <c r="T720" s="2">
        <v>43395</v>
      </c>
      <c r="U720" t="s">
        <v>49</v>
      </c>
      <c r="V720" t="s">
        <v>50</v>
      </c>
      <c r="W720" t="s">
        <v>51</v>
      </c>
      <c r="X720" s="4">
        <v>14</v>
      </c>
      <c r="Y720" s="4">
        <v>1</v>
      </c>
      <c r="Z720" s="4">
        <v>1</v>
      </c>
      <c r="AC720" s="4">
        <v>1</v>
      </c>
      <c r="AD720" s="4">
        <v>4</v>
      </c>
      <c r="AE720" s="4">
        <v>3</v>
      </c>
      <c r="AF720" s="4">
        <v>7</v>
      </c>
      <c r="AG720" s="4">
        <v>2</v>
      </c>
      <c r="AH720" s="4">
        <v>1</v>
      </c>
      <c r="AL720" s="4">
        <v>17</v>
      </c>
      <c r="AN720" s="4">
        <v>17</v>
      </c>
      <c r="AO720" s="4">
        <v>17</v>
      </c>
    </row>
    <row r="721" spans="1:41" hidden="1" x14ac:dyDescent="0.2">
      <c r="A721" t="s">
        <v>1479</v>
      </c>
      <c r="B721" t="s">
        <v>1480</v>
      </c>
      <c r="C721" s="2">
        <v>43395</v>
      </c>
      <c r="D721" s="2">
        <v>43395</v>
      </c>
      <c r="E721" s="3">
        <v>3385</v>
      </c>
      <c r="F721" t="s">
        <v>1481</v>
      </c>
      <c r="G721" t="s">
        <v>255</v>
      </c>
      <c r="H721" t="s">
        <v>45</v>
      </c>
      <c r="I721" s="3">
        <v>10026</v>
      </c>
      <c r="J721" s="3">
        <v>1018230061</v>
      </c>
      <c r="K721" s="3">
        <v>1055033</v>
      </c>
      <c r="L721" t="s">
        <v>146</v>
      </c>
      <c r="M721" s="4">
        <v>9</v>
      </c>
      <c r="N721" t="s">
        <v>312</v>
      </c>
      <c r="O721" t="s">
        <v>148</v>
      </c>
      <c r="P721" s="4">
        <v>40.801775999999997</v>
      </c>
      <c r="Q721" s="4">
        <v>-73.953568000000004</v>
      </c>
      <c r="R721" s="4">
        <v>40.801622000000002</v>
      </c>
      <c r="S721" s="4">
        <v>-73.953181999999998</v>
      </c>
      <c r="T721" s="2">
        <v>43395</v>
      </c>
      <c r="U721" t="s">
        <v>49</v>
      </c>
      <c r="V721" t="s">
        <v>50</v>
      </c>
      <c r="W721" t="s">
        <v>51</v>
      </c>
      <c r="X721" s="4">
        <v>23</v>
      </c>
      <c r="Y721" s="4">
        <v>7</v>
      </c>
      <c r="Z721" s="4">
        <v>3</v>
      </c>
      <c r="AA721" s="4">
        <v>1</v>
      </c>
      <c r="AC721" s="4">
        <v>1</v>
      </c>
      <c r="AE721" s="4">
        <v>20</v>
      </c>
      <c r="AF721" s="4">
        <v>10</v>
      </c>
      <c r="AG721" s="4">
        <v>5</v>
      </c>
      <c r="AL721" s="4">
        <v>35</v>
      </c>
      <c r="AN721" s="4">
        <v>35</v>
      </c>
      <c r="AO721" s="4">
        <v>35</v>
      </c>
    </row>
    <row r="722" spans="1:41" hidden="1" x14ac:dyDescent="0.2">
      <c r="A722" t="s">
        <v>1479</v>
      </c>
      <c r="B722" t="s">
        <v>1480</v>
      </c>
      <c r="C722" s="2">
        <v>43395</v>
      </c>
      <c r="D722" s="2">
        <v>43395</v>
      </c>
      <c r="E722" s="3">
        <v>28175</v>
      </c>
      <c r="F722" t="s">
        <v>100</v>
      </c>
      <c r="G722" t="s">
        <v>345</v>
      </c>
      <c r="H722" t="s">
        <v>45</v>
      </c>
      <c r="I722" s="3">
        <v>10026</v>
      </c>
      <c r="J722" s="3">
        <v>1018230058</v>
      </c>
      <c r="K722" s="3">
        <v>1055032</v>
      </c>
      <c r="L722" t="s">
        <v>146</v>
      </c>
      <c r="M722" s="4">
        <v>9</v>
      </c>
      <c r="N722" t="s">
        <v>312</v>
      </c>
      <c r="O722" t="s">
        <v>148</v>
      </c>
      <c r="P722" s="4">
        <v>40.801208000000003</v>
      </c>
      <c r="Q722" s="4">
        <v>-73.952550000000002</v>
      </c>
      <c r="R722" s="4">
        <v>40.801487999999999</v>
      </c>
      <c r="S722" s="4">
        <v>-73.952877999999998</v>
      </c>
      <c r="T722" s="2">
        <v>43395</v>
      </c>
      <c r="U722" t="s">
        <v>49</v>
      </c>
      <c r="V722" t="s">
        <v>50</v>
      </c>
      <c r="W722" t="s">
        <v>51</v>
      </c>
      <c r="X722" s="4">
        <v>17</v>
      </c>
      <c r="Y722" s="4">
        <v>5</v>
      </c>
      <c r="AA722" s="4">
        <v>3</v>
      </c>
      <c r="AD722" s="4">
        <v>1</v>
      </c>
      <c r="AE722" s="4">
        <v>13</v>
      </c>
      <c r="AF722" s="4">
        <v>11</v>
      </c>
      <c r="AL722" s="4">
        <v>25</v>
      </c>
      <c r="AN722" s="4">
        <v>25</v>
      </c>
      <c r="AO722" s="4">
        <v>25</v>
      </c>
    </row>
    <row r="723" spans="1:41" hidden="1" x14ac:dyDescent="0.2">
      <c r="A723" t="s">
        <v>1482</v>
      </c>
      <c r="B723" t="s">
        <v>1483</v>
      </c>
      <c r="C723" s="2">
        <v>43395</v>
      </c>
      <c r="D723" s="2">
        <v>43395</v>
      </c>
      <c r="E723" s="3">
        <v>37769</v>
      </c>
      <c r="F723" t="s">
        <v>811</v>
      </c>
      <c r="G723" t="s">
        <v>1116</v>
      </c>
      <c r="H723" t="s">
        <v>45</v>
      </c>
      <c r="I723" s="3">
        <v>10025</v>
      </c>
      <c r="J723" s="3">
        <v>1018640023</v>
      </c>
      <c r="K723" s="3">
        <v>1056033</v>
      </c>
      <c r="L723" t="s">
        <v>46</v>
      </c>
      <c r="M723" s="4">
        <v>7</v>
      </c>
      <c r="N723" t="s">
        <v>54</v>
      </c>
      <c r="O723" t="s">
        <v>48</v>
      </c>
      <c r="P723" s="4">
        <v>40.801411999999999</v>
      </c>
      <c r="Q723" s="4">
        <v>-73.962001999999998</v>
      </c>
      <c r="R723" s="4">
        <v>40.801661000000003</v>
      </c>
      <c r="S723" s="4">
        <v>-73.962136000000001</v>
      </c>
      <c r="T723" s="2">
        <v>43395</v>
      </c>
      <c r="U723" t="s">
        <v>49</v>
      </c>
      <c r="V723" t="s">
        <v>50</v>
      </c>
      <c r="W723" t="s">
        <v>51</v>
      </c>
      <c r="X723" s="4">
        <v>39</v>
      </c>
      <c r="Y723" s="4">
        <v>7</v>
      </c>
      <c r="Z723" s="4">
        <v>2</v>
      </c>
      <c r="AC723" s="4">
        <v>1</v>
      </c>
      <c r="AD723" s="4">
        <v>14</v>
      </c>
      <c r="AE723" s="4">
        <v>22</v>
      </c>
      <c r="AF723" s="4">
        <v>13</v>
      </c>
      <c r="AL723" s="4">
        <v>49</v>
      </c>
      <c r="AN723" s="4">
        <v>49</v>
      </c>
      <c r="AO723" s="4">
        <v>49</v>
      </c>
    </row>
    <row r="724" spans="1:41" hidden="1" x14ac:dyDescent="0.2">
      <c r="A724" t="s">
        <v>1484</v>
      </c>
      <c r="B724" t="s">
        <v>1485</v>
      </c>
      <c r="C724" s="2">
        <v>43371</v>
      </c>
      <c r="D724" s="2">
        <v>43371</v>
      </c>
      <c r="E724" s="3">
        <v>2511</v>
      </c>
      <c r="F724" t="s">
        <v>1486</v>
      </c>
      <c r="G724" t="s">
        <v>832</v>
      </c>
      <c r="H724" t="s">
        <v>45</v>
      </c>
      <c r="I724" s="3">
        <v>10029</v>
      </c>
      <c r="J724" s="3">
        <v>1016120001</v>
      </c>
      <c r="K724" s="3">
        <v>1051514</v>
      </c>
      <c r="L724" t="s">
        <v>153</v>
      </c>
      <c r="M724" s="4">
        <v>9</v>
      </c>
      <c r="N724" t="s">
        <v>578</v>
      </c>
      <c r="O724" t="s">
        <v>267</v>
      </c>
      <c r="P724" s="4">
        <v>40.794384000000001</v>
      </c>
      <c r="Q724" s="4">
        <v>-73.951026999999996</v>
      </c>
      <c r="R724" s="4">
        <v>40.794300999999997</v>
      </c>
      <c r="S724" s="4">
        <v>-73.949968999999996</v>
      </c>
      <c r="T724" s="2">
        <v>43371</v>
      </c>
      <c r="U724" t="s">
        <v>49</v>
      </c>
      <c r="V724" t="s">
        <v>50</v>
      </c>
      <c r="W724" t="s">
        <v>51</v>
      </c>
      <c r="Y724" s="4">
        <v>46</v>
      </c>
      <c r="Z724" s="4">
        <v>13</v>
      </c>
      <c r="AE724" s="4">
        <v>9</v>
      </c>
      <c r="AF724" s="4">
        <v>18</v>
      </c>
      <c r="AH724" s="4">
        <v>32</v>
      </c>
      <c r="AL724" s="4">
        <v>59</v>
      </c>
      <c r="AN724" s="4">
        <v>59</v>
      </c>
      <c r="AO724" s="4">
        <v>59</v>
      </c>
    </row>
    <row r="725" spans="1:41" hidden="1" x14ac:dyDescent="0.2">
      <c r="A725" t="s">
        <v>1484</v>
      </c>
      <c r="B725" t="s">
        <v>1485</v>
      </c>
      <c r="C725" s="2">
        <v>43371</v>
      </c>
      <c r="D725" s="2">
        <v>43371</v>
      </c>
      <c r="E725" s="3">
        <v>804641</v>
      </c>
      <c r="F725" t="s">
        <v>988</v>
      </c>
      <c r="G725" t="s">
        <v>1487</v>
      </c>
      <c r="H725" t="s">
        <v>45</v>
      </c>
      <c r="I725" s="3">
        <v>10029</v>
      </c>
      <c r="J725" s="3">
        <v>1016120001</v>
      </c>
      <c r="K725" s="3">
        <v>1051514</v>
      </c>
      <c r="L725" t="s">
        <v>153</v>
      </c>
      <c r="M725" s="4">
        <v>9</v>
      </c>
      <c r="N725" t="s">
        <v>578</v>
      </c>
      <c r="O725" t="s">
        <v>267</v>
      </c>
      <c r="P725" s="4">
        <v>40.793852999999999</v>
      </c>
      <c r="Q725" s="4">
        <v>-73.950070999999994</v>
      </c>
      <c r="R725" s="4">
        <v>40.794300999999997</v>
      </c>
      <c r="S725" s="4">
        <v>-73.949968999999996</v>
      </c>
      <c r="T725" s="2">
        <v>43371</v>
      </c>
      <c r="U725" t="s">
        <v>49</v>
      </c>
      <c r="V725" t="s">
        <v>50</v>
      </c>
      <c r="W725" t="s">
        <v>51</v>
      </c>
      <c r="Y725" s="4">
        <v>49</v>
      </c>
      <c r="Z725" s="4">
        <v>10</v>
      </c>
      <c r="AE725" s="4">
        <v>9</v>
      </c>
      <c r="AF725" s="4">
        <v>18</v>
      </c>
      <c r="AH725" s="4">
        <v>32</v>
      </c>
      <c r="AL725" s="4">
        <v>59</v>
      </c>
      <c r="AN725" s="4">
        <v>59</v>
      </c>
      <c r="AO725" s="4">
        <v>59</v>
      </c>
    </row>
    <row r="726" spans="1:41" hidden="1" x14ac:dyDescent="0.2">
      <c r="A726" t="s">
        <v>1484</v>
      </c>
      <c r="B726" t="s">
        <v>1485</v>
      </c>
      <c r="C726" s="2">
        <v>43371</v>
      </c>
      <c r="D726" s="2">
        <v>43371</v>
      </c>
      <c r="E726" s="3">
        <v>804644</v>
      </c>
      <c r="F726" t="s">
        <v>1488</v>
      </c>
      <c r="G726" t="s">
        <v>1489</v>
      </c>
      <c r="H726" t="s">
        <v>45</v>
      </c>
      <c r="I726" s="3">
        <v>10029</v>
      </c>
      <c r="J726" s="3">
        <v>1016120001</v>
      </c>
      <c r="K726" s="3">
        <v>1051514</v>
      </c>
      <c r="L726" t="s">
        <v>153</v>
      </c>
      <c r="M726" s="4">
        <v>9</v>
      </c>
      <c r="N726" t="s">
        <v>578</v>
      </c>
      <c r="O726" t="s">
        <v>267</v>
      </c>
      <c r="P726" s="4">
        <v>40.794831000000002</v>
      </c>
      <c r="Q726" s="4">
        <v>-73.950344000000001</v>
      </c>
      <c r="R726" s="4">
        <v>40.794300999999997</v>
      </c>
      <c r="S726" s="4">
        <v>-73.949968999999996</v>
      </c>
      <c r="T726" s="2">
        <v>43371</v>
      </c>
      <c r="U726" t="s">
        <v>49</v>
      </c>
      <c r="V726" t="s">
        <v>50</v>
      </c>
      <c r="W726" t="s">
        <v>51</v>
      </c>
      <c r="Y726" s="4">
        <v>146</v>
      </c>
      <c r="Z726" s="4">
        <v>18</v>
      </c>
      <c r="AE726" s="4">
        <v>41</v>
      </c>
      <c r="AF726" s="4">
        <v>68</v>
      </c>
      <c r="AG726" s="4">
        <v>55</v>
      </c>
      <c r="AL726" s="4">
        <v>164</v>
      </c>
      <c r="AN726" s="4">
        <v>164</v>
      </c>
      <c r="AO726" s="4">
        <v>164</v>
      </c>
    </row>
    <row r="727" spans="1:41" hidden="1" x14ac:dyDescent="0.2">
      <c r="A727" t="s">
        <v>1484</v>
      </c>
      <c r="B727" t="s">
        <v>1485</v>
      </c>
      <c r="C727" s="2">
        <v>43371</v>
      </c>
      <c r="D727" s="2">
        <v>43371</v>
      </c>
      <c r="E727" s="3">
        <v>805031</v>
      </c>
      <c r="F727" t="s">
        <v>1490</v>
      </c>
      <c r="G727" t="s">
        <v>191</v>
      </c>
      <c r="H727" t="s">
        <v>45</v>
      </c>
      <c r="I727" s="3">
        <v>10029</v>
      </c>
      <c r="J727" s="3">
        <v>1016120001</v>
      </c>
      <c r="K727" s="3">
        <v>1051514</v>
      </c>
      <c r="L727" t="s">
        <v>153</v>
      </c>
      <c r="M727" s="4">
        <v>9</v>
      </c>
      <c r="N727" t="s">
        <v>578</v>
      </c>
      <c r="O727" t="s">
        <v>267</v>
      </c>
      <c r="P727" s="4">
        <v>40.794051000000003</v>
      </c>
      <c r="Q727" s="4">
        <v>-73.949192999999994</v>
      </c>
      <c r="R727" s="4">
        <v>40.794300999999997</v>
      </c>
      <c r="S727" s="4">
        <v>-73.949968999999996</v>
      </c>
      <c r="T727" s="2">
        <v>43371</v>
      </c>
      <c r="U727" t="s">
        <v>49</v>
      </c>
      <c r="V727" t="s">
        <v>50</v>
      </c>
      <c r="W727" t="s">
        <v>51</v>
      </c>
      <c r="Y727" s="4">
        <v>147</v>
      </c>
      <c r="Z727" s="4">
        <v>17</v>
      </c>
      <c r="AE727" s="4">
        <v>41</v>
      </c>
      <c r="AF727" s="4">
        <v>68</v>
      </c>
      <c r="AG727" s="4">
        <v>55</v>
      </c>
      <c r="AL727" s="4">
        <v>164</v>
      </c>
      <c r="AN727" s="4">
        <v>164</v>
      </c>
      <c r="AO727" s="4">
        <v>164</v>
      </c>
    </row>
    <row r="728" spans="1:41" hidden="1" x14ac:dyDescent="0.2">
      <c r="A728" t="s">
        <v>1491</v>
      </c>
      <c r="B728" t="s">
        <v>1492</v>
      </c>
      <c r="C728" s="2">
        <v>43370</v>
      </c>
      <c r="D728" s="2">
        <v>43749</v>
      </c>
      <c r="E728" s="3">
        <v>452</v>
      </c>
      <c r="F728" t="s">
        <v>1351</v>
      </c>
      <c r="G728" t="s">
        <v>339</v>
      </c>
      <c r="H728" t="s">
        <v>45</v>
      </c>
      <c r="I728" s="3">
        <v>10029</v>
      </c>
      <c r="J728" s="3">
        <v>1017080048</v>
      </c>
      <c r="K728" s="3">
        <v>1079384</v>
      </c>
      <c r="L728" t="s">
        <v>153</v>
      </c>
      <c r="M728" s="4">
        <v>8</v>
      </c>
      <c r="N728" t="s">
        <v>364</v>
      </c>
      <c r="O728" t="s">
        <v>155</v>
      </c>
      <c r="P728" s="4">
        <v>40.794966000000002</v>
      </c>
      <c r="Q728" s="4">
        <v>-73.936150999999995</v>
      </c>
      <c r="R728" s="4">
        <v>40.794983000000002</v>
      </c>
      <c r="S728" s="4">
        <v>-73.935749999999999</v>
      </c>
      <c r="T728" s="2">
        <v>43749</v>
      </c>
      <c r="U728" t="s">
        <v>49</v>
      </c>
      <c r="V728" t="s">
        <v>71</v>
      </c>
      <c r="W728" t="s">
        <v>51</v>
      </c>
      <c r="Z728" s="4">
        <v>8</v>
      </c>
      <c r="AF728" s="4">
        <v>8</v>
      </c>
      <c r="AL728" s="4">
        <v>8</v>
      </c>
      <c r="AN728" s="4">
        <v>8</v>
      </c>
      <c r="AO728" s="4">
        <v>8</v>
      </c>
    </row>
    <row r="729" spans="1:41" hidden="1" x14ac:dyDescent="0.2">
      <c r="A729" t="s">
        <v>1491</v>
      </c>
      <c r="B729" t="s">
        <v>1492</v>
      </c>
      <c r="C729" s="2">
        <v>43370</v>
      </c>
      <c r="D729" s="2">
        <v>43749</v>
      </c>
      <c r="E729" s="3">
        <v>502</v>
      </c>
      <c r="F729" t="s">
        <v>1493</v>
      </c>
      <c r="G729" t="s">
        <v>339</v>
      </c>
      <c r="H729" t="s">
        <v>45</v>
      </c>
      <c r="I729" s="3">
        <v>10035</v>
      </c>
      <c r="J729" s="3">
        <v>1017950024</v>
      </c>
      <c r="K729" s="3">
        <v>1084003</v>
      </c>
      <c r="L729" t="s">
        <v>153</v>
      </c>
      <c r="M729" s="4">
        <v>8</v>
      </c>
      <c r="N729" t="s">
        <v>290</v>
      </c>
      <c r="O729" t="s">
        <v>155</v>
      </c>
      <c r="P729" s="4">
        <v>40.797407999999997</v>
      </c>
      <c r="Q729" s="4">
        <v>-73.934393</v>
      </c>
      <c r="R729" s="4">
        <v>40.79757</v>
      </c>
      <c r="S729" s="4">
        <v>-73.934670999999994</v>
      </c>
      <c r="T729" s="2">
        <v>43703</v>
      </c>
      <c r="U729" t="s">
        <v>49</v>
      </c>
      <c r="V729" t="s">
        <v>71</v>
      </c>
      <c r="W729" t="s">
        <v>51</v>
      </c>
      <c r="X729" s="4">
        <v>1</v>
      </c>
      <c r="Z729" s="4">
        <v>12</v>
      </c>
      <c r="AF729" s="4">
        <v>13</v>
      </c>
      <c r="AL729" s="4">
        <v>13</v>
      </c>
      <c r="AN729" s="4">
        <v>13</v>
      </c>
      <c r="AO729" s="4">
        <v>13</v>
      </c>
    </row>
    <row r="730" spans="1:41" hidden="1" x14ac:dyDescent="0.2">
      <c r="A730" t="s">
        <v>1491</v>
      </c>
      <c r="B730" t="s">
        <v>1492</v>
      </c>
      <c r="C730" s="2">
        <v>43370</v>
      </c>
      <c r="D730" s="2">
        <v>43749</v>
      </c>
      <c r="E730" s="3">
        <v>966644</v>
      </c>
      <c r="F730" t="s">
        <v>319</v>
      </c>
      <c r="G730" t="s">
        <v>1162</v>
      </c>
      <c r="H730" t="s">
        <v>45</v>
      </c>
      <c r="I730" s="3">
        <v>10029</v>
      </c>
      <c r="J730" s="3">
        <v>1016550015</v>
      </c>
      <c r="K730" s="3">
        <v>1052411</v>
      </c>
      <c r="L730" t="s">
        <v>153</v>
      </c>
      <c r="M730" s="4">
        <v>8</v>
      </c>
      <c r="N730" t="s">
        <v>126</v>
      </c>
      <c r="O730" t="s">
        <v>267</v>
      </c>
      <c r="P730" s="4">
        <v>40.790529999999997</v>
      </c>
      <c r="Q730" s="4">
        <v>-73.944283999999996</v>
      </c>
      <c r="R730" s="4">
        <v>40.790463000000003</v>
      </c>
      <c r="S730" s="4">
        <v>-73.943557999999996</v>
      </c>
      <c r="T730" s="2">
        <v>43749</v>
      </c>
      <c r="U730" t="s">
        <v>49</v>
      </c>
      <c r="V730" t="s">
        <v>71</v>
      </c>
      <c r="W730" t="s">
        <v>51</v>
      </c>
      <c r="Z730" s="4">
        <v>35</v>
      </c>
      <c r="AA730" s="4">
        <v>8</v>
      </c>
      <c r="AB730" s="4">
        <v>4</v>
      </c>
      <c r="AC730" s="4">
        <v>1</v>
      </c>
      <c r="AD730" s="4">
        <v>3</v>
      </c>
      <c r="AE730" s="4">
        <v>22</v>
      </c>
      <c r="AF730" s="4">
        <v>23</v>
      </c>
      <c r="AL730" s="4">
        <v>48</v>
      </c>
      <c r="AN730" s="4">
        <v>48</v>
      </c>
      <c r="AO730" s="4">
        <v>48</v>
      </c>
    </row>
    <row r="731" spans="1:41" hidden="1" x14ac:dyDescent="0.2">
      <c r="A731" t="s">
        <v>1494</v>
      </c>
      <c r="B731" t="s">
        <v>1495</v>
      </c>
      <c r="C731" s="2">
        <v>43342</v>
      </c>
      <c r="D731" s="2">
        <v>43868</v>
      </c>
      <c r="E731" s="3">
        <v>41060</v>
      </c>
      <c r="F731" t="s">
        <v>366</v>
      </c>
      <c r="G731" t="s">
        <v>326</v>
      </c>
      <c r="H731" t="s">
        <v>45</v>
      </c>
      <c r="I731" s="3">
        <v>10030</v>
      </c>
      <c r="J731" s="3">
        <v>1020410014</v>
      </c>
      <c r="K731" s="3">
        <v>1060648</v>
      </c>
      <c r="L731" t="s">
        <v>146</v>
      </c>
      <c r="M731" s="4">
        <v>9</v>
      </c>
      <c r="N731" t="s">
        <v>888</v>
      </c>
      <c r="O731" t="s">
        <v>177</v>
      </c>
      <c r="P731" s="4">
        <v>40.817923</v>
      </c>
      <c r="Q731" s="4">
        <v>-73.945869000000002</v>
      </c>
      <c r="R731" s="4">
        <v>40.818207999999998</v>
      </c>
      <c r="S731" s="4">
        <v>-73.945983999999996</v>
      </c>
      <c r="T731" s="2">
        <v>43868</v>
      </c>
      <c r="U731" t="s">
        <v>117</v>
      </c>
      <c r="V731" t="s">
        <v>71</v>
      </c>
      <c r="W731" t="s">
        <v>51</v>
      </c>
      <c r="AB731" s="4">
        <v>5</v>
      </c>
      <c r="AD731" s="4">
        <v>2</v>
      </c>
      <c r="AE731" s="4">
        <v>1</v>
      </c>
      <c r="AF731" s="4">
        <v>2</v>
      </c>
      <c r="AL731" s="4">
        <v>5</v>
      </c>
      <c r="AN731" s="4">
        <v>5</v>
      </c>
      <c r="AO731" s="4">
        <v>16</v>
      </c>
    </row>
    <row r="732" spans="1:41" hidden="1" x14ac:dyDescent="0.2">
      <c r="A732" t="s">
        <v>1496</v>
      </c>
      <c r="B732" t="s">
        <v>140</v>
      </c>
      <c r="C732" s="2">
        <v>43312</v>
      </c>
      <c r="D732" s="2">
        <v>43312</v>
      </c>
      <c r="F732" t="s">
        <v>141</v>
      </c>
      <c r="G732" t="s">
        <v>141</v>
      </c>
      <c r="H732" t="s">
        <v>45</v>
      </c>
      <c r="L732" t="s">
        <v>169</v>
      </c>
      <c r="M732" s="4">
        <v>9</v>
      </c>
      <c r="T732" s="2">
        <v>43312</v>
      </c>
      <c r="U732" t="s">
        <v>117</v>
      </c>
      <c r="V732" t="s">
        <v>71</v>
      </c>
      <c r="W732" t="s">
        <v>51</v>
      </c>
      <c r="Z732" s="4">
        <v>1</v>
      </c>
      <c r="AK732" s="4">
        <v>1</v>
      </c>
      <c r="AM732" s="4">
        <v>1</v>
      </c>
      <c r="AN732" s="4">
        <v>1</v>
      </c>
      <c r="AO732" s="4">
        <v>1</v>
      </c>
    </row>
    <row r="733" spans="1:41" hidden="1" x14ac:dyDescent="0.2">
      <c r="A733" t="s">
        <v>1497</v>
      </c>
      <c r="B733" t="s">
        <v>1498</v>
      </c>
      <c r="C733" s="2">
        <v>43299</v>
      </c>
      <c r="D733" s="2">
        <v>43299</v>
      </c>
      <c r="E733" s="3">
        <v>19792</v>
      </c>
      <c r="F733" t="s">
        <v>1115</v>
      </c>
      <c r="G733" t="s">
        <v>289</v>
      </c>
      <c r="H733" t="s">
        <v>45</v>
      </c>
      <c r="I733" s="3">
        <v>10035</v>
      </c>
      <c r="J733" s="3">
        <v>1016440065</v>
      </c>
      <c r="K733" s="3">
        <v>1052316</v>
      </c>
      <c r="L733" t="s">
        <v>153</v>
      </c>
      <c r="M733" s="4">
        <v>8</v>
      </c>
      <c r="N733" t="s">
        <v>335</v>
      </c>
      <c r="O733" t="s">
        <v>155</v>
      </c>
      <c r="P733" s="4">
        <v>40.799663000000002</v>
      </c>
      <c r="Q733" s="4">
        <v>-73.942003999999997</v>
      </c>
      <c r="R733" s="4">
        <v>40.799481999999998</v>
      </c>
      <c r="S733" s="4">
        <v>-73.942142000000004</v>
      </c>
      <c r="T733" s="2">
        <v>43299</v>
      </c>
      <c r="U733" t="s">
        <v>49</v>
      </c>
      <c r="V733" t="s">
        <v>50</v>
      </c>
      <c r="W733" t="s">
        <v>51</v>
      </c>
      <c r="AB733" s="4">
        <v>4</v>
      </c>
      <c r="AG733" s="4">
        <v>4</v>
      </c>
      <c r="AM733" s="4">
        <v>4</v>
      </c>
      <c r="AN733" s="4">
        <v>4</v>
      </c>
      <c r="AO733" s="4">
        <v>4</v>
      </c>
    </row>
    <row r="734" spans="1:41" hidden="1" x14ac:dyDescent="0.2">
      <c r="A734" t="s">
        <v>1497</v>
      </c>
      <c r="B734" t="s">
        <v>1498</v>
      </c>
      <c r="C734" s="2">
        <v>43299</v>
      </c>
      <c r="D734" s="2">
        <v>43299</v>
      </c>
      <c r="E734" s="3">
        <v>19982</v>
      </c>
      <c r="F734" t="s">
        <v>144</v>
      </c>
      <c r="G734" t="s">
        <v>363</v>
      </c>
      <c r="H734" t="s">
        <v>45</v>
      </c>
      <c r="I734" s="3">
        <v>10035</v>
      </c>
      <c r="J734" s="3">
        <v>1017830109</v>
      </c>
      <c r="K734" s="3">
        <v>1054549</v>
      </c>
      <c r="L734" t="s">
        <v>153</v>
      </c>
      <c r="M734" s="4">
        <v>8</v>
      </c>
      <c r="N734" t="s">
        <v>290</v>
      </c>
      <c r="O734" t="s">
        <v>155</v>
      </c>
      <c r="P734" s="4">
        <v>40.799011</v>
      </c>
      <c r="Q734" s="4">
        <v>-73.938455000000005</v>
      </c>
      <c r="R734" s="4">
        <v>40.799081999999999</v>
      </c>
      <c r="S734" s="4">
        <v>-73.938068000000001</v>
      </c>
      <c r="T734" s="2">
        <v>43299</v>
      </c>
      <c r="U734" t="s">
        <v>49</v>
      </c>
      <c r="V734" t="s">
        <v>50</v>
      </c>
      <c r="W734" t="s">
        <v>51</v>
      </c>
      <c r="AB734" s="4">
        <v>3</v>
      </c>
      <c r="AG734" s="4">
        <v>3</v>
      </c>
      <c r="AM734" s="4">
        <v>3</v>
      </c>
      <c r="AN734" s="4">
        <v>3</v>
      </c>
      <c r="AO734" s="4">
        <v>3</v>
      </c>
    </row>
    <row r="735" spans="1:41" hidden="1" x14ac:dyDescent="0.2">
      <c r="A735" t="s">
        <v>1497</v>
      </c>
      <c r="B735" t="s">
        <v>1498</v>
      </c>
      <c r="C735" s="2">
        <v>43299</v>
      </c>
      <c r="D735" s="2">
        <v>43299</v>
      </c>
      <c r="E735" s="3">
        <v>19983</v>
      </c>
      <c r="F735" t="s">
        <v>170</v>
      </c>
      <c r="G735" t="s">
        <v>363</v>
      </c>
      <c r="H735" t="s">
        <v>45</v>
      </c>
      <c r="I735" s="3">
        <v>10035</v>
      </c>
      <c r="J735" s="3">
        <v>1017830010</v>
      </c>
      <c r="K735" s="3">
        <v>1054521</v>
      </c>
      <c r="L735" t="s">
        <v>153</v>
      </c>
      <c r="M735" s="4">
        <v>8</v>
      </c>
      <c r="N735" t="s">
        <v>290</v>
      </c>
      <c r="O735" t="s">
        <v>155</v>
      </c>
      <c r="P735" s="4">
        <v>40.798997</v>
      </c>
      <c r="Q735" s="4">
        <v>-73.938426000000007</v>
      </c>
      <c r="R735" s="4">
        <v>40.799056999999998</v>
      </c>
      <c r="S735" s="4">
        <v>-73.938006999999999</v>
      </c>
      <c r="T735" s="2">
        <v>43299</v>
      </c>
      <c r="U735" t="s">
        <v>49</v>
      </c>
      <c r="V735" t="s">
        <v>50</v>
      </c>
      <c r="W735" t="s">
        <v>51</v>
      </c>
      <c r="AB735" s="4">
        <v>3</v>
      </c>
      <c r="AG735" s="4">
        <v>3</v>
      </c>
      <c r="AM735" s="4">
        <v>3</v>
      </c>
      <c r="AN735" s="4">
        <v>3</v>
      </c>
      <c r="AO735" s="4">
        <v>3</v>
      </c>
    </row>
    <row r="736" spans="1:41" hidden="1" x14ac:dyDescent="0.2">
      <c r="A736" t="s">
        <v>1497</v>
      </c>
      <c r="B736" t="s">
        <v>1498</v>
      </c>
      <c r="C736" s="2">
        <v>43299</v>
      </c>
      <c r="D736" s="2">
        <v>43299</v>
      </c>
      <c r="E736" s="3">
        <v>20052</v>
      </c>
      <c r="F736" t="s">
        <v>1499</v>
      </c>
      <c r="G736" t="s">
        <v>363</v>
      </c>
      <c r="H736" t="s">
        <v>45</v>
      </c>
      <c r="I736" s="3">
        <v>10035</v>
      </c>
      <c r="J736" s="3">
        <v>1018060111</v>
      </c>
      <c r="K736" s="3">
        <v>1054850</v>
      </c>
      <c r="L736" t="s">
        <v>153</v>
      </c>
      <c r="M736" s="4">
        <v>8</v>
      </c>
      <c r="N736" t="s">
        <v>364</v>
      </c>
      <c r="O736" t="s">
        <v>155</v>
      </c>
      <c r="P736" s="4">
        <v>40.79701</v>
      </c>
      <c r="Q736" s="4">
        <v>-73.933724999999995</v>
      </c>
      <c r="R736" s="4">
        <v>40.797065000000003</v>
      </c>
      <c r="S736" s="4">
        <v>-73.933284</v>
      </c>
      <c r="T736" s="2">
        <v>43299</v>
      </c>
      <c r="U736" t="s">
        <v>49</v>
      </c>
      <c r="V736" t="s">
        <v>50</v>
      </c>
      <c r="W736" t="s">
        <v>51</v>
      </c>
      <c r="AB736" s="4">
        <v>3</v>
      </c>
      <c r="AG736" s="4">
        <v>3</v>
      </c>
      <c r="AM736" s="4">
        <v>3</v>
      </c>
      <c r="AN736" s="4">
        <v>3</v>
      </c>
      <c r="AO736" s="4">
        <v>3</v>
      </c>
    </row>
    <row r="737" spans="1:41" hidden="1" x14ac:dyDescent="0.2">
      <c r="A737" t="s">
        <v>1497</v>
      </c>
      <c r="B737" t="s">
        <v>1498</v>
      </c>
      <c r="C737" s="2">
        <v>43299</v>
      </c>
      <c r="D737" s="2">
        <v>43299</v>
      </c>
      <c r="E737" s="3">
        <v>20183</v>
      </c>
      <c r="F737" t="s">
        <v>1041</v>
      </c>
      <c r="G737" t="s">
        <v>1296</v>
      </c>
      <c r="H737" t="s">
        <v>45</v>
      </c>
      <c r="I737" s="3">
        <v>10035</v>
      </c>
      <c r="J737" s="3">
        <v>1017960021</v>
      </c>
      <c r="K737" s="3">
        <v>1054749</v>
      </c>
      <c r="L737" t="s">
        <v>153</v>
      </c>
      <c r="M737" s="4">
        <v>8</v>
      </c>
      <c r="N737" t="s">
        <v>374</v>
      </c>
      <c r="O737" t="s">
        <v>155</v>
      </c>
      <c r="P737" s="4">
        <v>40.798166000000002</v>
      </c>
      <c r="Q737" s="4">
        <v>-73.934518999999995</v>
      </c>
      <c r="R737" s="4">
        <v>40.798409999999997</v>
      </c>
      <c r="S737" s="4">
        <v>-73.934528999999998</v>
      </c>
      <c r="T737" s="2">
        <v>43299</v>
      </c>
      <c r="U737" t="s">
        <v>49</v>
      </c>
      <c r="V737" t="s">
        <v>50</v>
      </c>
      <c r="W737" t="s">
        <v>51</v>
      </c>
      <c r="AB737" s="4">
        <v>4</v>
      </c>
      <c r="AG737" s="4">
        <v>4</v>
      </c>
      <c r="AM737" s="4">
        <v>4</v>
      </c>
      <c r="AN737" s="4">
        <v>4</v>
      </c>
      <c r="AO737" s="4">
        <v>4</v>
      </c>
    </row>
    <row r="738" spans="1:41" hidden="1" x14ac:dyDescent="0.2">
      <c r="A738" t="s">
        <v>1497</v>
      </c>
      <c r="B738" t="s">
        <v>1498</v>
      </c>
      <c r="C738" s="2">
        <v>43299</v>
      </c>
      <c r="D738" s="2">
        <v>43299</v>
      </c>
      <c r="E738" s="3">
        <v>20205</v>
      </c>
      <c r="F738" t="s">
        <v>1216</v>
      </c>
      <c r="G738" t="s">
        <v>1296</v>
      </c>
      <c r="H738" t="s">
        <v>45</v>
      </c>
      <c r="I738" s="3">
        <v>10035</v>
      </c>
      <c r="J738" s="3">
        <v>1018060037</v>
      </c>
      <c r="K738" s="3">
        <v>1054834</v>
      </c>
      <c r="L738" t="s">
        <v>153</v>
      </c>
      <c r="M738" s="4">
        <v>8</v>
      </c>
      <c r="N738" t="s">
        <v>364</v>
      </c>
      <c r="O738" t="s">
        <v>155</v>
      </c>
      <c r="P738" s="4">
        <v>40.797621999999997</v>
      </c>
      <c r="Q738" s="4">
        <v>-73.933273</v>
      </c>
      <c r="R738" s="4">
        <v>40.797300999999997</v>
      </c>
      <c r="S738" s="4">
        <v>-73.933081999999999</v>
      </c>
      <c r="T738" s="2">
        <v>43299</v>
      </c>
      <c r="U738" t="s">
        <v>49</v>
      </c>
      <c r="V738" t="s">
        <v>50</v>
      </c>
      <c r="W738" t="s">
        <v>51</v>
      </c>
      <c r="AB738" s="4">
        <v>2</v>
      </c>
      <c r="AG738" s="4">
        <v>2</v>
      </c>
      <c r="AM738" s="4">
        <v>2</v>
      </c>
      <c r="AN738" s="4">
        <v>2</v>
      </c>
      <c r="AO738" s="4">
        <v>2</v>
      </c>
    </row>
    <row r="739" spans="1:41" hidden="1" x14ac:dyDescent="0.2">
      <c r="A739" t="s">
        <v>1497</v>
      </c>
      <c r="B739" t="s">
        <v>1498</v>
      </c>
      <c r="C739" s="2">
        <v>43299</v>
      </c>
      <c r="D739" s="2">
        <v>43299</v>
      </c>
      <c r="E739" s="3">
        <v>20257</v>
      </c>
      <c r="F739" t="s">
        <v>379</v>
      </c>
      <c r="G739" t="s">
        <v>1500</v>
      </c>
      <c r="H739" t="s">
        <v>45</v>
      </c>
      <c r="I739" s="3">
        <v>10035</v>
      </c>
      <c r="J739" s="3">
        <v>1017850008</v>
      </c>
      <c r="K739" s="3">
        <v>1054575</v>
      </c>
      <c r="L739" t="s">
        <v>153</v>
      </c>
      <c r="M739" s="4">
        <v>8</v>
      </c>
      <c r="N739" t="s">
        <v>374</v>
      </c>
      <c r="O739" t="s">
        <v>155</v>
      </c>
      <c r="P739" s="4">
        <v>40.800283999999998</v>
      </c>
      <c r="Q739" s="4">
        <v>-73.937578999999999</v>
      </c>
      <c r="R739" s="4">
        <v>40.800387999999998</v>
      </c>
      <c r="S739" s="4">
        <v>-73.937264999999996</v>
      </c>
      <c r="T739" s="2">
        <v>43299</v>
      </c>
      <c r="U739" t="s">
        <v>49</v>
      </c>
      <c r="V739" t="s">
        <v>50</v>
      </c>
      <c r="W739" t="s">
        <v>51</v>
      </c>
      <c r="AB739" s="4">
        <v>3</v>
      </c>
      <c r="AG739" s="4">
        <v>3</v>
      </c>
      <c r="AM739" s="4">
        <v>3</v>
      </c>
      <c r="AN739" s="4">
        <v>3</v>
      </c>
      <c r="AO739" s="4">
        <v>3</v>
      </c>
    </row>
    <row r="740" spans="1:41" hidden="1" x14ac:dyDescent="0.2">
      <c r="A740" t="s">
        <v>1497</v>
      </c>
      <c r="B740" t="s">
        <v>1498</v>
      </c>
      <c r="C740" s="2">
        <v>43299</v>
      </c>
      <c r="D740" s="2">
        <v>43299</v>
      </c>
      <c r="E740" s="3">
        <v>20283</v>
      </c>
      <c r="F740" t="s">
        <v>1080</v>
      </c>
      <c r="G740" t="s">
        <v>1500</v>
      </c>
      <c r="H740" t="s">
        <v>45</v>
      </c>
      <c r="I740" s="3">
        <v>10035</v>
      </c>
      <c r="J740" s="3">
        <v>1017960041</v>
      </c>
      <c r="K740" s="3">
        <v>1054763</v>
      </c>
      <c r="L740" t="s">
        <v>153</v>
      </c>
      <c r="M740" s="4">
        <v>8</v>
      </c>
      <c r="N740" t="s">
        <v>374</v>
      </c>
      <c r="O740" t="s">
        <v>155</v>
      </c>
      <c r="P740" s="4">
        <v>40.799182000000002</v>
      </c>
      <c r="Q740" s="4">
        <v>-73.934807000000006</v>
      </c>
      <c r="R740" s="4">
        <v>40.798858000000003</v>
      </c>
      <c r="S740" s="4">
        <v>-73.934825000000004</v>
      </c>
      <c r="T740" s="2">
        <v>43299</v>
      </c>
      <c r="U740" t="s">
        <v>49</v>
      </c>
      <c r="V740" t="s">
        <v>50</v>
      </c>
      <c r="W740" t="s">
        <v>51</v>
      </c>
      <c r="AB740" s="4">
        <v>3</v>
      </c>
      <c r="AG740" s="4">
        <v>3</v>
      </c>
      <c r="AM740" s="4">
        <v>3</v>
      </c>
      <c r="AN740" s="4">
        <v>3</v>
      </c>
      <c r="AO740" s="4">
        <v>3</v>
      </c>
    </row>
    <row r="741" spans="1:41" hidden="1" x14ac:dyDescent="0.2">
      <c r="A741" t="s">
        <v>1497</v>
      </c>
      <c r="B741" t="s">
        <v>1498</v>
      </c>
      <c r="C741" s="2">
        <v>43299</v>
      </c>
      <c r="D741" s="2">
        <v>43299</v>
      </c>
      <c r="E741" s="3">
        <v>20685</v>
      </c>
      <c r="F741" t="s">
        <v>1168</v>
      </c>
      <c r="G741" t="s">
        <v>892</v>
      </c>
      <c r="H741" t="s">
        <v>45</v>
      </c>
      <c r="I741" s="3">
        <v>10035</v>
      </c>
      <c r="J741" s="3">
        <v>1017500057</v>
      </c>
      <c r="K741" s="3">
        <v>1054059</v>
      </c>
      <c r="L741" t="s">
        <v>153</v>
      </c>
      <c r="M741" s="4">
        <v>9</v>
      </c>
      <c r="N741" t="s">
        <v>833</v>
      </c>
      <c r="O741" t="s">
        <v>155</v>
      </c>
      <c r="P741" s="4">
        <v>40.806552000000003</v>
      </c>
      <c r="Q741" s="4">
        <v>-73.940517</v>
      </c>
      <c r="R741" s="4">
        <v>40.806331999999998</v>
      </c>
      <c r="S741" s="4">
        <v>-73.9405</v>
      </c>
      <c r="T741" s="2">
        <v>43299</v>
      </c>
      <c r="U741" t="s">
        <v>49</v>
      </c>
      <c r="V741" t="s">
        <v>50</v>
      </c>
      <c r="W741" t="s">
        <v>51</v>
      </c>
      <c r="AB741" s="4">
        <v>3</v>
      </c>
      <c r="AG741" s="4">
        <v>3</v>
      </c>
      <c r="AM741" s="4">
        <v>3</v>
      </c>
      <c r="AN741" s="4">
        <v>3</v>
      </c>
      <c r="AO741" s="4">
        <v>3</v>
      </c>
    </row>
    <row r="742" spans="1:41" hidden="1" x14ac:dyDescent="0.2">
      <c r="A742" t="s">
        <v>1497</v>
      </c>
      <c r="B742" t="s">
        <v>1498</v>
      </c>
      <c r="C742" s="2">
        <v>43299</v>
      </c>
      <c r="D742" s="2">
        <v>43299</v>
      </c>
      <c r="E742" s="3">
        <v>24788</v>
      </c>
      <c r="F742" t="s">
        <v>996</v>
      </c>
      <c r="G742" t="s">
        <v>1501</v>
      </c>
      <c r="H742" t="s">
        <v>45</v>
      </c>
      <c r="I742" s="3">
        <v>10035</v>
      </c>
      <c r="J742" s="3">
        <v>1017510050</v>
      </c>
      <c r="K742" s="3">
        <v>1054112</v>
      </c>
      <c r="L742" t="s">
        <v>153</v>
      </c>
      <c r="M742" s="4">
        <v>9</v>
      </c>
      <c r="N742" t="s">
        <v>192</v>
      </c>
      <c r="O742" t="s">
        <v>155</v>
      </c>
      <c r="P742" s="4">
        <v>40.806885999999999</v>
      </c>
      <c r="Q742" s="4">
        <v>-73.939372000000006</v>
      </c>
      <c r="R742" s="4">
        <v>40.806835999999997</v>
      </c>
      <c r="S742" s="4">
        <v>-73.939520000000002</v>
      </c>
      <c r="T742" s="2">
        <v>43299</v>
      </c>
      <c r="U742" t="s">
        <v>49</v>
      </c>
      <c r="V742" t="s">
        <v>50</v>
      </c>
      <c r="W742" t="s">
        <v>51</v>
      </c>
      <c r="AB742" s="4">
        <v>4</v>
      </c>
      <c r="AG742" s="4">
        <v>4</v>
      </c>
      <c r="AM742" s="4">
        <v>4</v>
      </c>
      <c r="AN742" s="4">
        <v>4</v>
      </c>
      <c r="AO742" s="4">
        <v>4</v>
      </c>
    </row>
    <row r="743" spans="1:41" hidden="1" x14ac:dyDescent="0.2">
      <c r="A743" t="s">
        <v>1502</v>
      </c>
      <c r="B743" t="s">
        <v>1503</v>
      </c>
      <c r="C743" s="2">
        <v>43286</v>
      </c>
      <c r="D743" s="2">
        <v>43602</v>
      </c>
      <c r="E743" s="3">
        <v>966857</v>
      </c>
      <c r="F743" t="s">
        <v>1190</v>
      </c>
      <c r="G743" t="s">
        <v>1191</v>
      </c>
      <c r="H743" t="s">
        <v>45</v>
      </c>
      <c r="I743" s="3">
        <v>10032</v>
      </c>
      <c r="J743" s="3">
        <v>1021200026</v>
      </c>
      <c r="K743" s="3">
        <v>1089321</v>
      </c>
      <c r="L743" t="s">
        <v>114</v>
      </c>
      <c r="M743" s="4">
        <v>10</v>
      </c>
      <c r="N743" t="s">
        <v>762</v>
      </c>
      <c r="O743" t="s">
        <v>134</v>
      </c>
      <c r="P743" s="4">
        <v>40.836351000000001</v>
      </c>
      <c r="Q743" s="4">
        <v>-73.940628000000004</v>
      </c>
      <c r="R743" s="4">
        <v>40.836224999999999</v>
      </c>
      <c r="S743" s="4">
        <v>-73.940924999999993</v>
      </c>
      <c r="T743" s="2">
        <v>43602</v>
      </c>
      <c r="U743" t="s">
        <v>117</v>
      </c>
      <c r="V743" t="s">
        <v>71</v>
      </c>
      <c r="W743" t="s">
        <v>51</v>
      </c>
      <c r="AB743" s="4">
        <v>6</v>
      </c>
      <c r="AE743" s="4">
        <v>5</v>
      </c>
      <c r="AF743" s="4">
        <v>1</v>
      </c>
      <c r="AL743" s="4">
        <v>6</v>
      </c>
      <c r="AN743" s="4">
        <v>6</v>
      </c>
      <c r="AO743" s="4">
        <v>20</v>
      </c>
    </row>
    <row r="744" spans="1:41" hidden="1" x14ac:dyDescent="0.2">
      <c r="A744" t="s">
        <v>1504</v>
      </c>
      <c r="B744" t="s">
        <v>1505</v>
      </c>
      <c r="C744" s="2">
        <v>43283</v>
      </c>
      <c r="D744" s="2">
        <v>44105</v>
      </c>
      <c r="E744" s="3">
        <v>11559</v>
      </c>
      <c r="F744" t="s">
        <v>488</v>
      </c>
      <c r="G744" t="s">
        <v>606</v>
      </c>
      <c r="H744" t="s">
        <v>45</v>
      </c>
      <c r="I744" s="3">
        <v>10009</v>
      </c>
      <c r="J744" s="3">
        <v>1003920017</v>
      </c>
      <c r="K744" s="3">
        <v>1004768</v>
      </c>
      <c r="L744" t="s">
        <v>64</v>
      </c>
      <c r="M744" s="4">
        <v>2</v>
      </c>
      <c r="N744" t="s">
        <v>607</v>
      </c>
      <c r="O744" t="s">
        <v>197</v>
      </c>
      <c r="P744" s="4">
        <v>40.726419</v>
      </c>
      <c r="Q744" s="4">
        <v>-73.978853999999998</v>
      </c>
      <c r="R744" s="4">
        <v>40.726204000000003</v>
      </c>
      <c r="S744" s="4">
        <v>-73.978900999999993</v>
      </c>
      <c r="T744" s="2">
        <v>44105</v>
      </c>
      <c r="U744" t="s">
        <v>49</v>
      </c>
      <c r="V744" t="s">
        <v>71</v>
      </c>
      <c r="W744" t="s">
        <v>51</v>
      </c>
      <c r="X744" s="4">
        <v>40</v>
      </c>
      <c r="Y744" s="4">
        <v>4</v>
      </c>
      <c r="AA744" s="4">
        <v>1</v>
      </c>
      <c r="AC744" s="4">
        <v>1</v>
      </c>
      <c r="AE744" s="4">
        <v>21</v>
      </c>
      <c r="AF744" s="4">
        <v>9</v>
      </c>
      <c r="AG744" s="4">
        <v>16</v>
      </c>
      <c r="AL744" s="4">
        <v>46</v>
      </c>
      <c r="AN744" s="4">
        <v>46</v>
      </c>
      <c r="AO744" s="4">
        <v>46</v>
      </c>
    </row>
    <row r="745" spans="1:41" hidden="1" x14ac:dyDescent="0.2">
      <c r="A745" t="s">
        <v>1504</v>
      </c>
      <c r="B745" t="s">
        <v>1505</v>
      </c>
      <c r="C745" s="2">
        <v>43283</v>
      </c>
      <c r="D745" s="2">
        <v>44105</v>
      </c>
      <c r="E745" s="3">
        <v>11571</v>
      </c>
      <c r="F745" t="s">
        <v>743</v>
      </c>
      <c r="G745" t="s">
        <v>606</v>
      </c>
      <c r="H745" t="s">
        <v>45</v>
      </c>
      <c r="I745" s="3">
        <v>10009</v>
      </c>
      <c r="J745" s="3">
        <v>1003920027</v>
      </c>
      <c r="K745" s="3">
        <v>1004772</v>
      </c>
      <c r="L745" t="s">
        <v>64</v>
      </c>
      <c r="M745" s="4">
        <v>2</v>
      </c>
      <c r="N745" t="s">
        <v>607</v>
      </c>
      <c r="O745" t="s">
        <v>197</v>
      </c>
      <c r="P745" s="4">
        <v>40.726151999999999</v>
      </c>
      <c r="Q745" s="4">
        <v>-73.978216000000003</v>
      </c>
      <c r="R745" s="4">
        <v>40.725921999999997</v>
      </c>
      <c r="S745" s="4">
        <v>-73.978229999999996</v>
      </c>
      <c r="T745" s="2">
        <v>44105</v>
      </c>
      <c r="U745" t="s">
        <v>49</v>
      </c>
      <c r="V745" t="s">
        <v>71</v>
      </c>
      <c r="W745" t="s">
        <v>51</v>
      </c>
      <c r="X745" s="4">
        <v>35</v>
      </c>
      <c r="Y745" s="4">
        <v>4</v>
      </c>
      <c r="Z745" s="4">
        <v>5</v>
      </c>
      <c r="AC745" s="4">
        <v>1</v>
      </c>
      <c r="AE745" s="4">
        <v>13</v>
      </c>
      <c r="AF745" s="4">
        <v>19</v>
      </c>
      <c r="AG745" s="4">
        <v>13</v>
      </c>
      <c r="AL745" s="4">
        <v>45</v>
      </c>
      <c r="AN745" s="4">
        <v>45</v>
      </c>
      <c r="AO745" s="4">
        <v>45</v>
      </c>
    </row>
    <row r="746" spans="1:41" hidden="1" x14ac:dyDescent="0.2">
      <c r="A746" t="s">
        <v>1504</v>
      </c>
      <c r="B746" t="s">
        <v>1505</v>
      </c>
      <c r="C746" s="2">
        <v>43283</v>
      </c>
      <c r="D746" s="2">
        <v>44105</v>
      </c>
      <c r="E746" s="3">
        <v>804313</v>
      </c>
      <c r="F746" t="s">
        <v>83</v>
      </c>
      <c r="G746" t="s">
        <v>606</v>
      </c>
      <c r="H746" t="s">
        <v>45</v>
      </c>
      <c r="I746" s="3">
        <v>10009</v>
      </c>
      <c r="J746" s="3">
        <v>1003930056</v>
      </c>
      <c r="K746" s="3">
        <v>1078014</v>
      </c>
      <c r="L746" t="s">
        <v>64</v>
      </c>
      <c r="M746" s="4">
        <v>2</v>
      </c>
      <c r="N746" t="s">
        <v>607</v>
      </c>
      <c r="O746" t="s">
        <v>197</v>
      </c>
      <c r="P746" s="4">
        <v>40.726618999999999</v>
      </c>
      <c r="Q746" s="4">
        <v>-73.979291000000003</v>
      </c>
      <c r="R746" s="4">
        <v>40.726737</v>
      </c>
      <c r="S746" s="4">
        <v>-73.979031000000006</v>
      </c>
      <c r="T746" s="2">
        <v>44105</v>
      </c>
      <c r="U746" t="s">
        <v>49</v>
      </c>
      <c r="V746" t="s">
        <v>71</v>
      </c>
      <c r="W746" t="s">
        <v>51</v>
      </c>
      <c r="X746" s="4">
        <v>30</v>
      </c>
      <c r="Y746" s="4">
        <v>2</v>
      </c>
      <c r="AB746" s="4">
        <v>1</v>
      </c>
      <c r="AE746" s="4">
        <v>6</v>
      </c>
      <c r="AF746" s="4">
        <v>13</v>
      </c>
      <c r="AG746" s="4">
        <v>14</v>
      </c>
      <c r="AL746" s="4">
        <v>33</v>
      </c>
      <c r="AN746" s="4">
        <v>33</v>
      </c>
      <c r="AO746" s="4">
        <v>33</v>
      </c>
    </row>
    <row r="747" spans="1:41" hidden="1" x14ac:dyDescent="0.2">
      <c r="A747" t="s">
        <v>1504</v>
      </c>
      <c r="B747" t="s">
        <v>1505</v>
      </c>
      <c r="C747" s="2">
        <v>43283</v>
      </c>
      <c r="D747" s="2">
        <v>44105</v>
      </c>
      <c r="E747" s="3">
        <v>804335</v>
      </c>
      <c r="F747" t="s">
        <v>1379</v>
      </c>
      <c r="G747" t="s">
        <v>977</v>
      </c>
      <c r="H747" t="s">
        <v>45</v>
      </c>
      <c r="I747" s="3">
        <v>10009</v>
      </c>
      <c r="J747" s="3">
        <v>1003930014</v>
      </c>
      <c r="K747" s="3">
        <v>1078017</v>
      </c>
      <c r="L747" t="s">
        <v>64</v>
      </c>
      <c r="M747" s="4">
        <v>2</v>
      </c>
      <c r="N747" t="s">
        <v>607</v>
      </c>
      <c r="O747" t="s">
        <v>197</v>
      </c>
      <c r="P747" s="4">
        <v>40.727231000000003</v>
      </c>
      <c r="Q747" s="4">
        <v>-73.978930000000005</v>
      </c>
      <c r="R747" s="4">
        <v>40.726970000000001</v>
      </c>
      <c r="S747" s="4">
        <v>-73.978858000000002</v>
      </c>
      <c r="T747" s="2">
        <v>44105</v>
      </c>
      <c r="U747" t="s">
        <v>49</v>
      </c>
      <c r="V747" t="s">
        <v>71</v>
      </c>
      <c r="W747" t="s">
        <v>51</v>
      </c>
      <c r="X747" s="4">
        <v>20</v>
      </c>
      <c r="Y747" s="4">
        <v>6</v>
      </c>
      <c r="Z747" s="4">
        <v>1</v>
      </c>
      <c r="AA747" s="4">
        <v>1</v>
      </c>
      <c r="AE747" s="4">
        <v>5</v>
      </c>
      <c r="AF747" s="4">
        <v>10</v>
      </c>
      <c r="AG747" s="4">
        <v>13</v>
      </c>
      <c r="AL747" s="4">
        <v>28</v>
      </c>
      <c r="AN747" s="4">
        <v>28</v>
      </c>
      <c r="AO747" s="4">
        <v>28</v>
      </c>
    </row>
    <row r="748" spans="1:41" hidden="1" x14ac:dyDescent="0.2">
      <c r="A748" t="s">
        <v>1506</v>
      </c>
      <c r="B748" t="s">
        <v>1507</v>
      </c>
      <c r="C748" s="2">
        <v>43283</v>
      </c>
      <c r="D748" s="2">
        <v>43283</v>
      </c>
      <c r="E748" s="3">
        <v>19794</v>
      </c>
      <c r="F748" t="s">
        <v>56</v>
      </c>
      <c r="G748" t="s">
        <v>289</v>
      </c>
      <c r="H748" t="s">
        <v>45</v>
      </c>
      <c r="I748" s="3">
        <v>10035</v>
      </c>
      <c r="J748" s="3">
        <v>1016450012</v>
      </c>
      <c r="K748" s="3">
        <v>1052336</v>
      </c>
      <c r="L748" t="s">
        <v>153</v>
      </c>
      <c r="M748" s="4">
        <v>8</v>
      </c>
      <c r="N748" t="s">
        <v>335</v>
      </c>
      <c r="O748" t="s">
        <v>155</v>
      </c>
      <c r="P748" s="4">
        <v>40.799556000000003</v>
      </c>
      <c r="Q748" s="4">
        <v>-73.941708000000006</v>
      </c>
      <c r="R748" s="4">
        <v>40.799674000000003</v>
      </c>
      <c r="S748" s="4">
        <v>-73.941429999999997</v>
      </c>
      <c r="T748" s="2">
        <v>43283</v>
      </c>
      <c r="U748" t="s">
        <v>49</v>
      </c>
      <c r="V748" t="s">
        <v>50</v>
      </c>
      <c r="W748" t="s">
        <v>51</v>
      </c>
      <c r="X748" s="4">
        <v>27</v>
      </c>
      <c r="Y748" s="4">
        <v>4</v>
      </c>
      <c r="Z748" s="4">
        <v>2</v>
      </c>
      <c r="AA748" s="4">
        <v>1</v>
      </c>
      <c r="AC748" s="4">
        <v>1</v>
      </c>
      <c r="AD748" s="4">
        <v>5</v>
      </c>
      <c r="AE748" s="4">
        <v>6</v>
      </c>
      <c r="AF748" s="4">
        <v>12</v>
      </c>
      <c r="AH748" s="4">
        <v>12</v>
      </c>
      <c r="AL748" s="4">
        <v>35</v>
      </c>
      <c r="AN748" s="4">
        <v>35</v>
      </c>
      <c r="AO748" s="4">
        <v>35</v>
      </c>
    </row>
    <row r="749" spans="1:41" hidden="1" x14ac:dyDescent="0.2">
      <c r="A749" t="s">
        <v>1506</v>
      </c>
      <c r="B749" t="s">
        <v>1507</v>
      </c>
      <c r="C749" s="2">
        <v>43283</v>
      </c>
      <c r="D749" s="2">
        <v>43283</v>
      </c>
      <c r="E749" s="3">
        <v>19956</v>
      </c>
      <c r="F749" t="s">
        <v>1508</v>
      </c>
      <c r="G749" t="s">
        <v>363</v>
      </c>
      <c r="H749" t="s">
        <v>45</v>
      </c>
      <c r="I749" s="3">
        <v>10035</v>
      </c>
      <c r="J749" s="3">
        <v>1016450059</v>
      </c>
      <c r="K749" s="3">
        <v>1052358</v>
      </c>
      <c r="L749" t="s">
        <v>153</v>
      </c>
      <c r="M749" s="4">
        <v>8</v>
      </c>
      <c r="N749" t="s">
        <v>335</v>
      </c>
      <c r="O749" t="s">
        <v>155</v>
      </c>
      <c r="P749" s="4">
        <v>40.800113000000003</v>
      </c>
      <c r="Q749" s="4">
        <v>-73.941115999999994</v>
      </c>
      <c r="R749" s="4">
        <v>40.799911999999999</v>
      </c>
      <c r="S749" s="4">
        <v>-73.941227999999995</v>
      </c>
      <c r="T749" s="2">
        <v>43283</v>
      </c>
      <c r="U749" t="s">
        <v>49</v>
      </c>
      <c r="V749" t="s">
        <v>50</v>
      </c>
      <c r="W749" t="s">
        <v>51</v>
      </c>
      <c r="X749" s="4">
        <v>14</v>
      </c>
      <c r="Y749" s="4">
        <v>3</v>
      </c>
      <c r="Z749" s="4">
        <v>1</v>
      </c>
      <c r="AE749" s="4">
        <v>2</v>
      </c>
      <c r="AF749" s="4">
        <v>5</v>
      </c>
      <c r="AG749" s="4">
        <v>10</v>
      </c>
      <c r="AH749" s="4">
        <v>1</v>
      </c>
      <c r="AL749" s="4">
        <v>18</v>
      </c>
      <c r="AN749" s="4">
        <v>18</v>
      </c>
      <c r="AO749" s="4">
        <v>18</v>
      </c>
    </row>
    <row r="750" spans="1:41" hidden="1" x14ac:dyDescent="0.2">
      <c r="A750" t="s">
        <v>1506</v>
      </c>
      <c r="B750" t="s">
        <v>1507</v>
      </c>
      <c r="C750" s="2">
        <v>43283</v>
      </c>
      <c r="D750" s="2">
        <v>43283</v>
      </c>
      <c r="E750" s="3">
        <v>20113</v>
      </c>
      <c r="F750" t="s">
        <v>347</v>
      </c>
      <c r="G750" t="s">
        <v>1296</v>
      </c>
      <c r="H750" t="s">
        <v>45</v>
      </c>
      <c r="I750" s="3">
        <v>10035</v>
      </c>
      <c r="J750" s="3">
        <v>1017680001</v>
      </c>
      <c r="K750" s="3">
        <v>1054361</v>
      </c>
      <c r="L750" t="s">
        <v>153</v>
      </c>
      <c r="M750" s="4">
        <v>9</v>
      </c>
      <c r="N750" t="s">
        <v>154</v>
      </c>
      <c r="O750" t="s">
        <v>155</v>
      </c>
      <c r="P750" s="4">
        <v>40.801098000000003</v>
      </c>
      <c r="Q750" s="4">
        <v>-73.941468999999998</v>
      </c>
      <c r="R750" s="4">
        <v>40.801245999999999</v>
      </c>
      <c r="S750" s="4">
        <v>-73.941349000000002</v>
      </c>
      <c r="T750" s="2">
        <v>43283</v>
      </c>
      <c r="U750" t="s">
        <v>49</v>
      </c>
      <c r="V750" t="s">
        <v>50</v>
      </c>
      <c r="W750" t="s">
        <v>51</v>
      </c>
      <c r="X750" s="4">
        <v>27</v>
      </c>
      <c r="Y750" s="4">
        <v>5</v>
      </c>
      <c r="Z750" s="4">
        <v>1</v>
      </c>
      <c r="AE750" s="4">
        <v>10</v>
      </c>
      <c r="AF750" s="4">
        <v>7</v>
      </c>
      <c r="AG750" s="4">
        <v>16</v>
      </c>
      <c r="AL750" s="4">
        <v>33</v>
      </c>
      <c r="AN750" s="4">
        <v>33</v>
      </c>
      <c r="AO750" s="4">
        <v>33</v>
      </c>
    </row>
    <row r="751" spans="1:41" hidden="1" x14ac:dyDescent="0.2">
      <c r="A751" t="s">
        <v>1506</v>
      </c>
      <c r="B751" t="s">
        <v>1507</v>
      </c>
      <c r="C751" s="2">
        <v>43283</v>
      </c>
      <c r="D751" s="2">
        <v>43283</v>
      </c>
      <c r="E751" s="3">
        <v>20120</v>
      </c>
      <c r="F751" t="s">
        <v>427</v>
      </c>
      <c r="G751" t="s">
        <v>1296</v>
      </c>
      <c r="H751" t="s">
        <v>45</v>
      </c>
      <c r="I751" s="3">
        <v>10035</v>
      </c>
      <c r="J751" s="3">
        <v>1017680007</v>
      </c>
      <c r="K751" s="3">
        <v>1054365</v>
      </c>
      <c r="L751" t="s">
        <v>153</v>
      </c>
      <c r="M751" s="4">
        <v>9</v>
      </c>
      <c r="N751" t="s">
        <v>154</v>
      </c>
      <c r="O751" t="s">
        <v>155</v>
      </c>
      <c r="P751" s="4">
        <v>40.800953</v>
      </c>
      <c r="Q751" s="4">
        <v>-73.941121999999993</v>
      </c>
      <c r="R751" s="4">
        <v>40.801116999999998</v>
      </c>
      <c r="S751" s="4">
        <v>-73.940944999999999</v>
      </c>
      <c r="T751" s="2">
        <v>43283</v>
      </c>
      <c r="U751" t="s">
        <v>49</v>
      </c>
      <c r="V751" t="s">
        <v>50</v>
      </c>
      <c r="W751" t="s">
        <v>51</v>
      </c>
      <c r="X751" s="4">
        <v>13</v>
      </c>
      <c r="Y751" s="4">
        <v>4</v>
      </c>
      <c r="Z751" s="4">
        <v>3</v>
      </c>
      <c r="AE751" s="4">
        <v>6</v>
      </c>
      <c r="AF751" s="4">
        <v>4</v>
      </c>
      <c r="AG751" s="4">
        <v>5</v>
      </c>
      <c r="AH751" s="4">
        <v>5</v>
      </c>
      <c r="AL751" s="4">
        <v>20</v>
      </c>
      <c r="AN751" s="4">
        <v>20</v>
      </c>
      <c r="AO751" s="4">
        <v>20</v>
      </c>
    </row>
    <row r="752" spans="1:41" hidden="1" x14ac:dyDescent="0.2">
      <c r="A752" t="s">
        <v>1506</v>
      </c>
      <c r="B752" t="s">
        <v>1507</v>
      </c>
      <c r="C752" s="2">
        <v>43283</v>
      </c>
      <c r="D752" s="2">
        <v>43283</v>
      </c>
      <c r="E752" s="3">
        <v>20125</v>
      </c>
      <c r="F752" t="s">
        <v>1320</v>
      </c>
      <c r="G752" t="s">
        <v>1296</v>
      </c>
      <c r="H752" t="s">
        <v>45</v>
      </c>
      <c r="I752" s="3">
        <v>10035</v>
      </c>
      <c r="J752" s="3">
        <v>1017670060</v>
      </c>
      <c r="K752" s="3">
        <v>1054359</v>
      </c>
      <c r="L752" t="s">
        <v>153</v>
      </c>
      <c r="M752" s="4">
        <v>9</v>
      </c>
      <c r="N752" t="s">
        <v>335</v>
      </c>
      <c r="O752" t="s">
        <v>155</v>
      </c>
      <c r="P752" s="4">
        <v>40.800780000000003</v>
      </c>
      <c r="Q752" s="4">
        <v>-73.940753999999998</v>
      </c>
      <c r="R752" s="4">
        <v>40.800570999999998</v>
      </c>
      <c r="S752" s="4">
        <v>-73.940832999999998</v>
      </c>
      <c r="T752" s="2">
        <v>43283</v>
      </c>
      <c r="U752" t="s">
        <v>49</v>
      </c>
      <c r="V752" t="s">
        <v>50</v>
      </c>
      <c r="W752" t="s">
        <v>51</v>
      </c>
      <c r="X752" s="4">
        <v>16</v>
      </c>
      <c r="Y752" s="4">
        <v>2</v>
      </c>
      <c r="Z752" s="4">
        <v>1</v>
      </c>
      <c r="AC752" s="4">
        <v>1</v>
      </c>
      <c r="AE752" s="4">
        <v>5</v>
      </c>
      <c r="AF752" s="4">
        <v>6</v>
      </c>
      <c r="AG752" s="4">
        <v>4</v>
      </c>
      <c r="AH752" s="4">
        <v>5</v>
      </c>
      <c r="AL752" s="4">
        <v>20</v>
      </c>
      <c r="AN752" s="4">
        <v>20</v>
      </c>
      <c r="AO752" s="4">
        <v>20</v>
      </c>
    </row>
    <row r="753" spans="1:41" hidden="1" x14ac:dyDescent="0.2">
      <c r="A753" t="s">
        <v>1509</v>
      </c>
      <c r="B753" t="s">
        <v>1510</v>
      </c>
      <c r="C753" s="2">
        <v>43283</v>
      </c>
      <c r="D753" s="2">
        <v>43283</v>
      </c>
      <c r="E753" s="3">
        <v>26982</v>
      </c>
      <c r="F753" t="s">
        <v>1235</v>
      </c>
      <c r="G753" t="s">
        <v>1511</v>
      </c>
      <c r="H753" t="s">
        <v>45</v>
      </c>
      <c r="I753" s="3">
        <v>10034</v>
      </c>
      <c r="J753" s="3">
        <v>1022200043</v>
      </c>
      <c r="K753" s="3">
        <v>1064761</v>
      </c>
      <c r="L753" t="s">
        <v>114</v>
      </c>
      <c r="M753" s="4">
        <v>10</v>
      </c>
      <c r="N753" t="s">
        <v>564</v>
      </c>
      <c r="O753" t="s">
        <v>391</v>
      </c>
      <c r="P753" s="4">
        <v>40.862800999999997</v>
      </c>
      <c r="Q753" s="4">
        <v>-73.924808999999996</v>
      </c>
      <c r="R753" s="4">
        <v>40.863137999999999</v>
      </c>
      <c r="S753" s="4">
        <v>-73.924830999999998</v>
      </c>
      <c r="T753" s="2">
        <v>43283</v>
      </c>
      <c r="U753" t="s">
        <v>49</v>
      </c>
      <c r="V753" t="s">
        <v>50</v>
      </c>
      <c r="W753" t="s">
        <v>51</v>
      </c>
      <c r="X753" s="4">
        <v>73</v>
      </c>
      <c r="Y753" s="4">
        <v>14</v>
      </c>
      <c r="Z753" s="4">
        <v>3</v>
      </c>
      <c r="AA753" s="4">
        <v>4</v>
      </c>
      <c r="AC753" s="4">
        <v>1</v>
      </c>
      <c r="AE753" s="4">
        <v>63</v>
      </c>
      <c r="AF753" s="4">
        <v>30</v>
      </c>
      <c r="AG753" s="4">
        <v>2</v>
      </c>
      <c r="AL753" s="4">
        <v>95</v>
      </c>
      <c r="AN753" s="4">
        <v>95</v>
      </c>
      <c r="AO753" s="4">
        <v>95</v>
      </c>
    </row>
    <row r="754" spans="1:41" hidden="1" x14ac:dyDescent="0.2">
      <c r="A754" t="s">
        <v>1512</v>
      </c>
      <c r="B754" t="s">
        <v>1513</v>
      </c>
      <c r="C754" s="2">
        <v>43283</v>
      </c>
      <c r="D754" s="2">
        <v>43283</v>
      </c>
      <c r="E754" s="3">
        <v>5605</v>
      </c>
      <c r="F754" t="s">
        <v>1514</v>
      </c>
      <c r="G754" t="s">
        <v>87</v>
      </c>
      <c r="H754" t="s">
        <v>45</v>
      </c>
      <c r="I754" s="3">
        <v>10031</v>
      </c>
      <c r="J754" s="3">
        <v>1020720030</v>
      </c>
      <c r="K754" s="3">
        <v>1061768</v>
      </c>
      <c r="L754" t="s">
        <v>169</v>
      </c>
      <c r="M754" s="4">
        <v>7</v>
      </c>
      <c r="N754" t="s">
        <v>231</v>
      </c>
      <c r="O754" t="s">
        <v>232</v>
      </c>
      <c r="P754" s="4">
        <v>40.822231000000002</v>
      </c>
      <c r="Q754" s="4">
        <v>-73.949817999999993</v>
      </c>
      <c r="R754" s="4">
        <v>40.822513999999998</v>
      </c>
      <c r="S754" s="4">
        <v>-73.950001999999998</v>
      </c>
      <c r="T754" s="2">
        <v>43283</v>
      </c>
      <c r="U754" t="s">
        <v>49</v>
      </c>
      <c r="V754" t="s">
        <v>50</v>
      </c>
      <c r="W754" t="s">
        <v>51</v>
      </c>
      <c r="X754" s="4">
        <v>21</v>
      </c>
      <c r="Y754" s="4">
        <v>4</v>
      </c>
      <c r="Z754" s="4">
        <v>2</v>
      </c>
      <c r="AA754" s="4">
        <v>2</v>
      </c>
      <c r="AE754" s="4">
        <v>14</v>
      </c>
      <c r="AF754" s="4">
        <v>10</v>
      </c>
      <c r="AG754" s="4">
        <v>5</v>
      </c>
      <c r="AL754" s="4">
        <v>29</v>
      </c>
      <c r="AN754" s="4">
        <v>29</v>
      </c>
      <c r="AO754" s="4">
        <v>29</v>
      </c>
    </row>
    <row r="755" spans="1:41" hidden="1" x14ac:dyDescent="0.2">
      <c r="A755" t="s">
        <v>1512</v>
      </c>
      <c r="B755" t="s">
        <v>1513</v>
      </c>
      <c r="C755" s="2">
        <v>43283</v>
      </c>
      <c r="D755" s="2">
        <v>43283</v>
      </c>
      <c r="E755" s="3">
        <v>5608</v>
      </c>
      <c r="F755" t="s">
        <v>1515</v>
      </c>
      <c r="G755" t="s">
        <v>87</v>
      </c>
      <c r="H755" t="s">
        <v>45</v>
      </c>
      <c r="I755" s="3">
        <v>10031</v>
      </c>
      <c r="J755" s="3">
        <v>1020730029</v>
      </c>
      <c r="K755" s="3">
        <v>1061795</v>
      </c>
      <c r="L755" t="s">
        <v>169</v>
      </c>
      <c r="M755" s="4">
        <v>7</v>
      </c>
      <c r="N755" t="s">
        <v>231</v>
      </c>
      <c r="O755" t="s">
        <v>232</v>
      </c>
      <c r="P755" s="4">
        <v>40.822788000000003</v>
      </c>
      <c r="Q755" s="4">
        <v>-73.949405999999996</v>
      </c>
      <c r="R755" s="4">
        <v>40.822983000000001</v>
      </c>
      <c r="S755" s="4">
        <v>-73.949662000000004</v>
      </c>
      <c r="T755" s="2">
        <v>43283</v>
      </c>
      <c r="U755" t="s">
        <v>49</v>
      </c>
      <c r="V755" t="s">
        <v>50</v>
      </c>
      <c r="W755" t="s">
        <v>51</v>
      </c>
      <c r="X755" s="4">
        <v>44</v>
      </c>
      <c r="Y755" s="4">
        <v>4</v>
      </c>
      <c r="Z755" s="4">
        <v>3</v>
      </c>
      <c r="AA755" s="4">
        <v>3</v>
      </c>
      <c r="AE755" s="4">
        <v>34</v>
      </c>
      <c r="AF755" s="4">
        <v>20</v>
      </c>
      <c r="AL755" s="4">
        <v>54</v>
      </c>
      <c r="AN755" s="4">
        <v>54</v>
      </c>
      <c r="AO755" s="4">
        <v>54</v>
      </c>
    </row>
    <row r="756" spans="1:41" hidden="1" x14ac:dyDescent="0.2">
      <c r="A756" t="s">
        <v>1516</v>
      </c>
      <c r="B756" t="s">
        <v>1517</v>
      </c>
      <c r="C756" s="2">
        <v>43280</v>
      </c>
      <c r="D756" s="2">
        <v>44853</v>
      </c>
      <c r="E756" s="3">
        <v>927152</v>
      </c>
      <c r="F756" t="s">
        <v>792</v>
      </c>
      <c r="G756" t="s">
        <v>434</v>
      </c>
      <c r="H756" t="s">
        <v>45</v>
      </c>
      <c r="I756" s="3">
        <v>10027</v>
      </c>
      <c r="J756" s="3">
        <v>1019157501</v>
      </c>
      <c r="K756" s="3">
        <v>1090183</v>
      </c>
      <c r="L756" t="s">
        <v>146</v>
      </c>
      <c r="M756" s="4">
        <v>9</v>
      </c>
      <c r="N756" t="s">
        <v>309</v>
      </c>
      <c r="O756" t="s">
        <v>177</v>
      </c>
      <c r="P756" s="4">
        <v>40.811754000000001</v>
      </c>
      <c r="Q756" s="4">
        <v>-73.943185999999997</v>
      </c>
      <c r="R756" s="4">
        <v>40.811498999999998</v>
      </c>
      <c r="S756" s="4">
        <v>-73.943247999999997</v>
      </c>
      <c r="T756" s="2">
        <v>44669</v>
      </c>
      <c r="U756" t="s">
        <v>117</v>
      </c>
      <c r="V756" t="s">
        <v>71</v>
      </c>
      <c r="W756" t="s">
        <v>51</v>
      </c>
      <c r="Y756" s="4">
        <v>16</v>
      </c>
      <c r="Z756" s="4">
        <v>24</v>
      </c>
      <c r="AB756" s="4">
        <v>38</v>
      </c>
      <c r="AC756" s="4">
        <v>1</v>
      </c>
      <c r="AD756" s="4">
        <v>16</v>
      </c>
      <c r="AE756" s="4">
        <v>25</v>
      </c>
      <c r="AF756" s="4">
        <v>32</v>
      </c>
      <c r="AG756" s="4">
        <v>6</v>
      </c>
      <c r="AL756" s="4">
        <v>79</v>
      </c>
      <c r="AN756" s="4">
        <v>79</v>
      </c>
      <c r="AO756" s="4">
        <v>79</v>
      </c>
    </row>
    <row r="757" spans="1:41" hidden="1" x14ac:dyDescent="0.2">
      <c r="A757" t="s">
        <v>1518</v>
      </c>
      <c r="B757" t="s">
        <v>1519</v>
      </c>
      <c r="C757" s="2">
        <v>43280</v>
      </c>
      <c r="D757" s="2">
        <v>44739</v>
      </c>
      <c r="E757" s="3">
        <v>5738</v>
      </c>
      <c r="F757" t="s">
        <v>1520</v>
      </c>
      <c r="G757" t="s">
        <v>87</v>
      </c>
      <c r="H757" t="s">
        <v>45</v>
      </c>
      <c r="I757" s="3">
        <v>10032</v>
      </c>
      <c r="J757" s="3">
        <v>1021170034</v>
      </c>
      <c r="K757" s="3">
        <v>1062764</v>
      </c>
      <c r="L757" t="s">
        <v>114</v>
      </c>
      <c r="M757" s="4">
        <v>10</v>
      </c>
      <c r="N757" t="s">
        <v>762</v>
      </c>
      <c r="O757" t="s">
        <v>134</v>
      </c>
      <c r="P757" s="4">
        <v>40.833829000000001</v>
      </c>
      <c r="Q757" s="4">
        <v>-73.941338999999999</v>
      </c>
      <c r="R757" s="4">
        <v>40.834083999999997</v>
      </c>
      <c r="S757" s="4">
        <v>-73.941515999999993</v>
      </c>
      <c r="T757" s="2">
        <v>44722</v>
      </c>
      <c r="U757" t="s">
        <v>49</v>
      </c>
      <c r="V757" t="s">
        <v>71</v>
      </c>
      <c r="W757" t="s">
        <v>123</v>
      </c>
      <c r="X757" s="4">
        <v>20</v>
      </c>
      <c r="Y757" s="4">
        <v>3</v>
      </c>
      <c r="Z757" s="4">
        <v>1</v>
      </c>
      <c r="AC757" s="4">
        <v>1</v>
      </c>
      <c r="AF757" s="4">
        <v>15</v>
      </c>
      <c r="AG757" s="4">
        <v>5</v>
      </c>
      <c r="AH757" s="4">
        <v>5</v>
      </c>
      <c r="AL757" s="4">
        <v>25</v>
      </c>
      <c r="AN757" s="4">
        <v>25</v>
      </c>
      <c r="AO757" s="4">
        <v>25</v>
      </c>
    </row>
    <row r="758" spans="1:41" hidden="1" x14ac:dyDescent="0.2">
      <c r="A758" t="s">
        <v>1518</v>
      </c>
      <c r="B758" t="s">
        <v>1519</v>
      </c>
      <c r="C758" s="2">
        <v>43280</v>
      </c>
      <c r="D758" s="2">
        <v>44739</v>
      </c>
      <c r="E758" s="3">
        <v>42862</v>
      </c>
      <c r="F758" t="s">
        <v>628</v>
      </c>
      <c r="G758" t="s">
        <v>1521</v>
      </c>
      <c r="H758" t="s">
        <v>45</v>
      </c>
      <c r="I758" s="3">
        <v>10032</v>
      </c>
      <c r="J758" s="3">
        <v>1021190058</v>
      </c>
      <c r="K758" s="3">
        <v>1062843</v>
      </c>
      <c r="L758" t="s">
        <v>114</v>
      </c>
      <c r="M758" s="4">
        <v>10</v>
      </c>
      <c r="N758" t="s">
        <v>762</v>
      </c>
      <c r="O758" t="s">
        <v>134</v>
      </c>
      <c r="P758" s="4">
        <v>40.835160000000002</v>
      </c>
      <c r="Q758" s="4">
        <v>-73.941663000000005</v>
      </c>
      <c r="R758" s="4">
        <v>40.835560999999998</v>
      </c>
      <c r="S758" s="4">
        <v>-73.942055999999994</v>
      </c>
      <c r="T758" s="2">
        <v>44734</v>
      </c>
      <c r="U758" t="s">
        <v>49</v>
      </c>
      <c r="V758" t="s">
        <v>71</v>
      </c>
      <c r="W758" t="s">
        <v>123</v>
      </c>
      <c r="X758" s="4">
        <v>6</v>
      </c>
      <c r="Y758" s="4">
        <v>11</v>
      </c>
      <c r="Z758" s="4">
        <v>3</v>
      </c>
      <c r="AF758" s="4">
        <v>20</v>
      </c>
      <c r="AL758" s="4">
        <v>20</v>
      </c>
      <c r="AN758" s="4">
        <v>20</v>
      </c>
      <c r="AO758" s="4">
        <v>20</v>
      </c>
    </row>
    <row r="759" spans="1:41" hidden="1" x14ac:dyDescent="0.2">
      <c r="A759" t="s">
        <v>1518</v>
      </c>
      <c r="B759" t="s">
        <v>1519</v>
      </c>
      <c r="C759" s="2">
        <v>43280</v>
      </c>
      <c r="D759" s="2">
        <v>44739</v>
      </c>
      <c r="E759" s="3">
        <v>42869</v>
      </c>
      <c r="F759" t="s">
        <v>1522</v>
      </c>
      <c r="G759" t="s">
        <v>1521</v>
      </c>
      <c r="H759" t="s">
        <v>45</v>
      </c>
      <c r="I759" s="3">
        <v>10032</v>
      </c>
      <c r="J759" s="3">
        <v>1021190066</v>
      </c>
      <c r="K759" s="3">
        <v>1062847</v>
      </c>
      <c r="L759" t="s">
        <v>114</v>
      </c>
      <c r="M759" s="4">
        <v>10</v>
      </c>
      <c r="N759" t="s">
        <v>762</v>
      </c>
      <c r="O759" t="s">
        <v>134</v>
      </c>
      <c r="P759" s="4">
        <v>40.835295000000002</v>
      </c>
      <c r="Q759" s="4">
        <v>-73.941976999999994</v>
      </c>
      <c r="R759" s="4">
        <v>40.835797999999997</v>
      </c>
      <c r="S759" s="4">
        <v>-73.942616000000001</v>
      </c>
      <c r="T759" s="2">
        <v>44739</v>
      </c>
      <c r="U759" t="s">
        <v>49</v>
      </c>
      <c r="V759" t="s">
        <v>71</v>
      </c>
      <c r="W759" t="s">
        <v>123</v>
      </c>
      <c r="X759" s="4">
        <v>4</v>
      </c>
      <c r="Y759" s="4">
        <v>14</v>
      </c>
      <c r="Z759" s="4">
        <v>2</v>
      </c>
      <c r="AF759" s="4">
        <v>20</v>
      </c>
      <c r="AL759" s="4">
        <v>20</v>
      </c>
      <c r="AN759" s="4">
        <v>20</v>
      </c>
      <c r="AO759" s="4">
        <v>20</v>
      </c>
    </row>
    <row r="760" spans="1:41" hidden="1" x14ac:dyDescent="0.2">
      <c r="A760" t="s">
        <v>1523</v>
      </c>
      <c r="B760" t="s">
        <v>1524</v>
      </c>
      <c r="C760" s="2">
        <v>43280</v>
      </c>
      <c r="D760" s="2">
        <v>44397</v>
      </c>
      <c r="E760" s="3">
        <v>28125</v>
      </c>
      <c r="F760" t="s">
        <v>1525</v>
      </c>
      <c r="G760" t="s">
        <v>345</v>
      </c>
      <c r="H760" t="s">
        <v>45</v>
      </c>
      <c r="I760" s="3">
        <v>10026</v>
      </c>
      <c r="J760" s="3">
        <v>1018220015</v>
      </c>
      <c r="K760" s="3">
        <v>1054981</v>
      </c>
      <c r="L760" t="s">
        <v>146</v>
      </c>
      <c r="M760" s="4">
        <v>9</v>
      </c>
      <c r="N760" t="s">
        <v>312</v>
      </c>
      <c r="O760" t="s">
        <v>148</v>
      </c>
      <c r="P760" s="4">
        <v>40.800206000000003</v>
      </c>
      <c r="Q760" s="4">
        <v>-73.952489</v>
      </c>
      <c r="R760" s="4">
        <v>40.800142999999998</v>
      </c>
      <c r="S760" s="4">
        <v>-73.952854000000002</v>
      </c>
      <c r="T760" s="2">
        <v>44397</v>
      </c>
      <c r="U760" t="s">
        <v>49</v>
      </c>
      <c r="V760" t="s">
        <v>71</v>
      </c>
      <c r="W760" t="s">
        <v>51</v>
      </c>
      <c r="X760" s="4">
        <v>2</v>
      </c>
      <c r="Y760" s="4">
        <v>9</v>
      </c>
      <c r="Z760" s="4">
        <v>1</v>
      </c>
      <c r="AG760" s="4">
        <v>12</v>
      </c>
      <c r="AL760" s="4">
        <v>12</v>
      </c>
      <c r="AN760" s="4">
        <v>12</v>
      </c>
      <c r="AO760" s="4">
        <v>12</v>
      </c>
    </row>
    <row r="761" spans="1:41" hidden="1" x14ac:dyDescent="0.2">
      <c r="A761" t="s">
        <v>1523</v>
      </c>
      <c r="B761" t="s">
        <v>1524</v>
      </c>
      <c r="C761" s="2">
        <v>43280</v>
      </c>
      <c r="D761" s="2">
        <v>44397</v>
      </c>
      <c r="E761" s="3">
        <v>38571</v>
      </c>
      <c r="F761" t="s">
        <v>1526</v>
      </c>
      <c r="G761" t="s">
        <v>961</v>
      </c>
      <c r="H761" t="s">
        <v>45</v>
      </c>
      <c r="I761" s="3">
        <v>10026</v>
      </c>
      <c r="J761" s="3">
        <v>1019240104</v>
      </c>
      <c r="K761" s="3">
        <v>1058438</v>
      </c>
      <c r="L761" t="s">
        <v>146</v>
      </c>
      <c r="M761" s="4">
        <v>9</v>
      </c>
      <c r="N761" t="s">
        <v>256</v>
      </c>
      <c r="O761" t="s">
        <v>148</v>
      </c>
      <c r="P761" s="4">
        <v>40.805446000000003</v>
      </c>
      <c r="Q761" s="4">
        <v>-73.953727999999998</v>
      </c>
      <c r="R761" s="4">
        <v>40.805734000000001</v>
      </c>
      <c r="S761" s="4">
        <v>-73.95384</v>
      </c>
      <c r="T761" s="2">
        <v>44307</v>
      </c>
      <c r="U761" t="s">
        <v>49</v>
      </c>
      <c r="V761" t="s">
        <v>71</v>
      </c>
      <c r="W761" t="s">
        <v>51</v>
      </c>
      <c r="X761" s="4">
        <v>1</v>
      </c>
      <c r="Y761" s="4">
        <v>6</v>
      </c>
      <c r="Z761" s="4">
        <v>3</v>
      </c>
      <c r="AD761" s="4">
        <v>1</v>
      </c>
      <c r="AE761" s="4">
        <v>1</v>
      </c>
      <c r="AF761" s="4">
        <v>8</v>
      </c>
      <c r="AL761" s="4">
        <v>10</v>
      </c>
      <c r="AN761" s="4">
        <v>10</v>
      </c>
      <c r="AO761" s="4">
        <v>10</v>
      </c>
    </row>
    <row r="762" spans="1:41" hidden="1" x14ac:dyDescent="0.2">
      <c r="A762" t="s">
        <v>1523</v>
      </c>
      <c r="B762" t="s">
        <v>1524</v>
      </c>
      <c r="C762" s="2">
        <v>43280</v>
      </c>
      <c r="D762" s="2">
        <v>44397</v>
      </c>
      <c r="E762" s="3">
        <v>40514</v>
      </c>
      <c r="F762" t="s">
        <v>457</v>
      </c>
      <c r="G762" t="s">
        <v>1011</v>
      </c>
      <c r="H762" t="s">
        <v>45</v>
      </c>
      <c r="I762" s="3">
        <v>10037</v>
      </c>
      <c r="J762" s="3">
        <v>1017290049</v>
      </c>
      <c r="K762" s="3">
        <v>1053860</v>
      </c>
      <c r="L762" t="s">
        <v>146</v>
      </c>
      <c r="M762" s="4">
        <v>9</v>
      </c>
      <c r="N762" t="s">
        <v>305</v>
      </c>
      <c r="O762" t="s">
        <v>177</v>
      </c>
      <c r="P762" s="4">
        <v>40.811315999999998</v>
      </c>
      <c r="Q762" s="4">
        <v>-73.940145000000001</v>
      </c>
      <c r="R762" s="4">
        <v>40.811132000000001</v>
      </c>
      <c r="S762" s="4">
        <v>-73.940340000000006</v>
      </c>
      <c r="T762" s="2">
        <v>43830</v>
      </c>
      <c r="U762" t="s">
        <v>49</v>
      </c>
      <c r="V762" t="s">
        <v>71</v>
      </c>
      <c r="W762" t="s">
        <v>51</v>
      </c>
      <c r="X762" s="4">
        <v>2</v>
      </c>
      <c r="Y762" s="4">
        <v>6</v>
      </c>
      <c r="Z762" s="4">
        <v>2</v>
      </c>
      <c r="AH762" s="4">
        <v>10</v>
      </c>
      <c r="AL762" s="4">
        <v>10</v>
      </c>
      <c r="AN762" s="4">
        <v>10</v>
      </c>
      <c r="AO762" s="4">
        <v>10</v>
      </c>
    </row>
    <row r="763" spans="1:41" hidden="1" x14ac:dyDescent="0.2">
      <c r="A763" t="s">
        <v>1523</v>
      </c>
      <c r="B763" t="s">
        <v>1524</v>
      </c>
      <c r="C763" s="2">
        <v>43280</v>
      </c>
      <c r="D763" s="2">
        <v>44397</v>
      </c>
      <c r="E763" s="3">
        <v>41278</v>
      </c>
      <c r="F763" t="s">
        <v>1115</v>
      </c>
      <c r="G763" t="s">
        <v>221</v>
      </c>
      <c r="H763" t="s">
        <v>45</v>
      </c>
      <c r="I763" s="3">
        <v>10030</v>
      </c>
      <c r="J763" s="3">
        <v>1020070046</v>
      </c>
      <c r="K763" s="3">
        <v>1060040</v>
      </c>
      <c r="L763" t="s">
        <v>146</v>
      </c>
      <c r="M763" s="4">
        <v>9</v>
      </c>
      <c r="N763" t="s">
        <v>222</v>
      </c>
      <c r="O763" t="s">
        <v>177</v>
      </c>
      <c r="P763" s="4">
        <v>40.817194999999998</v>
      </c>
      <c r="Q763" s="4">
        <v>-73.940297999999999</v>
      </c>
      <c r="R763" s="4">
        <v>40.816989999999997</v>
      </c>
      <c r="S763" s="4">
        <v>-73.940406999999993</v>
      </c>
      <c r="T763" s="2">
        <v>44013</v>
      </c>
      <c r="U763" t="s">
        <v>49</v>
      </c>
      <c r="V763" t="s">
        <v>71</v>
      </c>
      <c r="W763" t="s">
        <v>51</v>
      </c>
      <c r="X763" s="4">
        <v>2</v>
      </c>
      <c r="Y763" s="4">
        <v>7</v>
      </c>
      <c r="Z763" s="4">
        <v>1</v>
      </c>
      <c r="AG763" s="4">
        <v>10</v>
      </c>
      <c r="AL763" s="4">
        <v>10</v>
      </c>
      <c r="AN763" s="4">
        <v>10</v>
      </c>
      <c r="AO763" s="4">
        <v>10</v>
      </c>
    </row>
    <row r="764" spans="1:41" hidden="1" x14ac:dyDescent="0.2">
      <c r="A764" t="s">
        <v>1523</v>
      </c>
      <c r="B764" t="s">
        <v>1524</v>
      </c>
      <c r="C764" s="2">
        <v>43280</v>
      </c>
      <c r="D764" s="2">
        <v>44397</v>
      </c>
      <c r="E764" s="3">
        <v>41279</v>
      </c>
      <c r="F764" t="s">
        <v>94</v>
      </c>
      <c r="G764" t="s">
        <v>221</v>
      </c>
      <c r="H764" t="s">
        <v>45</v>
      </c>
      <c r="I764" s="3">
        <v>10030</v>
      </c>
      <c r="J764" s="3">
        <v>1020070047</v>
      </c>
      <c r="K764" s="3">
        <v>1060041</v>
      </c>
      <c r="L764" t="s">
        <v>146</v>
      </c>
      <c r="M764" s="4">
        <v>9</v>
      </c>
      <c r="N764" t="s">
        <v>222</v>
      </c>
      <c r="O764" t="s">
        <v>177</v>
      </c>
      <c r="P764" s="4">
        <v>40.817225999999998</v>
      </c>
      <c r="Q764" s="4">
        <v>-73.940366999999995</v>
      </c>
      <c r="R764" s="4">
        <v>40.817025000000001</v>
      </c>
      <c r="S764" s="4">
        <v>-73.940489999999997</v>
      </c>
      <c r="T764" s="2">
        <v>43714</v>
      </c>
      <c r="U764" t="s">
        <v>49</v>
      </c>
      <c r="V764" t="s">
        <v>71</v>
      </c>
      <c r="W764" t="s">
        <v>51</v>
      </c>
      <c r="X764" s="4">
        <v>1</v>
      </c>
      <c r="Y764" s="4">
        <v>5</v>
      </c>
      <c r="Z764" s="4">
        <v>13</v>
      </c>
      <c r="AC764" s="4">
        <v>1</v>
      </c>
      <c r="AD764" s="4">
        <v>10</v>
      </c>
      <c r="AF764" s="4">
        <v>10</v>
      </c>
      <c r="AL764" s="4">
        <v>20</v>
      </c>
      <c r="AN764" s="4">
        <v>20</v>
      </c>
      <c r="AO764" s="4">
        <v>20</v>
      </c>
    </row>
    <row r="765" spans="1:41" hidden="1" x14ac:dyDescent="0.2">
      <c r="A765" t="s">
        <v>1523</v>
      </c>
      <c r="B765" t="s">
        <v>1524</v>
      </c>
      <c r="C765" s="2">
        <v>43280</v>
      </c>
      <c r="D765" s="2">
        <v>44397</v>
      </c>
      <c r="E765" s="3">
        <v>41280</v>
      </c>
      <c r="F765" t="s">
        <v>587</v>
      </c>
      <c r="G765" t="s">
        <v>221</v>
      </c>
      <c r="H765" t="s">
        <v>45</v>
      </c>
      <c r="I765" s="3">
        <v>10030</v>
      </c>
      <c r="J765" s="3">
        <v>1020070048</v>
      </c>
      <c r="K765" s="3">
        <v>1060042</v>
      </c>
      <c r="L765" t="s">
        <v>146</v>
      </c>
      <c r="M765" s="4">
        <v>9</v>
      </c>
      <c r="N765" t="s">
        <v>222</v>
      </c>
      <c r="O765" t="s">
        <v>177</v>
      </c>
      <c r="P765" s="4">
        <v>40.817253000000001</v>
      </c>
      <c r="Q765" s="4">
        <v>-73.940436000000005</v>
      </c>
      <c r="R765" s="4">
        <v>40.817061000000002</v>
      </c>
      <c r="S765" s="4">
        <v>-73.940569999999994</v>
      </c>
      <c r="T765" s="2">
        <v>43830</v>
      </c>
      <c r="U765" t="s">
        <v>49</v>
      </c>
      <c r="V765" t="s">
        <v>71</v>
      </c>
      <c r="W765" t="s">
        <v>51</v>
      </c>
      <c r="Y765" s="4">
        <v>8</v>
      </c>
      <c r="Z765" s="4">
        <v>12</v>
      </c>
      <c r="AD765" s="4">
        <v>10</v>
      </c>
      <c r="AF765" s="4">
        <v>10</v>
      </c>
      <c r="AL765" s="4">
        <v>20</v>
      </c>
      <c r="AN765" s="4">
        <v>20</v>
      </c>
      <c r="AO765" s="4">
        <v>20</v>
      </c>
    </row>
    <row r="766" spans="1:41" hidden="1" x14ac:dyDescent="0.2">
      <c r="A766" t="s">
        <v>1527</v>
      </c>
      <c r="B766" t="s">
        <v>1528</v>
      </c>
      <c r="C766" s="2">
        <v>43280</v>
      </c>
      <c r="E766" s="3">
        <v>27322</v>
      </c>
      <c r="F766" t="s">
        <v>1529</v>
      </c>
      <c r="G766" t="s">
        <v>230</v>
      </c>
      <c r="H766" t="s">
        <v>45</v>
      </c>
      <c r="I766" s="3">
        <v>10031</v>
      </c>
      <c r="J766" s="3">
        <v>1020880074</v>
      </c>
      <c r="K766" s="3">
        <v>1062326</v>
      </c>
      <c r="L766" t="s">
        <v>169</v>
      </c>
      <c r="M766" s="4">
        <v>7</v>
      </c>
      <c r="N766" t="s">
        <v>231</v>
      </c>
      <c r="O766" t="s">
        <v>232</v>
      </c>
      <c r="P766" s="4">
        <v>40.824919999999999</v>
      </c>
      <c r="Q766" s="4">
        <v>-73.954122999999996</v>
      </c>
      <c r="R766" s="4">
        <v>40.824761000000002</v>
      </c>
      <c r="S766" s="4">
        <v>-73.953800999999999</v>
      </c>
      <c r="U766" t="s">
        <v>49</v>
      </c>
      <c r="V766" t="s">
        <v>71</v>
      </c>
      <c r="W766" t="s">
        <v>51</v>
      </c>
      <c r="Z766" s="4">
        <v>98</v>
      </c>
      <c r="AA766" s="4">
        <v>34</v>
      </c>
      <c r="AC766" s="4">
        <v>1</v>
      </c>
      <c r="AD766" s="4">
        <v>6</v>
      </c>
      <c r="AE766" s="4">
        <v>56</v>
      </c>
      <c r="AF766" s="4">
        <v>50</v>
      </c>
      <c r="AG766" s="4">
        <v>20</v>
      </c>
      <c r="AH766" s="4">
        <v>1</v>
      </c>
      <c r="AL766" s="4">
        <v>133</v>
      </c>
      <c r="AN766" s="4">
        <v>133</v>
      </c>
      <c r="AO766" s="4">
        <v>133</v>
      </c>
    </row>
    <row r="767" spans="1:41" hidden="1" x14ac:dyDescent="0.2">
      <c r="A767" t="s">
        <v>1530</v>
      </c>
      <c r="B767" t="s">
        <v>1531</v>
      </c>
      <c r="C767" s="2">
        <v>43280</v>
      </c>
      <c r="D767" s="2">
        <v>43280</v>
      </c>
      <c r="E767" s="3">
        <v>3419</v>
      </c>
      <c r="F767" t="s">
        <v>1520</v>
      </c>
      <c r="G767" t="s">
        <v>255</v>
      </c>
      <c r="H767" t="s">
        <v>45</v>
      </c>
      <c r="I767" s="3">
        <v>10026</v>
      </c>
      <c r="J767" s="3">
        <v>1019250036</v>
      </c>
      <c r="K767" s="3">
        <v>1058449</v>
      </c>
      <c r="L767" t="s">
        <v>146</v>
      </c>
      <c r="M767" s="4">
        <v>9</v>
      </c>
      <c r="N767" t="s">
        <v>256</v>
      </c>
      <c r="O767" t="s">
        <v>148</v>
      </c>
      <c r="P767" s="4">
        <v>40.805491000000004</v>
      </c>
      <c r="Q767" s="4">
        <v>-73.950882000000007</v>
      </c>
      <c r="R767" s="4">
        <v>40.805760999999997</v>
      </c>
      <c r="S767" s="4">
        <v>-73.951184999999995</v>
      </c>
      <c r="T767" s="2">
        <v>43280</v>
      </c>
      <c r="U767" t="s">
        <v>49</v>
      </c>
      <c r="V767" t="s">
        <v>50</v>
      </c>
      <c r="W767" t="s">
        <v>51</v>
      </c>
      <c r="X767" s="4">
        <v>33</v>
      </c>
      <c r="Y767" s="4">
        <v>5</v>
      </c>
      <c r="Z767" s="4">
        <v>2</v>
      </c>
      <c r="AC767" s="4">
        <v>1</v>
      </c>
      <c r="AE767" s="4">
        <v>2</v>
      </c>
      <c r="AF767" s="4">
        <v>28</v>
      </c>
      <c r="AG767" s="4">
        <v>11</v>
      </c>
      <c r="AL767" s="4">
        <v>41</v>
      </c>
      <c r="AN767" s="4">
        <v>41</v>
      </c>
      <c r="AO767" s="4">
        <v>41</v>
      </c>
    </row>
    <row r="768" spans="1:41" hidden="1" x14ac:dyDescent="0.2">
      <c r="A768" t="s">
        <v>1530</v>
      </c>
      <c r="B768" t="s">
        <v>1531</v>
      </c>
      <c r="C768" s="2">
        <v>43280</v>
      </c>
      <c r="D768" s="2">
        <v>43280</v>
      </c>
      <c r="E768" s="3">
        <v>3420</v>
      </c>
      <c r="F768" t="s">
        <v>1532</v>
      </c>
      <c r="G768" t="s">
        <v>255</v>
      </c>
      <c r="H768" t="s">
        <v>45</v>
      </c>
      <c r="I768" s="3">
        <v>10026</v>
      </c>
      <c r="J768" s="3">
        <v>1019040061</v>
      </c>
      <c r="K768" s="3">
        <v>1057585</v>
      </c>
      <c r="L768" t="s">
        <v>146</v>
      </c>
      <c r="M768" s="4">
        <v>9</v>
      </c>
      <c r="N768" t="s">
        <v>256</v>
      </c>
      <c r="O768" t="s">
        <v>148</v>
      </c>
      <c r="P768" s="4">
        <v>40.805577</v>
      </c>
      <c r="Q768" s="4">
        <v>-73.950794999999999</v>
      </c>
      <c r="R768" s="4">
        <v>40.805433999999998</v>
      </c>
      <c r="S768" s="4">
        <v>-73.950418999999997</v>
      </c>
      <c r="T768" s="2">
        <v>43280</v>
      </c>
      <c r="U768" t="s">
        <v>49</v>
      </c>
      <c r="V768" t="s">
        <v>50</v>
      </c>
      <c r="W768" t="s">
        <v>51</v>
      </c>
      <c r="X768" s="4">
        <v>30</v>
      </c>
      <c r="Y768" s="4">
        <v>7</v>
      </c>
      <c r="Z768" s="4">
        <v>2</v>
      </c>
      <c r="AC768" s="4">
        <v>1</v>
      </c>
      <c r="AE768" s="4">
        <v>18</v>
      </c>
      <c r="AF768" s="4">
        <v>12</v>
      </c>
      <c r="AG768" s="4">
        <v>10</v>
      </c>
      <c r="AL768" s="4">
        <v>40</v>
      </c>
      <c r="AN768" s="4">
        <v>40</v>
      </c>
      <c r="AO768" s="4">
        <v>40</v>
      </c>
    </row>
    <row r="769" spans="1:41" hidden="1" x14ac:dyDescent="0.2">
      <c r="A769" t="s">
        <v>1533</v>
      </c>
      <c r="B769" t="s">
        <v>1534</v>
      </c>
      <c r="C769" s="2">
        <v>43280</v>
      </c>
      <c r="D769" s="2">
        <v>44105</v>
      </c>
      <c r="E769" s="3">
        <v>6443</v>
      </c>
      <c r="F769" t="s">
        <v>59</v>
      </c>
      <c r="G769" t="s">
        <v>1348</v>
      </c>
      <c r="H769" t="s">
        <v>45</v>
      </c>
      <c r="I769" s="3">
        <v>10009</v>
      </c>
      <c r="J769" s="3">
        <v>1003950001</v>
      </c>
      <c r="K769" s="3">
        <v>1004926</v>
      </c>
      <c r="L769" t="s">
        <v>64</v>
      </c>
      <c r="M769" s="4">
        <v>2</v>
      </c>
      <c r="N769" t="s">
        <v>607</v>
      </c>
      <c r="O769" t="s">
        <v>197</v>
      </c>
      <c r="P769" s="4">
        <v>40.728200000000001</v>
      </c>
      <c r="Q769" s="4">
        <v>-73.978919000000005</v>
      </c>
      <c r="R769" s="4">
        <v>40.728136999999997</v>
      </c>
      <c r="S769" s="4">
        <v>-73.978669999999994</v>
      </c>
      <c r="T769" s="2">
        <v>44105</v>
      </c>
      <c r="U769" t="s">
        <v>49</v>
      </c>
      <c r="V769" t="s">
        <v>71</v>
      </c>
      <c r="W769" t="s">
        <v>51</v>
      </c>
      <c r="X769" s="4">
        <v>13</v>
      </c>
      <c r="Y769" s="4">
        <v>2</v>
      </c>
      <c r="Z769" s="4">
        <v>1</v>
      </c>
      <c r="AF769" s="4">
        <v>6</v>
      </c>
      <c r="AG769" s="4">
        <v>5</v>
      </c>
      <c r="AH769" s="4">
        <v>5</v>
      </c>
      <c r="AL769" s="4">
        <v>16</v>
      </c>
      <c r="AN769" s="4">
        <v>16</v>
      </c>
      <c r="AO769" s="4">
        <v>16</v>
      </c>
    </row>
    <row r="770" spans="1:41" hidden="1" x14ac:dyDescent="0.2">
      <c r="A770" t="s">
        <v>1533</v>
      </c>
      <c r="B770" t="s">
        <v>1534</v>
      </c>
      <c r="C770" s="2">
        <v>43280</v>
      </c>
      <c r="D770" s="2">
        <v>44105</v>
      </c>
      <c r="E770" s="3">
        <v>6446</v>
      </c>
      <c r="F770" t="s">
        <v>1535</v>
      </c>
      <c r="G770" t="s">
        <v>1348</v>
      </c>
      <c r="H770" t="s">
        <v>45</v>
      </c>
      <c r="I770" s="3">
        <v>10009</v>
      </c>
      <c r="J770" s="3">
        <v>1003950003</v>
      </c>
      <c r="K770" s="3">
        <v>1077464</v>
      </c>
      <c r="L770" t="s">
        <v>64</v>
      </c>
      <c r="M770" s="4">
        <v>2</v>
      </c>
      <c r="N770" t="s">
        <v>607</v>
      </c>
      <c r="O770" t="s">
        <v>197</v>
      </c>
      <c r="P770" s="4">
        <v>40.72831</v>
      </c>
      <c r="Q770" s="4">
        <v>-73.978838999999994</v>
      </c>
      <c r="R770" s="4">
        <v>40.728293000000001</v>
      </c>
      <c r="S770" s="4">
        <v>-73.978554000000003</v>
      </c>
      <c r="T770" s="2">
        <v>44105</v>
      </c>
      <c r="U770" t="s">
        <v>49</v>
      </c>
      <c r="V770" t="s">
        <v>71</v>
      </c>
      <c r="W770" t="s">
        <v>51</v>
      </c>
      <c r="X770" s="4">
        <v>15</v>
      </c>
      <c r="Y770" s="4">
        <v>6</v>
      </c>
      <c r="Z770" s="4">
        <v>1</v>
      </c>
      <c r="AB770" s="4">
        <v>1</v>
      </c>
      <c r="AF770" s="4">
        <v>13</v>
      </c>
      <c r="AG770" s="4">
        <v>10</v>
      </c>
      <c r="AL770" s="4">
        <v>23</v>
      </c>
      <c r="AN770" s="4">
        <v>23</v>
      </c>
      <c r="AO770" s="4">
        <v>23</v>
      </c>
    </row>
    <row r="771" spans="1:41" hidden="1" x14ac:dyDescent="0.2">
      <c r="A771" t="s">
        <v>1533</v>
      </c>
      <c r="B771" t="s">
        <v>1534</v>
      </c>
      <c r="C771" s="2">
        <v>43280</v>
      </c>
      <c r="D771" s="2">
        <v>44105</v>
      </c>
      <c r="E771" s="3">
        <v>11395</v>
      </c>
      <c r="F771" t="s">
        <v>1536</v>
      </c>
      <c r="G771" t="s">
        <v>616</v>
      </c>
      <c r="H771" t="s">
        <v>45</v>
      </c>
      <c r="I771" s="3">
        <v>10009</v>
      </c>
      <c r="J771" s="3">
        <v>1003920048</v>
      </c>
      <c r="K771" s="3">
        <v>1004783</v>
      </c>
      <c r="L771" t="s">
        <v>64</v>
      </c>
      <c r="M771" s="4">
        <v>2</v>
      </c>
      <c r="N771" t="s">
        <v>607</v>
      </c>
      <c r="O771" t="s">
        <v>197</v>
      </c>
      <c r="P771" s="4">
        <v>40.725867000000001</v>
      </c>
      <c r="Q771" s="4">
        <v>-73.979326999999998</v>
      </c>
      <c r="R771" s="4">
        <v>40.725957000000001</v>
      </c>
      <c r="S771" s="4">
        <v>-73.979028</v>
      </c>
      <c r="T771" s="2">
        <v>44105</v>
      </c>
      <c r="U771" t="s">
        <v>49</v>
      </c>
      <c r="V771" t="s">
        <v>71</v>
      </c>
      <c r="W771" t="s">
        <v>51</v>
      </c>
      <c r="X771" s="4">
        <v>27</v>
      </c>
      <c r="Y771" s="4">
        <v>4</v>
      </c>
      <c r="Z771" s="4">
        <v>4</v>
      </c>
      <c r="AE771" s="4">
        <v>6</v>
      </c>
      <c r="AF771" s="4">
        <v>17</v>
      </c>
      <c r="AG771" s="4">
        <v>12</v>
      </c>
      <c r="AL771" s="4">
        <v>35</v>
      </c>
      <c r="AN771" s="4">
        <v>35</v>
      </c>
      <c r="AO771" s="4">
        <v>35</v>
      </c>
    </row>
    <row r="772" spans="1:41" hidden="1" x14ac:dyDescent="0.2">
      <c r="A772" t="s">
        <v>1533</v>
      </c>
      <c r="B772" t="s">
        <v>1534</v>
      </c>
      <c r="C772" s="2">
        <v>43280</v>
      </c>
      <c r="D772" s="2">
        <v>44105</v>
      </c>
      <c r="E772" s="3">
        <v>11562</v>
      </c>
      <c r="F772" t="s">
        <v>1537</v>
      </c>
      <c r="G772" t="s">
        <v>606</v>
      </c>
      <c r="H772" t="s">
        <v>45</v>
      </c>
      <c r="I772" s="3">
        <v>10009</v>
      </c>
      <c r="J772" s="3">
        <v>1003920022</v>
      </c>
      <c r="K772" s="3">
        <v>1004769</v>
      </c>
      <c r="L772" t="s">
        <v>64</v>
      </c>
      <c r="M772" s="4">
        <v>2</v>
      </c>
      <c r="N772" t="s">
        <v>607</v>
      </c>
      <c r="O772" t="s">
        <v>197</v>
      </c>
      <c r="P772" s="4">
        <v>40.726284</v>
      </c>
      <c r="Q772" s="4">
        <v>-73.978532999999999</v>
      </c>
      <c r="R772" s="4">
        <v>40.726089000000002</v>
      </c>
      <c r="S772" s="4">
        <v>-73.978622999999999</v>
      </c>
      <c r="T772" s="2">
        <v>44105</v>
      </c>
      <c r="U772" t="s">
        <v>49</v>
      </c>
      <c r="V772" t="s">
        <v>71</v>
      </c>
      <c r="W772" t="s">
        <v>51</v>
      </c>
      <c r="X772" s="4">
        <v>13</v>
      </c>
      <c r="Y772" s="4">
        <v>4</v>
      </c>
      <c r="AE772" s="4">
        <v>5</v>
      </c>
      <c r="AF772" s="4">
        <v>5</v>
      </c>
      <c r="AG772" s="4">
        <v>1</v>
      </c>
      <c r="AH772" s="4">
        <v>6</v>
      </c>
      <c r="AL772" s="4">
        <v>17</v>
      </c>
      <c r="AN772" s="4">
        <v>17</v>
      </c>
      <c r="AO772" s="4">
        <v>17</v>
      </c>
    </row>
    <row r="773" spans="1:41" hidden="1" x14ac:dyDescent="0.2">
      <c r="A773" t="s">
        <v>1538</v>
      </c>
      <c r="B773" t="s">
        <v>1539</v>
      </c>
      <c r="C773" s="2">
        <v>43280</v>
      </c>
      <c r="D773" s="2">
        <v>44011</v>
      </c>
      <c r="E773" s="3">
        <v>9707</v>
      </c>
      <c r="F773" t="s">
        <v>98</v>
      </c>
      <c r="G773" t="s">
        <v>99</v>
      </c>
      <c r="H773" t="s">
        <v>45</v>
      </c>
      <c r="I773" s="3">
        <v>10002</v>
      </c>
      <c r="J773" s="3">
        <v>1003330001</v>
      </c>
      <c r="K773" s="3">
        <v>1082667</v>
      </c>
      <c r="L773" t="s">
        <v>64</v>
      </c>
      <c r="M773" s="4">
        <v>2</v>
      </c>
      <c r="N773" t="s">
        <v>65</v>
      </c>
      <c r="O773" t="s">
        <v>66</v>
      </c>
      <c r="P773" s="4">
        <v>40.716686000000003</v>
      </c>
      <c r="Q773" s="4">
        <v>-73.980463</v>
      </c>
      <c r="R773" s="4">
        <v>40.717885000000003</v>
      </c>
      <c r="S773" s="4">
        <v>-73.980845000000002</v>
      </c>
      <c r="T773" s="2">
        <v>44011</v>
      </c>
      <c r="U773" t="s">
        <v>49</v>
      </c>
      <c r="V773" t="s">
        <v>71</v>
      </c>
      <c r="W773" t="s">
        <v>51</v>
      </c>
      <c r="Y773" s="4">
        <v>220</v>
      </c>
      <c r="AD773" s="4">
        <v>20</v>
      </c>
      <c r="AE773" s="4">
        <v>40</v>
      </c>
      <c r="AF773" s="4">
        <v>140</v>
      </c>
      <c r="AG773" s="4">
        <v>20</v>
      </c>
      <c r="AM773" s="4">
        <v>220</v>
      </c>
      <c r="AN773" s="4">
        <v>220</v>
      </c>
      <c r="AO773" s="4">
        <v>220</v>
      </c>
    </row>
    <row r="774" spans="1:41" hidden="1" x14ac:dyDescent="0.2">
      <c r="A774" t="s">
        <v>1538</v>
      </c>
      <c r="B774" t="s">
        <v>1539</v>
      </c>
      <c r="C774" s="2">
        <v>43280</v>
      </c>
      <c r="D774" s="2">
        <v>44011</v>
      </c>
      <c r="E774" s="3">
        <v>804199</v>
      </c>
      <c r="F774" t="s">
        <v>100</v>
      </c>
      <c r="G774" t="s">
        <v>99</v>
      </c>
      <c r="H774" t="s">
        <v>45</v>
      </c>
      <c r="I774" s="3">
        <v>10002</v>
      </c>
      <c r="J774" s="3">
        <v>1003330001</v>
      </c>
      <c r="K774" s="3">
        <v>1082665</v>
      </c>
      <c r="L774" t="s">
        <v>64</v>
      </c>
      <c r="M774" s="4">
        <v>2</v>
      </c>
      <c r="N774" t="s">
        <v>65</v>
      </c>
      <c r="O774" t="s">
        <v>66</v>
      </c>
      <c r="P774" s="4">
        <v>40.717218000000003</v>
      </c>
      <c r="Q774" s="4">
        <v>-73.980174000000005</v>
      </c>
      <c r="R774" s="4">
        <v>40.717885000000003</v>
      </c>
      <c r="S774" s="4">
        <v>-73.980845000000002</v>
      </c>
      <c r="T774" s="2">
        <v>44011</v>
      </c>
      <c r="U774" t="s">
        <v>49</v>
      </c>
      <c r="V774" t="s">
        <v>71</v>
      </c>
      <c r="W774" t="s">
        <v>51</v>
      </c>
      <c r="Y774" s="4">
        <v>207</v>
      </c>
      <c r="AD774" s="4">
        <v>1</v>
      </c>
      <c r="AE774" s="4">
        <v>20</v>
      </c>
      <c r="AF774" s="4">
        <v>144</v>
      </c>
      <c r="AG774" s="4">
        <v>42</v>
      </c>
      <c r="AM774" s="4">
        <v>207</v>
      </c>
      <c r="AN774" s="4">
        <v>207</v>
      </c>
      <c r="AO774" s="4">
        <v>207</v>
      </c>
    </row>
    <row r="775" spans="1:41" hidden="1" x14ac:dyDescent="0.2">
      <c r="A775" t="s">
        <v>1538</v>
      </c>
      <c r="B775" t="s">
        <v>1539</v>
      </c>
      <c r="C775" s="2">
        <v>43280</v>
      </c>
      <c r="D775" s="2">
        <v>44011</v>
      </c>
      <c r="E775" s="3">
        <v>804200</v>
      </c>
      <c r="F775" t="s">
        <v>101</v>
      </c>
      <c r="G775" t="s">
        <v>99</v>
      </c>
      <c r="H775" t="s">
        <v>45</v>
      </c>
      <c r="I775" s="3">
        <v>10002</v>
      </c>
      <c r="J775" s="3">
        <v>1003330001</v>
      </c>
      <c r="K775" s="3">
        <v>1082666</v>
      </c>
      <c r="L775" t="s">
        <v>64</v>
      </c>
      <c r="M775" s="4">
        <v>2</v>
      </c>
      <c r="N775" t="s">
        <v>65</v>
      </c>
      <c r="O775" t="s">
        <v>66</v>
      </c>
      <c r="P775" s="4">
        <v>40.717567000000003</v>
      </c>
      <c r="Q775" s="4">
        <v>-73.979985999999997</v>
      </c>
      <c r="R775" s="4">
        <v>40.717885000000003</v>
      </c>
      <c r="S775" s="4">
        <v>-73.980845000000002</v>
      </c>
      <c r="T775" s="2">
        <v>44011</v>
      </c>
      <c r="U775" t="s">
        <v>49</v>
      </c>
      <c r="V775" t="s">
        <v>71</v>
      </c>
      <c r="W775" t="s">
        <v>51</v>
      </c>
      <c r="Y775" s="4">
        <v>350</v>
      </c>
      <c r="AD775" s="4">
        <v>21</v>
      </c>
      <c r="AE775" s="4">
        <v>80</v>
      </c>
      <c r="AF775" s="4">
        <v>186</v>
      </c>
      <c r="AG775" s="4">
        <v>63</v>
      </c>
      <c r="AM775" s="4">
        <v>350</v>
      </c>
      <c r="AN775" s="4">
        <v>350</v>
      </c>
      <c r="AO775" s="4">
        <v>350</v>
      </c>
    </row>
    <row r="776" spans="1:41" hidden="1" x14ac:dyDescent="0.2">
      <c r="A776" t="s">
        <v>1538</v>
      </c>
      <c r="B776" t="s">
        <v>1539</v>
      </c>
      <c r="C776" s="2">
        <v>43280</v>
      </c>
      <c r="D776" s="2">
        <v>44011</v>
      </c>
      <c r="E776" s="3">
        <v>804201</v>
      </c>
      <c r="F776" t="s">
        <v>102</v>
      </c>
      <c r="G776" t="s">
        <v>99</v>
      </c>
      <c r="H776" t="s">
        <v>45</v>
      </c>
      <c r="I776" s="3">
        <v>10002</v>
      </c>
      <c r="J776" s="3">
        <v>1003330001</v>
      </c>
      <c r="K776" s="3">
        <v>1086089</v>
      </c>
      <c r="L776" t="s">
        <v>64</v>
      </c>
      <c r="M776" s="4">
        <v>2</v>
      </c>
      <c r="N776" t="s">
        <v>65</v>
      </c>
      <c r="O776" t="s">
        <v>66</v>
      </c>
      <c r="P776" s="4">
        <v>40.717891000000002</v>
      </c>
      <c r="Q776" s="4">
        <v>-73.979823999999994</v>
      </c>
      <c r="R776" s="4">
        <v>40.717885000000003</v>
      </c>
      <c r="S776" s="4">
        <v>-73.980845000000002</v>
      </c>
      <c r="T776" s="2">
        <v>44011</v>
      </c>
      <c r="U776" t="s">
        <v>49</v>
      </c>
      <c r="V776" t="s">
        <v>71</v>
      </c>
      <c r="W776" t="s">
        <v>51</v>
      </c>
      <c r="Y776" s="4">
        <v>124</v>
      </c>
      <c r="AE776" s="4">
        <v>40</v>
      </c>
      <c r="AF776" s="4">
        <v>42</v>
      </c>
      <c r="AG776" s="4">
        <v>42</v>
      </c>
      <c r="AM776" s="4">
        <v>124</v>
      </c>
      <c r="AN776" s="4">
        <v>124</v>
      </c>
      <c r="AO776" s="4">
        <v>124</v>
      </c>
    </row>
    <row r="777" spans="1:41" hidden="1" x14ac:dyDescent="0.2">
      <c r="A777" t="s">
        <v>1538</v>
      </c>
      <c r="B777" t="s">
        <v>1539</v>
      </c>
      <c r="C777" s="2">
        <v>43280</v>
      </c>
      <c r="D777" s="2">
        <v>44011</v>
      </c>
      <c r="E777" s="3">
        <v>849292</v>
      </c>
      <c r="F777" t="s">
        <v>1540</v>
      </c>
      <c r="G777" t="s">
        <v>99</v>
      </c>
      <c r="H777" t="s">
        <v>45</v>
      </c>
      <c r="I777" s="3">
        <v>10002</v>
      </c>
      <c r="J777" s="3">
        <v>1003330001</v>
      </c>
      <c r="K777" s="3">
        <v>1086089</v>
      </c>
      <c r="L777" t="s">
        <v>64</v>
      </c>
      <c r="M777" s="4">
        <v>2</v>
      </c>
      <c r="N777" t="s">
        <v>65</v>
      </c>
      <c r="O777" t="s">
        <v>66</v>
      </c>
      <c r="P777" s="4">
        <v>40.717891000000002</v>
      </c>
      <c r="Q777" s="4">
        <v>-73.979823999999994</v>
      </c>
      <c r="R777" s="4">
        <v>40.717885000000003</v>
      </c>
      <c r="S777" s="4">
        <v>-73.980845000000002</v>
      </c>
      <c r="T777" s="2">
        <v>44011</v>
      </c>
      <c r="U777" t="s">
        <v>49</v>
      </c>
      <c r="V777" t="s">
        <v>71</v>
      </c>
      <c r="W777" t="s">
        <v>51</v>
      </c>
      <c r="Y777" s="4">
        <v>206</v>
      </c>
      <c r="AC777" s="4">
        <v>2</v>
      </c>
      <c r="AD777" s="4">
        <v>1</v>
      </c>
      <c r="AE777" s="4">
        <v>20</v>
      </c>
      <c r="AF777" s="4">
        <v>145</v>
      </c>
      <c r="AG777" s="4">
        <v>42</v>
      </c>
      <c r="AM777" s="4">
        <v>208</v>
      </c>
      <c r="AN777" s="4">
        <v>208</v>
      </c>
      <c r="AO777" s="4">
        <v>208</v>
      </c>
    </row>
    <row r="778" spans="1:41" hidden="1" x14ac:dyDescent="0.2">
      <c r="A778" t="s">
        <v>1541</v>
      </c>
      <c r="B778" t="s">
        <v>1542</v>
      </c>
      <c r="C778" s="2">
        <v>43278</v>
      </c>
      <c r="D778" s="2">
        <v>43278</v>
      </c>
      <c r="E778" s="3">
        <v>1065</v>
      </c>
      <c r="F778" t="s">
        <v>319</v>
      </c>
      <c r="G778" t="s">
        <v>1543</v>
      </c>
      <c r="H778" t="s">
        <v>45</v>
      </c>
      <c r="I778" s="3">
        <v>10128</v>
      </c>
      <c r="J778" s="3">
        <v>1015380021</v>
      </c>
      <c r="K778" s="3">
        <v>1089874</v>
      </c>
      <c r="L778" t="s">
        <v>107</v>
      </c>
      <c r="M778" s="4">
        <v>5</v>
      </c>
      <c r="N778" t="s">
        <v>754</v>
      </c>
      <c r="O778" t="s">
        <v>109</v>
      </c>
      <c r="P778" s="4">
        <v>40.782043000000002</v>
      </c>
      <c r="Q778" s="4">
        <v>-73.949780000000004</v>
      </c>
      <c r="R778" s="4">
        <v>40.782311999999997</v>
      </c>
      <c r="S778" s="4">
        <v>-73.949468999999993</v>
      </c>
      <c r="T778" s="2">
        <v>43278</v>
      </c>
      <c r="U778" t="s">
        <v>49</v>
      </c>
      <c r="V778" t="s">
        <v>50</v>
      </c>
      <c r="W778" t="s">
        <v>51</v>
      </c>
      <c r="X778" s="4">
        <v>139</v>
      </c>
      <c r="AF778" s="4">
        <v>34</v>
      </c>
      <c r="AG778" s="4">
        <v>89</v>
      </c>
      <c r="AH778" s="4">
        <v>16</v>
      </c>
      <c r="AM778" s="4">
        <v>139</v>
      </c>
      <c r="AN778" s="4">
        <v>139</v>
      </c>
      <c r="AO778" s="4">
        <v>139</v>
      </c>
    </row>
    <row r="779" spans="1:41" hidden="1" x14ac:dyDescent="0.2">
      <c r="A779" t="s">
        <v>1541</v>
      </c>
      <c r="B779" t="s">
        <v>1542</v>
      </c>
      <c r="C779" s="2">
        <v>43278</v>
      </c>
      <c r="D779" s="2">
        <v>43278</v>
      </c>
      <c r="E779" s="3">
        <v>804760</v>
      </c>
      <c r="F779" t="s">
        <v>147</v>
      </c>
      <c r="G779" t="s">
        <v>753</v>
      </c>
      <c r="H779" t="s">
        <v>45</v>
      </c>
      <c r="I779" s="3">
        <v>10128</v>
      </c>
      <c r="J779" s="3">
        <v>1015380021</v>
      </c>
      <c r="K779" s="3">
        <v>1089873</v>
      </c>
      <c r="L779" t="s">
        <v>107</v>
      </c>
      <c r="M779" s="4">
        <v>5</v>
      </c>
      <c r="N779" t="s">
        <v>754</v>
      </c>
      <c r="O779" t="s">
        <v>109</v>
      </c>
      <c r="P779" s="4">
        <v>40.782775999999998</v>
      </c>
      <c r="Q779" s="4">
        <v>-73.949608999999995</v>
      </c>
      <c r="R779" s="4">
        <v>40.782311999999997</v>
      </c>
      <c r="S779" s="4">
        <v>-73.949468999999993</v>
      </c>
      <c r="T779" s="2">
        <v>43278</v>
      </c>
      <c r="U779" t="s">
        <v>49</v>
      </c>
      <c r="V779" t="s">
        <v>50</v>
      </c>
      <c r="W779" t="s">
        <v>51</v>
      </c>
      <c r="X779" s="4">
        <v>241</v>
      </c>
      <c r="Y779" s="4">
        <v>163</v>
      </c>
      <c r="AC779" s="4">
        <v>1</v>
      </c>
      <c r="AD779" s="4">
        <v>84</v>
      </c>
      <c r="AE779" s="4">
        <v>163</v>
      </c>
      <c r="AF779" s="4">
        <v>158</v>
      </c>
      <c r="AM779" s="4">
        <v>405</v>
      </c>
      <c r="AN779" s="4">
        <v>405</v>
      </c>
      <c r="AO779" s="4">
        <v>405</v>
      </c>
    </row>
    <row r="780" spans="1:41" hidden="1" x14ac:dyDescent="0.2">
      <c r="A780" t="s">
        <v>1541</v>
      </c>
      <c r="B780" t="s">
        <v>1542</v>
      </c>
      <c r="C780" s="2">
        <v>43278</v>
      </c>
      <c r="D780" s="2">
        <v>43278</v>
      </c>
      <c r="E780" s="3">
        <v>805276</v>
      </c>
      <c r="F780" t="s">
        <v>1544</v>
      </c>
      <c r="G780" t="s">
        <v>106</v>
      </c>
      <c r="H780" t="s">
        <v>45</v>
      </c>
      <c r="I780" s="3">
        <v>10128</v>
      </c>
      <c r="J780" s="3">
        <v>1015380021</v>
      </c>
      <c r="K780" s="3">
        <v>1078601</v>
      </c>
      <c r="L780" t="s">
        <v>107</v>
      </c>
      <c r="M780" s="4">
        <v>5</v>
      </c>
      <c r="N780" t="s">
        <v>754</v>
      </c>
      <c r="O780" t="s">
        <v>109</v>
      </c>
      <c r="P780" s="4">
        <v>40.782097</v>
      </c>
      <c r="Q780" s="4">
        <v>-73.948682000000005</v>
      </c>
      <c r="R780" s="4">
        <v>40.782311999999997</v>
      </c>
      <c r="S780" s="4">
        <v>-73.949468999999993</v>
      </c>
      <c r="T780" s="2">
        <v>43278</v>
      </c>
      <c r="U780" t="s">
        <v>49</v>
      </c>
      <c r="V780" t="s">
        <v>50</v>
      </c>
      <c r="W780" t="s">
        <v>51</v>
      </c>
      <c r="X780" s="4">
        <v>107</v>
      </c>
      <c r="AC780" s="4">
        <v>1</v>
      </c>
      <c r="AF780" s="4">
        <v>48</v>
      </c>
      <c r="AG780" s="4">
        <v>45</v>
      </c>
      <c r="AH780" s="4">
        <v>15</v>
      </c>
      <c r="AM780" s="4">
        <v>108</v>
      </c>
      <c r="AN780" s="4">
        <v>108</v>
      </c>
      <c r="AO780" s="4">
        <v>108</v>
      </c>
    </row>
    <row r="781" spans="1:41" hidden="1" x14ac:dyDescent="0.2">
      <c r="A781" t="s">
        <v>1545</v>
      </c>
      <c r="B781" t="s">
        <v>1546</v>
      </c>
      <c r="C781" s="2">
        <v>43277</v>
      </c>
      <c r="D781" s="2">
        <v>44194</v>
      </c>
      <c r="E781" s="3">
        <v>982777</v>
      </c>
      <c r="F781" t="s">
        <v>1058</v>
      </c>
      <c r="G781" t="s">
        <v>1547</v>
      </c>
      <c r="H781" t="s">
        <v>45</v>
      </c>
      <c r="I781" s="3">
        <v>10027</v>
      </c>
      <c r="J781" s="3">
        <v>1019530036</v>
      </c>
      <c r="K781" s="3">
        <v>1091680</v>
      </c>
      <c r="L781" t="s">
        <v>146</v>
      </c>
      <c r="M781" s="4">
        <v>9</v>
      </c>
      <c r="N781" t="s">
        <v>379</v>
      </c>
      <c r="O781" t="s">
        <v>177</v>
      </c>
      <c r="P781" s="4">
        <v>40.811625999999997</v>
      </c>
      <c r="Q781" s="4">
        <v>-73.950603000000001</v>
      </c>
      <c r="R781" s="4">
        <v>40.81156</v>
      </c>
      <c r="S781" s="4">
        <v>-73.951010999999994</v>
      </c>
      <c r="T781" s="2">
        <v>44194</v>
      </c>
      <c r="U781" t="s">
        <v>117</v>
      </c>
      <c r="V781" t="s">
        <v>71</v>
      </c>
      <c r="W781" t="s">
        <v>123</v>
      </c>
      <c r="X781" s="4">
        <v>71</v>
      </c>
      <c r="Z781" s="4">
        <v>45</v>
      </c>
      <c r="AC781" s="4">
        <v>1</v>
      </c>
      <c r="AD781" s="4">
        <v>57</v>
      </c>
      <c r="AE781" s="4">
        <v>24</v>
      </c>
      <c r="AF781" s="4">
        <v>31</v>
      </c>
      <c r="AG781" s="4">
        <v>5</v>
      </c>
      <c r="AL781" s="4">
        <v>117</v>
      </c>
      <c r="AN781" s="4">
        <v>117</v>
      </c>
      <c r="AO781" s="4">
        <v>117</v>
      </c>
    </row>
    <row r="782" spans="1:41" hidden="1" x14ac:dyDescent="0.2">
      <c r="A782" t="s">
        <v>1548</v>
      </c>
      <c r="B782" t="s">
        <v>1549</v>
      </c>
      <c r="C782" s="2">
        <v>43276</v>
      </c>
      <c r="D782" s="2">
        <v>43270</v>
      </c>
      <c r="E782" s="3">
        <v>42889</v>
      </c>
      <c r="F782" t="s">
        <v>1550</v>
      </c>
      <c r="G782" t="s">
        <v>1551</v>
      </c>
      <c r="H782" t="s">
        <v>45</v>
      </c>
      <c r="I782" s="3">
        <v>10032</v>
      </c>
      <c r="J782" s="3">
        <v>1021190028</v>
      </c>
      <c r="K782" s="3">
        <v>1062835</v>
      </c>
      <c r="L782" t="s">
        <v>114</v>
      </c>
      <c r="M782" s="4">
        <v>10</v>
      </c>
      <c r="N782" t="s">
        <v>762</v>
      </c>
      <c r="O782" t="s">
        <v>134</v>
      </c>
      <c r="P782" s="4">
        <v>40.835673</v>
      </c>
      <c r="Q782" s="4">
        <v>-73.940983000000003</v>
      </c>
      <c r="R782" s="4">
        <v>40.835631999999997</v>
      </c>
      <c r="S782" s="4">
        <v>-73.941449000000006</v>
      </c>
      <c r="T782" s="2">
        <v>43270</v>
      </c>
      <c r="U782" t="s">
        <v>49</v>
      </c>
      <c r="V782" t="s">
        <v>71</v>
      </c>
      <c r="W782" t="s">
        <v>51</v>
      </c>
      <c r="AA782" s="4">
        <v>24</v>
      </c>
      <c r="AE782" s="4">
        <v>1</v>
      </c>
      <c r="AF782" s="4">
        <v>13</v>
      </c>
      <c r="AG782" s="4">
        <v>10</v>
      </c>
      <c r="AM782" s="4">
        <v>24</v>
      </c>
      <c r="AN782" s="4">
        <v>24</v>
      </c>
      <c r="AO782" s="4">
        <v>24</v>
      </c>
    </row>
    <row r="783" spans="1:41" hidden="1" x14ac:dyDescent="0.2">
      <c r="A783" t="s">
        <v>1548</v>
      </c>
      <c r="B783" t="s">
        <v>1549</v>
      </c>
      <c r="C783" s="2">
        <v>43276</v>
      </c>
      <c r="D783" s="2">
        <v>43270</v>
      </c>
      <c r="E783" s="3">
        <v>43012</v>
      </c>
      <c r="F783" t="s">
        <v>1552</v>
      </c>
      <c r="G783" t="s">
        <v>1052</v>
      </c>
      <c r="H783" t="s">
        <v>45</v>
      </c>
      <c r="I783" s="3">
        <v>10032</v>
      </c>
      <c r="J783" s="3">
        <v>1021220142</v>
      </c>
      <c r="K783" s="3">
        <v>1062944</v>
      </c>
      <c r="L783" t="s">
        <v>114</v>
      </c>
      <c r="M783" s="4">
        <v>10</v>
      </c>
      <c r="N783" t="s">
        <v>762</v>
      </c>
      <c r="O783" t="s">
        <v>134</v>
      </c>
      <c r="P783" s="4">
        <v>40.837265000000002</v>
      </c>
      <c r="Q783" s="4">
        <v>-73.940883999999997</v>
      </c>
      <c r="R783" s="4">
        <v>40.837232</v>
      </c>
      <c r="S783" s="4">
        <v>-73.941385999999994</v>
      </c>
      <c r="T783" s="2">
        <v>43270</v>
      </c>
      <c r="U783" t="s">
        <v>49</v>
      </c>
      <c r="V783" t="s">
        <v>71</v>
      </c>
      <c r="W783" t="s">
        <v>51</v>
      </c>
      <c r="AA783" s="4">
        <v>20</v>
      </c>
      <c r="AE783" s="4">
        <v>1</v>
      </c>
      <c r="AF783" s="4">
        <v>12</v>
      </c>
      <c r="AG783" s="4">
        <v>7</v>
      </c>
      <c r="AM783" s="4">
        <v>20</v>
      </c>
      <c r="AN783" s="4">
        <v>20</v>
      </c>
      <c r="AO783" s="4">
        <v>20</v>
      </c>
    </row>
    <row r="784" spans="1:41" hidden="1" x14ac:dyDescent="0.2">
      <c r="A784" t="s">
        <v>1553</v>
      </c>
      <c r="B784" t="s">
        <v>1554</v>
      </c>
      <c r="C784" s="2">
        <v>43273</v>
      </c>
      <c r="D784" s="2">
        <v>43273</v>
      </c>
      <c r="E784" s="3">
        <v>44024</v>
      </c>
      <c r="F784" t="s">
        <v>1555</v>
      </c>
      <c r="G784" t="s">
        <v>1556</v>
      </c>
      <c r="H784" t="s">
        <v>45</v>
      </c>
      <c r="I784" s="3">
        <v>10024</v>
      </c>
      <c r="J784" s="3">
        <v>1012450070</v>
      </c>
      <c r="K784" s="3">
        <v>1033820</v>
      </c>
      <c r="L784" t="s">
        <v>46</v>
      </c>
      <c r="M784" s="4">
        <v>6</v>
      </c>
      <c r="N784" t="s">
        <v>1557</v>
      </c>
      <c r="O784" t="s">
        <v>285</v>
      </c>
      <c r="P784" s="4">
        <v>40.787072000000002</v>
      </c>
      <c r="Q784" s="4">
        <v>-73.979200000000006</v>
      </c>
      <c r="R784" s="4">
        <v>40.787182000000001</v>
      </c>
      <c r="S784" s="4">
        <v>-73.979451999999995</v>
      </c>
      <c r="T784" s="2">
        <v>43273</v>
      </c>
      <c r="U784" t="s">
        <v>49</v>
      </c>
      <c r="V784" t="s">
        <v>50</v>
      </c>
      <c r="W784" t="s">
        <v>51</v>
      </c>
      <c r="X784" s="4">
        <v>24</v>
      </c>
      <c r="Z784" s="4">
        <v>16</v>
      </c>
      <c r="AD784" s="4">
        <v>40</v>
      </c>
      <c r="AL784" s="4">
        <v>40</v>
      </c>
      <c r="AN784" s="4">
        <v>40</v>
      </c>
      <c r="AO784" s="4">
        <v>40</v>
      </c>
    </row>
    <row r="785" spans="1:41" hidden="1" x14ac:dyDescent="0.2">
      <c r="A785" t="s">
        <v>1558</v>
      </c>
      <c r="B785" t="s">
        <v>1559</v>
      </c>
      <c r="C785" s="2">
        <v>43271</v>
      </c>
      <c r="E785" s="3">
        <v>1182</v>
      </c>
      <c r="F785" t="s">
        <v>1560</v>
      </c>
      <c r="G785" t="s">
        <v>106</v>
      </c>
      <c r="H785" t="s">
        <v>45</v>
      </c>
      <c r="I785" s="3">
        <v>10029</v>
      </c>
      <c r="J785" s="3">
        <v>1016780001</v>
      </c>
      <c r="K785" s="3">
        <v>1081081</v>
      </c>
      <c r="L785" t="s">
        <v>153</v>
      </c>
      <c r="M785" s="4">
        <v>8</v>
      </c>
      <c r="N785" t="s">
        <v>126</v>
      </c>
      <c r="O785" t="s">
        <v>267</v>
      </c>
      <c r="P785" s="4">
        <v>40.791362999999997</v>
      </c>
      <c r="Q785" s="4">
        <v>-73.941884999999999</v>
      </c>
      <c r="R785" s="4">
        <v>40.790774999999996</v>
      </c>
      <c r="S785" s="4">
        <v>-73.940776999999997</v>
      </c>
      <c r="U785" t="s">
        <v>49</v>
      </c>
      <c r="V785" t="s">
        <v>71</v>
      </c>
      <c r="W785" t="s">
        <v>51</v>
      </c>
      <c r="Y785" s="4">
        <v>118</v>
      </c>
      <c r="AD785" s="4">
        <v>1</v>
      </c>
      <c r="AE785" s="4">
        <v>19</v>
      </c>
      <c r="AF785" s="4">
        <v>78</v>
      </c>
      <c r="AG785" s="4">
        <v>20</v>
      </c>
      <c r="AM785" s="4">
        <v>118</v>
      </c>
      <c r="AN785" s="4">
        <v>118</v>
      </c>
      <c r="AO785" s="4">
        <v>118</v>
      </c>
    </row>
    <row r="786" spans="1:41" hidden="1" x14ac:dyDescent="0.2">
      <c r="A786" t="s">
        <v>1558</v>
      </c>
      <c r="B786" t="s">
        <v>1559</v>
      </c>
      <c r="C786" s="2">
        <v>43271</v>
      </c>
      <c r="E786" s="3">
        <v>1946</v>
      </c>
      <c r="F786" t="s">
        <v>1561</v>
      </c>
      <c r="G786" t="s">
        <v>237</v>
      </c>
      <c r="H786" t="s">
        <v>45</v>
      </c>
      <c r="I786" s="3">
        <v>10029</v>
      </c>
      <c r="J786" s="3">
        <v>1016560001</v>
      </c>
      <c r="K786" s="3">
        <v>1080689</v>
      </c>
      <c r="L786" t="s">
        <v>153</v>
      </c>
      <c r="M786" s="4">
        <v>8</v>
      </c>
      <c r="N786" t="s">
        <v>126</v>
      </c>
      <c r="O786" t="s">
        <v>267</v>
      </c>
      <c r="P786" s="4">
        <v>40.791665999999999</v>
      </c>
      <c r="Q786" s="4">
        <v>-73.944593999999995</v>
      </c>
      <c r="R786" s="4">
        <v>40.791772000000002</v>
      </c>
      <c r="S786" s="4">
        <v>-73.943061999999998</v>
      </c>
      <c r="U786" t="s">
        <v>49</v>
      </c>
      <c r="V786" t="s">
        <v>71</v>
      </c>
      <c r="W786" t="s">
        <v>51</v>
      </c>
      <c r="Y786" s="4">
        <v>114</v>
      </c>
      <c r="AD786" s="4">
        <v>1</v>
      </c>
      <c r="AE786" s="4">
        <v>19</v>
      </c>
      <c r="AF786" s="4">
        <v>75</v>
      </c>
      <c r="AG786" s="4">
        <v>19</v>
      </c>
      <c r="AM786" s="4">
        <v>114</v>
      </c>
      <c r="AN786" s="4">
        <v>114</v>
      </c>
      <c r="AO786" s="4">
        <v>114</v>
      </c>
    </row>
    <row r="787" spans="1:41" hidden="1" x14ac:dyDescent="0.2">
      <c r="A787" t="s">
        <v>1558</v>
      </c>
      <c r="B787" t="s">
        <v>1559</v>
      </c>
      <c r="C787" s="2">
        <v>43271</v>
      </c>
      <c r="E787" s="3">
        <v>804638</v>
      </c>
      <c r="F787" t="s">
        <v>231</v>
      </c>
      <c r="G787" t="s">
        <v>1487</v>
      </c>
      <c r="H787" t="s">
        <v>45</v>
      </c>
      <c r="I787" s="3">
        <v>10029</v>
      </c>
      <c r="J787" s="3">
        <v>1016560001</v>
      </c>
      <c r="K787" s="3">
        <v>1080691</v>
      </c>
      <c r="L787" t="s">
        <v>153</v>
      </c>
      <c r="M787" s="4">
        <v>8</v>
      </c>
      <c r="N787" t="s">
        <v>126</v>
      </c>
      <c r="O787" t="s">
        <v>267</v>
      </c>
      <c r="P787" s="4">
        <v>40.791072999999997</v>
      </c>
      <c r="Q787" s="4">
        <v>-73.943475000000007</v>
      </c>
      <c r="R787" s="4">
        <v>40.791772000000002</v>
      </c>
      <c r="S787" s="4">
        <v>-73.943061999999998</v>
      </c>
      <c r="U787" t="s">
        <v>49</v>
      </c>
      <c r="V787" t="s">
        <v>71</v>
      </c>
      <c r="W787" t="s">
        <v>51</v>
      </c>
      <c r="Y787" s="4">
        <v>116</v>
      </c>
      <c r="AD787" s="4">
        <v>1</v>
      </c>
      <c r="AE787" s="4">
        <v>19</v>
      </c>
      <c r="AF787" s="4">
        <v>77</v>
      </c>
      <c r="AG787" s="4">
        <v>19</v>
      </c>
      <c r="AM787" s="4">
        <v>116</v>
      </c>
      <c r="AN787" s="4">
        <v>116</v>
      </c>
      <c r="AO787" s="4">
        <v>116</v>
      </c>
    </row>
    <row r="788" spans="1:41" hidden="1" x14ac:dyDescent="0.2">
      <c r="A788" t="s">
        <v>1558</v>
      </c>
      <c r="B788" t="s">
        <v>1559</v>
      </c>
      <c r="C788" s="2">
        <v>43271</v>
      </c>
      <c r="E788" s="3">
        <v>804639</v>
      </c>
      <c r="F788" t="s">
        <v>1122</v>
      </c>
      <c r="G788" t="s">
        <v>1487</v>
      </c>
      <c r="H788" t="s">
        <v>45</v>
      </c>
      <c r="I788" s="3">
        <v>10029</v>
      </c>
      <c r="J788" s="3">
        <v>1016780001</v>
      </c>
      <c r="K788" s="3">
        <v>1081083</v>
      </c>
      <c r="L788" t="s">
        <v>153</v>
      </c>
      <c r="M788" s="4">
        <v>8</v>
      </c>
      <c r="N788" t="s">
        <v>126</v>
      </c>
      <c r="O788" t="s">
        <v>267</v>
      </c>
      <c r="P788" s="4">
        <v>40.790264999999998</v>
      </c>
      <c r="Q788" s="4">
        <v>-73.941560999999993</v>
      </c>
      <c r="R788" s="4">
        <v>40.790774999999996</v>
      </c>
      <c r="S788" s="4">
        <v>-73.940776999999997</v>
      </c>
      <c r="U788" t="s">
        <v>49</v>
      </c>
      <c r="V788" t="s">
        <v>71</v>
      </c>
      <c r="W788" t="s">
        <v>51</v>
      </c>
      <c r="X788" s="4">
        <v>1</v>
      </c>
      <c r="Y788" s="4">
        <v>113</v>
      </c>
      <c r="Z788" s="4">
        <v>4</v>
      </c>
      <c r="AD788" s="4">
        <v>1</v>
      </c>
      <c r="AE788" s="4">
        <v>19</v>
      </c>
      <c r="AF788" s="4">
        <v>79</v>
      </c>
      <c r="AG788" s="4">
        <v>19</v>
      </c>
      <c r="AM788" s="4">
        <v>118</v>
      </c>
      <c r="AN788" s="4">
        <v>118</v>
      </c>
      <c r="AO788" s="4">
        <v>118</v>
      </c>
    </row>
    <row r="789" spans="1:41" hidden="1" x14ac:dyDescent="0.2">
      <c r="A789" t="s">
        <v>1558</v>
      </c>
      <c r="B789" t="s">
        <v>1559</v>
      </c>
      <c r="C789" s="2">
        <v>43271</v>
      </c>
      <c r="E789" s="3">
        <v>804640</v>
      </c>
      <c r="F789" t="s">
        <v>1562</v>
      </c>
      <c r="G789" t="s">
        <v>1487</v>
      </c>
      <c r="H789" t="s">
        <v>45</v>
      </c>
      <c r="I789" s="3">
        <v>10029</v>
      </c>
      <c r="J789" s="3">
        <v>1016780001</v>
      </c>
      <c r="K789" s="3">
        <v>1081085</v>
      </c>
      <c r="L789" t="s">
        <v>153</v>
      </c>
      <c r="M789" s="4">
        <v>8</v>
      </c>
      <c r="N789" t="s">
        <v>126</v>
      </c>
      <c r="O789" t="s">
        <v>267</v>
      </c>
      <c r="P789" s="4">
        <v>40.790086000000002</v>
      </c>
      <c r="Q789" s="4">
        <v>-73.941139000000007</v>
      </c>
      <c r="R789" s="4">
        <v>40.790774999999996</v>
      </c>
      <c r="S789" s="4">
        <v>-73.940776999999997</v>
      </c>
      <c r="U789" t="s">
        <v>49</v>
      </c>
      <c r="V789" t="s">
        <v>71</v>
      </c>
      <c r="W789" t="s">
        <v>51</v>
      </c>
      <c r="X789" s="4">
        <v>1</v>
      </c>
      <c r="Y789" s="4">
        <v>116</v>
      </c>
      <c r="Z789" s="4">
        <v>1</v>
      </c>
      <c r="AE789" s="4">
        <v>19</v>
      </c>
      <c r="AF789" s="4">
        <v>78</v>
      </c>
      <c r="AG789" s="4">
        <v>21</v>
      </c>
      <c r="AM789" s="4">
        <v>118</v>
      </c>
      <c r="AN789" s="4">
        <v>118</v>
      </c>
      <c r="AO789" s="4">
        <v>118</v>
      </c>
    </row>
    <row r="790" spans="1:41" hidden="1" x14ac:dyDescent="0.2">
      <c r="A790" t="s">
        <v>1558</v>
      </c>
      <c r="B790" t="s">
        <v>1559</v>
      </c>
      <c r="C790" s="2">
        <v>43271</v>
      </c>
      <c r="E790" s="3">
        <v>804647</v>
      </c>
      <c r="F790" t="s">
        <v>1078</v>
      </c>
      <c r="G790" t="s">
        <v>577</v>
      </c>
      <c r="H790" t="s">
        <v>45</v>
      </c>
      <c r="I790" s="3">
        <v>10029</v>
      </c>
      <c r="J790" s="3">
        <v>1016780001</v>
      </c>
      <c r="K790" s="3">
        <v>1081080</v>
      </c>
      <c r="L790" t="s">
        <v>153</v>
      </c>
      <c r="M790" s="4">
        <v>8</v>
      </c>
      <c r="N790" t="s">
        <v>126</v>
      </c>
      <c r="O790" t="s">
        <v>267</v>
      </c>
      <c r="P790" s="4">
        <v>40.791403000000003</v>
      </c>
      <c r="Q790" s="4">
        <v>-73.940331999999998</v>
      </c>
      <c r="R790" s="4">
        <v>40.790774999999996</v>
      </c>
      <c r="S790" s="4">
        <v>-73.940776999999997</v>
      </c>
      <c r="U790" t="s">
        <v>49</v>
      </c>
      <c r="V790" t="s">
        <v>71</v>
      </c>
      <c r="W790" t="s">
        <v>51</v>
      </c>
      <c r="Y790" s="4">
        <v>117</v>
      </c>
      <c r="Z790" s="4">
        <v>1</v>
      </c>
      <c r="AD790" s="4">
        <v>1</v>
      </c>
      <c r="AE790" s="4">
        <v>19</v>
      </c>
      <c r="AF790" s="4">
        <v>78</v>
      </c>
      <c r="AG790" s="4">
        <v>20</v>
      </c>
      <c r="AM790" s="4">
        <v>118</v>
      </c>
      <c r="AN790" s="4">
        <v>118</v>
      </c>
      <c r="AO790" s="4">
        <v>118</v>
      </c>
    </row>
    <row r="791" spans="1:41" hidden="1" x14ac:dyDescent="0.2">
      <c r="A791" t="s">
        <v>1558</v>
      </c>
      <c r="B791" t="s">
        <v>1559</v>
      </c>
      <c r="C791" s="2">
        <v>43271</v>
      </c>
      <c r="E791" s="3">
        <v>804648</v>
      </c>
      <c r="F791" t="s">
        <v>1083</v>
      </c>
      <c r="G791" t="s">
        <v>577</v>
      </c>
      <c r="H791" t="s">
        <v>45</v>
      </c>
      <c r="I791" s="3">
        <v>10029</v>
      </c>
      <c r="J791" s="3">
        <v>1016780001</v>
      </c>
      <c r="K791" s="3">
        <v>1081079</v>
      </c>
      <c r="L791" t="s">
        <v>153</v>
      </c>
      <c r="M791" s="4">
        <v>8</v>
      </c>
      <c r="N791" t="s">
        <v>126</v>
      </c>
      <c r="O791" t="s">
        <v>267</v>
      </c>
      <c r="P791" s="4">
        <v>40.791243999999999</v>
      </c>
      <c r="Q791" s="4">
        <v>-73.939957000000007</v>
      </c>
      <c r="R791" s="4">
        <v>40.790774999999996</v>
      </c>
      <c r="S791" s="4">
        <v>-73.940776999999997</v>
      </c>
      <c r="U791" t="s">
        <v>49</v>
      </c>
      <c r="V791" t="s">
        <v>71</v>
      </c>
      <c r="W791" t="s">
        <v>51</v>
      </c>
      <c r="Y791" s="4">
        <v>115</v>
      </c>
      <c r="Z791" s="4">
        <v>3</v>
      </c>
      <c r="AD791" s="4">
        <v>1</v>
      </c>
      <c r="AE791" s="4">
        <v>19</v>
      </c>
      <c r="AF791" s="4">
        <v>80</v>
      </c>
      <c r="AG791" s="4">
        <v>18</v>
      </c>
      <c r="AM791" s="4">
        <v>118</v>
      </c>
      <c r="AN791" s="4">
        <v>118</v>
      </c>
      <c r="AO791" s="4">
        <v>118</v>
      </c>
    </row>
    <row r="792" spans="1:41" hidden="1" x14ac:dyDescent="0.2">
      <c r="A792" t="s">
        <v>1558</v>
      </c>
      <c r="B792" t="s">
        <v>1559</v>
      </c>
      <c r="C792" s="2">
        <v>43271</v>
      </c>
      <c r="E792" s="3">
        <v>804717</v>
      </c>
      <c r="F792" t="s">
        <v>547</v>
      </c>
      <c r="G792" t="s">
        <v>1487</v>
      </c>
      <c r="H792" t="s">
        <v>45</v>
      </c>
      <c r="I792" s="3">
        <v>10029</v>
      </c>
      <c r="J792" s="3">
        <v>1016560001</v>
      </c>
      <c r="K792" s="3">
        <v>1080690</v>
      </c>
      <c r="L792" t="s">
        <v>153</v>
      </c>
      <c r="M792" s="4">
        <v>8</v>
      </c>
      <c r="N792" t="s">
        <v>126</v>
      </c>
      <c r="O792" t="s">
        <v>267</v>
      </c>
      <c r="P792" s="4">
        <v>40.791370000000001</v>
      </c>
      <c r="Q792" s="4">
        <v>-73.944179000000005</v>
      </c>
      <c r="R792" s="4">
        <v>40.791772000000002</v>
      </c>
      <c r="S792" s="4">
        <v>-73.943061999999998</v>
      </c>
      <c r="U792" t="s">
        <v>49</v>
      </c>
      <c r="V792" t="s">
        <v>71</v>
      </c>
      <c r="W792" t="s">
        <v>51</v>
      </c>
      <c r="Y792" s="4">
        <v>115</v>
      </c>
      <c r="AD792" s="4">
        <v>1</v>
      </c>
      <c r="AE792" s="4">
        <v>19</v>
      </c>
      <c r="AF792" s="4">
        <v>76</v>
      </c>
      <c r="AG792" s="4">
        <v>19</v>
      </c>
      <c r="AM792" s="4">
        <v>115</v>
      </c>
      <c r="AN792" s="4">
        <v>115</v>
      </c>
      <c r="AO792" s="4">
        <v>115</v>
      </c>
    </row>
    <row r="793" spans="1:41" hidden="1" x14ac:dyDescent="0.2">
      <c r="A793" t="s">
        <v>1558</v>
      </c>
      <c r="B793" t="s">
        <v>1559</v>
      </c>
      <c r="C793" s="2">
        <v>43271</v>
      </c>
      <c r="E793" s="3">
        <v>804823</v>
      </c>
      <c r="F793" t="s">
        <v>1563</v>
      </c>
      <c r="G793" t="s">
        <v>339</v>
      </c>
      <c r="H793" t="s">
        <v>45</v>
      </c>
      <c r="I793" s="3">
        <v>10029</v>
      </c>
      <c r="J793" s="3">
        <v>1016780001</v>
      </c>
      <c r="K793" s="3">
        <v>1081084</v>
      </c>
      <c r="L793" t="s">
        <v>153</v>
      </c>
      <c r="M793" s="4">
        <v>8</v>
      </c>
      <c r="N793" t="s">
        <v>126</v>
      </c>
      <c r="O793" t="s">
        <v>267</v>
      </c>
      <c r="P793" s="4">
        <v>40.790016999999999</v>
      </c>
      <c r="Q793" s="4">
        <v>-73.939791999999997</v>
      </c>
      <c r="R793" s="4">
        <v>40.790774999999996</v>
      </c>
      <c r="S793" s="4">
        <v>-73.940776999999997</v>
      </c>
      <c r="U793" t="s">
        <v>49</v>
      </c>
      <c r="V793" t="s">
        <v>71</v>
      </c>
      <c r="W793" t="s">
        <v>51</v>
      </c>
      <c r="Y793" s="4">
        <v>118</v>
      </c>
      <c r="AD793" s="4">
        <v>1</v>
      </c>
      <c r="AE793" s="4">
        <v>19</v>
      </c>
      <c r="AF793" s="4">
        <v>77</v>
      </c>
      <c r="AG793" s="4">
        <v>21</v>
      </c>
      <c r="AM793" s="4">
        <v>118</v>
      </c>
      <c r="AN793" s="4">
        <v>118</v>
      </c>
      <c r="AO793" s="4">
        <v>118</v>
      </c>
    </row>
    <row r="794" spans="1:41" hidden="1" x14ac:dyDescent="0.2">
      <c r="A794" t="s">
        <v>1558</v>
      </c>
      <c r="B794" t="s">
        <v>1559</v>
      </c>
      <c r="C794" s="2">
        <v>43271</v>
      </c>
      <c r="E794" s="3">
        <v>804824</v>
      </c>
      <c r="F794" t="s">
        <v>1564</v>
      </c>
      <c r="G794" t="s">
        <v>339</v>
      </c>
      <c r="H794" t="s">
        <v>45</v>
      </c>
      <c r="I794" s="3">
        <v>10029</v>
      </c>
      <c r="J794" s="3">
        <v>1016780001</v>
      </c>
      <c r="K794" s="3">
        <v>1081078</v>
      </c>
      <c r="L794" t="s">
        <v>153</v>
      </c>
      <c r="M794" s="4">
        <v>8</v>
      </c>
      <c r="N794" t="s">
        <v>126</v>
      </c>
      <c r="O794" t="s">
        <v>267</v>
      </c>
      <c r="P794" s="4">
        <v>40.790376000000002</v>
      </c>
      <c r="Q794" s="4">
        <v>-73.939532</v>
      </c>
      <c r="R794" s="4">
        <v>40.790774999999996</v>
      </c>
      <c r="S794" s="4">
        <v>-73.940776999999997</v>
      </c>
      <c r="U794" t="s">
        <v>49</v>
      </c>
      <c r="V794" t="s">
        <v>71</v>
      </c>
      <c r="W794" t="s">
        <v>51</v>
      </c>
      <c r="Y794" s="4">
        <v>117</v>
      </c>
      <c r="Z794" s="4">
        <v>1</v>
      </c>
      <c r="AD794" s="4">
        <v>1</v>
      </c>
      <c r="AE794" s="4">
        <v>19</v>
      </c>
      <c r="AF794" s="4">
        <v>78</v>
      </c>
      <c r="AG794" s="4">
        <v>20</v>
      </c>
      <c r="AM794" s="4">
        <v>118</v>
      </c>
      <c r="AN794" s="4">
        <v>118</v>
      </c>
      <c r="AO794" s="4">
        <v>118</v>
      </c>
    </row>
    <row r="795" spans="1:41" hidden="1" x14ac:dyDescent="0.2">
      <c r="A795" t="s">
        <v>1558</v>
      </c>
      <c r="B795" t="s">
        <v>1559</v>
      </c>
      <c r="C795" s="2">
        <v>43271</v>
      </c>
      <c r="E795" s="3">
        <v>805279</v>
      </c>
      <c r="F795" t="s">
        <v>1564</v>
      </c>
      <c r="G795" t="s">
        <v>106</v>
      </c>
      <c r="H795" t="s">
        <v>45</v>
      </c>
      <c r="I795" s="3">
        <v>10029</v>
      </c>
      <c r="J795" s="3">
        <v>1016560001</v>
      </c>
      <c r="K795" s="3">
        <v>1084322</v>
      </c>
      <c r="L795" t="s">
        <v>153</v>
      </c>
      <c r="M795" s="4">
        <v>8</v>
      </c>
      <c r="N795" t="s">
        <v>126</v>
      </c>
      <c r="O795" t="s">
        <v>267</v>
      </c>
      <c r="P795" s="4">
        <v>40.791066999999998</v>
      </c>
      <c r="Q795" s="4">
        <v>-73.942127999999997</v>
      </c>
      <c r="R795" s="4">
        <v>40.791772000000002</v>
      </c>
      <c r="S795" s="4">
        <v>-73.943061999999998</v>
      </c>
      <c r="U795" t="s">
        <v>49</v>
      </c>
      <c r="V795" t="s">
        <v>71</v>
      </c>
      <c r="W795" t="s">
        <v>51</v>
      </c>
      <c r="Y795" s="4">
        <v>116</v>
      </c>
      <c r="AD795" s="4">
        <v>1</v>
      </c>
      <c r="AE795" s="4">
        <v>19</v>
      </c>
      <c r="AF795" s="4">
        <v>76</v>
      </c>
      <c r="AG795" s="4">
        <v>20</v>
      </c>
      <c r="AM795" s="4">
        <v>116</v>
      </c>
      <c r="AN795" s="4">
        <v>116</v>
      </c>
      <c r="AO795" s="4">
        <v>116</v>
      </c>
    </row>
    <row r="796" spans="1:41" hidden="1" x14ac:dyDescent="0.2">
      <c r="A796" t="s">
        <v>1558</v>
      </c>
      <c r="B796" t="s">
        <v>1559</v>
      </c>
      <c r="C796" s="2">
        <v>43271</v>
      </c>
      <c r="E796" s="3">
        <v>805280</v>
      </c>
      <c r="F796" t="s">
        <v>1565</v>
      </c>
      <c r="G796" t="s">
        <v>106</v>
      </c>
      <c r="H796" t="s">
        <v>45</v>
      </c>
      <c r="I796" s="3">
        <v>10029</v>
      </c>
      <c r="J796" s="3">
        <v>1016780001</v>
      </c>
      <c r="K796" s="3">
        <v>1081082</v>
      </c>
      <c r="L796" t="s">
        <v>153</v>
      </c>
      <c r="M796" s="4">
        <v>8</v>
      </c>
      <c r="N796" t="s">
        <v>126</v>
      </c>
      <c r="O796" t="s">
        <v>267</v>
      </c>
      <c r="P796" s="4">
        <v>40.791035999999998</v>
      </c>
      <c r="Q796" s="4">
        <v>-73.942124000000007</v>
      </c>
      <c r="R796" s="4">
        <v>40.790774999999996</v>
      </c>
      <c r="S796" s="4">
        <v>-73.940776999999997</v>
      </c>
      <c r="U796" t="s">
        <v>49</v>
      </c>
      <c r="V796" t="s">
        <v>71</v>
      </c>
      <c r="W796" t="s">
        <v>51</v>
      </c>
      <c r="Y796" s="4">
        <v>116</v>
      </c>
      <c r="Z796" s="4">
        <v>2</v>
      </c>
      <c r="AD796" s="4">
        <v>1</v>
      </c>
      <c r="AE796" s="4">
        <v>19</v>
      </c>
      <c r="AF796" s="4">
        <v>79</v>
      </c>
      <c r="AG796" s="4">
        <v>19</v>
      </c>
      <c r="AM796" s="4">
        <v>118</v>
      </c>
      <c r="AN796" s="4">
        <v>118</v>
      </c>
      <c r="AO796" s="4">
        <v>118</v>
      </c>
    </row>
    <row r="797" spans="1:41" hidden="1" x14ac:dyDescent="0.2">
      <c r="A797" t="s">
        <v>1558</v>
      </c>
      <c r="B797" t="s">
        <v>1559</v>
      </c>
      <c r="C797" s="2">
        <v>43271</v>
      </c>
      <c r="E797" s="3">
        <v>805281</v>
      </c>
      <c r="F797" t="s">
        <v>1566</v>
      </c>
      <c r="G797" t="s">
        <v>106</v>
      </c>
      <c r="H797" t="s">
        <v>45</v>
      </c>
      <c r="I797" s="3">
        <v>10029</v>
      </c>
      <c r="J797" s="3">
        <v>1016560001</v>
      </c>
      <c r="K797" s="3">
        <v>1080693</v>
      </c>
      <c r="L797" t="s">
        <v>153</v>
      </c>
      <c r="M797" s="4">
        <v>8</v>
      </c>
      <c r="N797" t="s">
        <v>126</v>
      </c>
      <c r="O797" t="s">
        <v>267</v>
      </c>
      <c r="P797" s="4">
        <v>40.791370999999998</v>
      </c>
      <c r="Q797" s="4">
        <v>-73.941907</v>
      </c>
      <c r="R797" s="4">
        <v>40.791772000000002</v>
      </c>
      <c r="S797" s="4">
        <v>-73.943061999999998</v>
      </c>
      <c r="U797" t="s">
        <v>49</v>
      </c>
      <c r="V797" t="s">
        <v>71</v>
      </c>
      <c r="W797" t="s">
        <v>51</v>
      </c>
      <c r="Y797" s="4">
        <v>114</v>
      </c>
      <c r="AE797" s="4">
        <v>19</v>
      </c>
      <c r="AF797" s="4">
        <v>76</v>
      </c>
      <c r="AG797" s="4">
        <v>19</v>
      </c>
      <c r="AM797" s="4">
        <v>114</v>
      </c>
      <c r="AN797" s="4">
        <v>114</v>
      </c>
      <c r="AO797" s="4">
        <v>114</v>
      </c>
    </row>
    <row r="798" spans="1:41" hidden="1" x14ac:dyDescent="0.2">
      <c r="A798" t="s">
        <v>1558</v>
      </c>
      <c r="B798" t="s">
        <v>1559</v>
      </c>
      <c r="C798" s="2">
        <v>43271</v>
      </c>
      <c r="E798" s="3">
        <v>805394</v>
      </c>
      <c r="F798" t="s">
        <v>1567</v>
      </c>
      <c r="G798" t="s">
        <v>237</v>
      </c>
      <c r="H798" t="s">
        <v>45</v>
      </c>
      <c r="I798" s="3">
        <v>10029</v>
      </c>
      <c r="J798" s="3">
        <v>1016560001</v>
      </c>
      <c r="K798" s="3">
        <v>1080688</v>
      </c>
      <c r="L798" t="s">
        <v>153</v>
      </c>
      <c r="M798" s="4">
        <v>8</v>
      </c>
      <c r="N798" t="s">
        <v>126</v>
      </c>
      <c r="O798" t="s">
        <v>267</v>
      </c>
      <c r="P798" s="4">
        <v>40.792374000000002</v>
      </c>
      <c r="Q798" s="4">
        <v>-73.944073000000003</v>
      </c>
      <c r="R798" s="4">
        <v>40.791772000000002</v>
      </c>
      <c r="S798" s="4">
        <v>-73.943061999999998</v>
      </c>
      <c r="U798" t="s">
        <v>49</v>
      </c>
      <c r="V798" t="s">
        <v>71</v>
      </c>
      <c r="W798" t="s">
        <v>51</v>
      </c>
      <c r="Y798" s="4">
        <v>115</v>
      </c>
      <c r="AD798" s="4">
        <v>1</v>
      </c>
      <c r="AE798" s="4">
        <v>19</v>
      </c>
      <c r="AF798" s="4">
        <v>76</v>
      </c>
      <c r="AG798" s="4">
        <v>19</v>
      </c>
      <c r="AM798" s="4">
        <v>115</v>
      </c>
      <c r="AN798" s="4">
        <v>115</v>
      </c>
      <c r="AO798" s="4">
        <v>115</v>
      </c>
    </row>
    <row r="799" spans="1:41" hidden="1" x14ac:dyDescent="0.2">
      <c r="A799" t="s">
        <v>1568</v>
      </c>
      <c r="B799" t="s">
        <v>1569</v>
      </c>
      <c r="C799" s="2">
        <v>43271</v>
      </c>
      <c r="D799" s="2">
        <v>45370</v>
      </c>
      <c r="E799" s="3">
        <v>32960</v>
      </c>
      <c r="F799" t="s">
        <v>56</v>
      </c>
      <c r="G799" t="s">
        <v>862</v>
      </c>
      <c r="H799" t="s">
        <v>45</v>
      </c>
      <c r="I799" s="3">
        <v>10036</v>
      </c>
      <c r="J799" s="3">
        <v>1009960014</v>
      </c>
      <c r="K799" s="3">
        <v>1022613</v>
      </c>
      <c r="L799" t="s">
        <v>655</v>
      </c>
      <c r="M799" s="4">
        <v>4</v>
      </c>
      <c r="N799" t="s">
        <v>429</v>
      </c>
      <c r="O799" t="s">
        <v>1330</v>
      </c>
      <c r="P799" s="4">
        <v>40.755873000000001</v>
      </c>
      <c r="Q799" s="4">
        <v>-73.984453999999999</v>
      </c>
      <c r="R799" s="4">
        <v>40.756292999999999</v>
      </c>
      <c r="S799" s="4">
        <v>-73.984876</v>
      </c>
      <c r="T799" s="2">
        <v>45370</v>
      </c>
      <c r="U799" t="s">
        <v>49</v>
      </c>
      <c r="V799" t="s">
        <v>71</v>
      </c>
      <c r="W799" t="s">
        <v>51</v>
      </c>
      <c r="Y799" s="4">
        <v>281</v>
      </c>
      <c r="Z799" s="4">
        <v>10</v>
      </c>
      <c r="AD799" s="4">
        <v>291</v>
      </c>
      <c r="AL799" s="4">
        <v>291</v>
      </c>
      <c r="AN799" s="4">
        <v>291</v>
      </c>
      <c r="AO799" s="4">
        <v>291</v>
      </c>
    </row>
    <row r="800" spans="1:41" hidden="1" x14ac:dyDescent="0.2">
      <c r="A800" t="s">
        <v>1570</v>
      </c>
      <c r="B800" t="s">
        <v>1571</v>
      </c>
      <c r="C800" s="2">
        <v>43265</v>
      </c>
      <c r="D800" s="2">
        <v>43602</v>
      </c>
      <c r="E800" s="3">
        <v>973169</v>
      </c>
      <c r="F800" t="s">
        <v>1572</v>
      </c>
      <c r="G800" t="s">
        <v>1551</v>
      </c>
      <c r="H800" t="s">
        <v>45</v>
      </c>
      <c r="I800" s="3">
        <v>10032</v>
      </c>
      <c r="J800" s="3">
        <v>1021207501</v>
      </c>
      <c r="K800" s="3">
        <v>1090787</v>
      </c>
      <c r="L800" t="s">
        <v>114</v>
      </c>
      <c r="M800" s="4">
        <v>10</v>
      </c>
      <c r="N800" t="s">
        <v>762</v>
      </c>
      <c r="O800" t="s">
        <v>134</v>
      </c>
      <c r="P800" s="4">
        <v>40.836168000000001</v>
      </c>
      <c r="Q800" s="4">
        <v>-73.942103000000003</v>
      </c>
      <c r="R800" s="4">
        <v>40.836486000000001</v>
      </c>
      <c r="S800" s="4">
        <v>-73.942307999999997</v>
      </c>
      <c r="T800" s="2">
        <v>43602</v>
      </c>
      <c r="U800" t="s">
        <v>117</v>
      </c>
      <c r="V800" t="s">
        <v>71</v>
      </c>
      <c r="W800" t="s">
        <v>51</v>
      </c>
      <c r="AB800" s="4">
        <v>6</v>
      </c>
      <c r="AE800" s="4">
        <v>6</v>
      </c>
      <c r="AL800" s="4">
        <v>6</v>
      </c>
      <c r="AN800" s="4">
        <v>6</v>
      </c>
      <c r="AO800" s="4">
        <v>20</v>
      </c>
    </row>
    <row r="801" spans="1:41" hidden="1" x14ac:dyDescent="0.2">
      <c r="A801" t="s">
        <v>1573</v>
      </c>
      <c r="B801" t="s">
        <v>1574</v>
      </c>
      <c r="C801" s="2">
        <v>43264</v>
      </c>
      <c r="D801" s="2">
        <v>44285</v>
      </c>
      <c r="E801" s="3">
        <v>5610</v>
      </c>
      <c r="F801" t="s">
        <v>1575</v>
      </c>
      <c r="G801" t="s">
        <v>87</v>
      </c>
      <c r="H801" t="s">
        <v>45</v>
      </c>
      <c r="I801" s="3">
        <v>10031</v>
      </c>
      <c r="J801" s="3">
        <v>1020730032</v>
      </c>
      <c r="K801" s="3">
        <v>1061796</v>
      </c>
      <c r="L801" t="s">
        <v>169</v>
      </c>
      <c r="M801" s="4">
        <v>7</v>
      </c>
      <c r="N801" t="s">
        <v>231</v>
      </c>
      <c r="O801" t="s">
        <v>232</v>
      </c>
      <c r="P801" s="4">
        <v>40.822975</v>
      </c>
      <c r="Q801" s="4">
        <v>-73.949268000000004</v>
      </c>
      <c r="R801" s="4">
        <v>40.823104000000001</v>
      </c>
      <c r="S801" s="4">
        <v>-73.949572000000003</v>
      </c>
      <c r="T801" s="2">
        <v>44285</v>
      </c>
      <c r="U801" t="s">
        <v>49</v>
      </c>
      <c r="V801" t="s">
        <v>71</v>
      </c>
      <c r="W801" t="s">
        <v>51</v>
      </c>
      <c r="X801" s="4">
        <v>3</v>
      </c>
      <c r="AA801" s="4">
        <v>5</v>
      </c>
      <c r="AF801" s="4">
        <v>1</v>
      </c>
      <c r="AG801" s="4">
        <v>7</v>
      </c>
      <c r="AL801" s="4">
        <v>8</v>
      </c>
      <c r="AN801" s="4">
        <v>8</v>
      </c>
      <c r="AO801" s="4">
        <v>8</v>
      </c>
    </row>
    <row r="802" spans="1:41" hidden="1" x14ac:dyDescent="0.2">
      <c r="A802" t="s">
        <v>1576</v>
      </c>
      <c r="B802" t="s">
        <v>1577</v>
      </c>
      <c r="C802" s="2">
        <v>43259</v>
      </c>
      <c r="E802" s="3">
        <v>37267</v>
      </c>
      <c r="F802" t="s">
        <v>465</v>
      </c>
      <c r="G802" t="s">
        <v>283</v>
      </c>
      <c r="H802" t="s">
        <v>45</v>
      </c>
      <c r="I802" s="3">
        <v>10025</v>
      </c>
      <c r="J802" s="3">
        <v>1018870048</v>
      </c>
      <c r="K802" s="3">
        <v>1057068</v>
      </c>
      <c r="L802" t="s">
        <v>46</v>
      </c>
      <c r="M802" s="4">
        <v>7</v>
      </c>
      <c r="N802" t="s">
        <v>284</v>
      </c>
      <c r="O802" t="s">
        <v>285</v>
      </c>
      <c r="P802" s="4">
        <v>40.796048999999996</v>
      </c>
      <c r="Q802" s="4">
        <v>-73.972977999999998</v>
      </c>
      <c r="R802" s="4">
        <v>40.796351000000001</v>
      </c>
      <c r="S802" s="4">
        <v>-73.973135999999997</v>
      </c>
      <c r="U802" t="s">
        <v>49</v>
      </c>
      <c r="V802" t="s">
        <v>71</v>
      </c>
      <c r="W802" t="s">
        <v>51</v>
      </c>
      <c r="X802" s="4">
        <v>97</v>
      </c>
      <c r="AD802" s="4">
        <v>97</v>
      </c>
      <c r="AL802" s="4">
        <v>97</v>
      </c>
      <c r="AN802" s="4">
        <v>97</v>
      </c>
      <c r="AO802" s="4">
        <v>97</v>
      </c>
    </row>
    <row r="803" spans="1:41" hidden="1" x14ac:dyDescent="0.2">
      <c r="A803" t="s">
        <v>1578</v>
      </c>
      <c r="B803" t="s">
        <v>1579</v>
      </c>
      <c r="C803" s="2">
        <v>43249</v>
      </c>
      <c r="E803" s="3">
        <v>2071</v>
      </c>
      <c r="F803" t="s">
        <v>1580</v>
      </c>
      <c r="G803" t="s">
        <v>237</v>
      </c>
      <c r="H803" t="s">
        <v>45</v>
      </c>
      <c r="I803" s="3">
        <v>10035</v>
      </c>
      <c r="J803" s="3">
        <v>1017840002</v>
      </c>
      <c r="K803" s="3">
        <v>1088905</v>
      </c>
      <c r="L803" t="s">
        <v>153</v>
      </c>
      <c r="M803" s="4">
        <v>8</v>
      </c>
      <c r="N803" t="s">
        <v>374</v>
      </c>
      <c r="O803" t="s">
        <v>155</v>
      </c>
      <c r="P803" s="4">
        <v>40.799979999999998</v>
      </c>
      <c r="Q803" s="4">
        <v>-73.938507999999999</v>
      </c>
      <c r="R803" s="4">
        <v>40.799916000000003</v>
      </c>
      <c r="S803" s="4">
        <v>-73.938219000000004</v>
      </c>
      <c r="U803" t="s">
        <v>117</v>
      </c>
      <c r="V803" t="s">
        <v>71</v>
      </c>
      <c r="W803" t="s">
        <v>51</v>
      </c>
      <c r="Z803" s="4">
        <v>12</v>
      </c>
      <c r="AD803" s="4">
        <v>4</v>
      </c>
      <c r="AE803" s="4">
        <v>5</v>
      </c>
      <c r="AF803" s="4">
        <v>3</v>
      </c>
      <c r="AL803" s="4">
        <v>12</v>
      </c>
      <c r="AN803" s="4">
        <v>12</v>
      </c>
      <c r="AO803" s="4">
        <v>58</v>
      </c>
    </row>
    <row r="804" spans="1:41" hidden="1" x14ac:dyDescent="0.2">
      <c r="A804" t="s">
        <v>1581</v>
      </c>
      <c r="B804" t="s">
        <v>1582</v>
      </c>
      <c r="C804" s="2">
        <v>43222</v>
      </c>
      <c r="D804" s="2">
        <v>44013</v>
      </c>
      <c r="E804" s="3">
        <v>978919</v>
      </c>
      <c r="F804" t="s">
        <v>547</v>
      </c>
      <c r="G804" t="s">
        <v>1583</v>
      </c>
      <c r="H804" t="s">
        <v>45</v>
      </c>
      <c r="I804" s="3">
        <v>10001</v>
      </c>
      <c r="J804" s="3">
        <v>1007790031</v>
      </c>
      <c r="K804" s="3">
        <v>1090716</v>
      </c>
      <c r="L804" t="s">
        <v>655</v>
      </c>
      <c r="M804" s="4">
        <v>3</v>
      </c>
      <c r="N804" t="s">
        <v>900</v>
      </c>
      <c r="O804" t="s">
        <v>1127</v>
      </c>
      <c r="P804" s="4">
        <v>40.748125999999999</v>
      </c>
      <c r="Q804" s="4">
        <v>-73.993532999999999</v>
      </c>
      <c r="R804" s="4">
        <v>40.748300999999998</v>
      </c>
      <c r="S804" s="4">
        <v>-73.993392</v>
      </c>
      <c r="T804" s="2">
        <v>44013</v>
      </c>
      <c r="U804" t="s">
        <v>117</v>
      </c>
      <c r="V804" t="s">
        <v>71</v>
      </c>
      <c r="W804" t="s">
        <v>51</v>
      </c>
      <c r="Z804" s="4">
        <v>9</v>
      </c>
      <c r="AB804" s="4">
        <v>8</v>
      </c>
      <c r="AD804" s="4">
        <v>5</v>
      </c>
      <c r="AE804" s="4">
        <v>6</v>
      </c>
      <c r="AF804" s="4">
        <v>4</v>
      </c>
      <c r="AG804" s="4">
        <v>2</v>
      </c>
      <c r="AL804" s="4">
        <v>17</v>
      </c>
      <c r="AN804" s="4">
        <v>17</v>
      </c>
      <c r="AO804" s="4">
        <v>55</v>
      </c>
    </row>
    <row r="805" spans="1:41" hidden="1" x14ac:dyDescent="0.2">
      <c r="A805" t="s">
        <v>1584</v>
      </c>
      <c r="B805" t="s">
        <v>1585</v>
      </c>
      <c r="C805" s="2">
        <v>43215</v>
      </c>
      <c r="D805" s="2">
        <v>43215</v>
      </c>
      <c r="E805" s="3">
        <v>843098</v>
      </c>
      <c r="F805" t="s">
        <v>430</v>
      </c>
      <c r="G805" t="s">
        <v>317</v>
      </c>
      <c r="H805" t="s">
        <v>45</v>
      </c>
      <c r="I805" s="3">
        <v>10026</v>
      </c>
      <c r="J805" s="3">
        <v>1018250021</v>
      </c>
      <c r="K805" s="3">
        <v>1087385</v>
      </c>
      <c r="L805" t="s">
        <v>146</v>
      </c>
      <c r="M805" s="4">
        <v>9</v>
      </c>
      <c r="N805" t="s">
        <v>318</v>
      </c>
      <c r="O805" t="s">
        <v>148</v>
      </c>
      <c r="P805" s="4">
        <v>40.801659999999998</v>
      </c>
      <c r="Q805" s="4">
        <v>-73.950931999999995</v>
      </c>
      <c r="R805" s="4">
        <v>40.801937000000002</v>
      </c>
      <c r="S805" s="4">
        <v>-73.950989000000007</v>
      </c>
      <c r="T805" s="2">
        <v>43215</v>
      </c>
      <c r="U805" t="s">
        <v>49</v>
      </c>
      <c r="V805" t="s">
        <v>50</v>
      </c>
      <c r="W805" t="s">
        <v>51</v>
      </c>
      <c r="Y805" s="4">
        <v>1</v>
      </c>
      <c r="Z805" s="4">
        <v>33</v>
      </c>
      <c r="AC805" s="4">
        <v>1</v>
      </c>
      <c r="AD805" s="4">
        <v>3</v>
      </c>
      <c r="AE805" s="4">
        <v>10</v>
      </c>
      <c r="AF805" s="4">
        <v>22</v>
      </c>
      <c r="AL805" s="4">
        <v>35</v>
      </c>
      <c r="AN805" s="4">
        <v>35</v>
      </c>
      <c r="AO805" s="4">
        <v>35</v>
      </c>
    </row>
    <row r="806" spans="1:41" hidden="1" x14ac:dyDescent="0.2">
      <c r="A806" t="s">
        <v>1586</v>
      </c>
      <c r="B806" t="s">
        <v>1587</v>
      </c>
      <c r="C806" s="2">
        <v>43202</v>
      </c>
      <c r="D806" s="2">
        <v>43721</v>
      </c>
      <c r="E806" s="3">
        <v>40385</v>
      </c>
      <c r="F806" t="s">
        <v>1235</v>
      </c>
      <c r="G806" t="s">
        <v>1011</v>
      </c>
      <c r="H806" t="s">
        <v>45</v>
      </c>
      <c r="I806" s="3">
        <v>10037</v>
      </c>
      <c r="J806" s="3">
        <v>1017290043</v>
      </c>
      <c r="K806" s="3">
        <v>1089444</v>
      </c>
      <c r="L806" t="s">
        <v>146</v>
      </c>
      <c r="M806" s="4">
        <v>9</v>
      </c>
      <c r="N806" t="s">
        <v>305</v>
      </c>
      <c r="O806" t="s">
        <v>177</v>
      </c>
      <c r="P806" s="4">
        <v>40.811124</v>
      </c>
      <c r="Q806" s="4">
        <v>-73.939683000000002</v>
      </c>
      <c r="R806" s="4">
        <v>40.810937000000003</v>
      </c>
      <c r="S806" s="4">
        <v>-73.939877999999993</v>
      </c>
      <c r="T806" s="2">
        <v>43721</v>
      </c>
      <c r="U806" t="s">
        <v>117</v>
      </c>
      <c r="V806" t="s">
        <v>71</v>
      </c>
      <c r="W806" t="s">
        <v>51</v>
      </c>
      <c r="AB806" s="4">
        <v>5</v>
      </c>
      <c r="AD806" s="4">
        <v>2</v>
      </c>
      <c r="AE806" s="4">
        <v>3</v>
      </c>
      <c r="AL806" s="4">
        <v>5</v>
      </c>
      <c r="AN806" s="4">
        <v>5</v>
      </c>
      <c r="AO806" s="4">
        <v>16</v>
      </c>
    </row>
    <row r="807" spans="1:41" hidden="1" x14ac:dyDescent="0.2">
      <c r="A807" t="s">
        <v>1588</v>
      </c>
      <c r="B807" t="s">
        <v>1589</v>
      </c>
      <c r="C807" s="2">
        <v>43193</v>
      </c>
      <c r="D807" s="2">
        <v>45546</v>
      </c>
      <c r="E807" s="3">
        <v>982005</v>
      </c>
      <c r="F807" t="s">
        <v>231</v>
      </c>
      <c r="G807" t="s">
        <v>1126</v>
      </c>
      <c r="H807" t="s">
        <v>45</v>
      </c>
      <c r="I807" s="3">
        <v>10001</v>
      </c>
      <c r="J807" s="3">
        <v>1007780025</v>
      </c>
      <c r="K807" s="3">
        <v>1090815</v>
      </c>
      <c r="L807" t="s">
        <v>655</v>
      </c>
      <c r="M807" s="4">
        <v>3</v>
      </c>
      <c r="N807" t="s">
        <v>900</v>
      </c>
      <c r="O807" t="s">
        <v>1127</v>
      </c>
      <c r="P807" s="4">
        <v>40.747629000000003</v>
      </c>
      <c r="Q807" s="4">
        <v>-73.994264999999999</v>
      </c>
      <c r="R807" s="4">
        <v>40.747903999999998</v>
      </c>
      <c r="S807" s="4">
        <v>-73.994401999999994</v>
      </c>
      <c r="T807" s="2">
        <v>45546</v>
      </c>
      <c r="U807" t="s">
        <v>117</v>
      </c>
      <c r="V807" t="s">
        <v>71</v>
      </c>
      <c r="W807" t="s">
        <v>51</v>
      </c>
      <c r="Z807" s="4">
        <v>35</v>
      </c>
      <c r="AD807" s="4">
        <v>4</v>
      </c>
      <c r="AE807" s="4">
        <v>24</v>
      </c>
      <c r="AF807" s="4">
        <v>5</v>
      </c>
      <c r="AG807" s="4">
        <v>2</v>
      </c>
      <c r="AL807" s="4">
        <v>35</v>
      </c>
      <c r="AN807" s="4">
        <v>35</v>
      </c>
      <c r="AO807" s="4">
        <v>112</v>
      </c>
    </row>
    <row r="808" spans="1:41" hidden="1" x14ac:dyDescent="0.2">
      <c r="A808" t="s">
        <v>1590</v>
      </c>
      <c r="B808" t="s">
        <v>1591</v>
      </c>
      <c r="C808" s="2">
        <v>43175</v>
      </c>
      <c r="D808" s="2">
        <v>43816</v>
      </c>
      <c r="E808" s="3">
        <v>957179</v>
      </c>
      <c r="F808" t="s">
        <v>1592</v>
      </c>
      <c r="G808" t="s">
        <v>237</v>
      </c>
      <c r="H808" t="s">
        <v>45</v>
      </c>
      <c r="I808" s="3">
        <v>10128</v>
      </c>
      <c r="J808" s="3">
        <v>1015407503</v>
      </c>
      <c r="K808" s="3">
        <v>1000000</v>
      </c>
      <c r="L808" t="s">
        <v>107</v>
      </c>
      <c r="M808" s="4">
        <v>5</v>
      </c>
      <c r="N808" t="s">
        <v>1043</v>
      </c>
      <c r="O808" t="s">
        <v>109</v>
      </c>
      <c r="P808" s="4">
        <v>40.784416999999998</v>
      </c>
      <c r="Q808" s="4">
        <v>-73.949883</v>
      </c>
      <c r="R808" s="4">
        <v>40.784103999999999</v>
      </c>
      <c r="S808" s="4">
        <v>-73.949708999999999</v>
      </c>
      <c r="T808" s="2">
        <v>43816</v>
      </c>
      <c r="U808" t="s">
        <v>117</v>
      </c>
      <c r="V808" t="s">
        <v>71</v>
      </c>
      <c r="W808" t="s">
        <v>51</v>
      </c>
      <c r="AB808" s="4">
        <v>21</v>
      </c>
      <c r="AD808" s="4">
        <v>5</v>
      </c>
      <c r="AE808" s="4">
        <v>5</v>
      </c>
      <c r="AF808" s="4">
        <v>11</v>
      </c>
      <c r="AM808" s="4">
        <v>21</v>
      </c>
      <c r="AN808" s="4">
        <v>21</v>
      </c>
      <c r="AO808" s="4">
        <v>104</v>
      </c>
    </row>
    <row r="809" spans="1:41" hidden="1" x14ac:dyDescent="0.2">
      <c r="A809" t="s">
        <v>1593</v>
      </c>
      <c r="B809" t="s">
        <v>1594</v>
      </c>
      <c r="C809" s="2">
        <v>43158</v>
      </c>
      <c r="D809" s="2">
        <v>43874</v>
      </c>
      <c r="E809" s="3">
        <v>12002</v>
      </c>
      <c r="F809" t="s">
        <v>1418</v>
      </c>
      <c r="G809" t="s">
        <v>1229</v>
      </c>
      <c r="H809" t="s">
        <v>45</v>
      </c>
      <c r="I809" s="3">
        <v>10009</v>
      </c>
      <c r="J809" s="3">
        <v>1003950012</v>
      </c>
      <c r="K809" s="3">
        <v>1004927</v>
      </c>
      <c r="L809" t="s">
        <v>64</v>
      </c>
      <c r="M809" s="4">
        <v>2</v>
      </c>
      <c r="N809" t="s">
        <v>607</v>
      </c>
      <c r="O809" t="s">
        <v>197</v>
      </c>
      <c r="P809" s="4">
        <v>40.728458000000003</v>
      </c>
      <c r="Q809" s="4">
        <v>-73.977864999999994</v>
      </c>
      <c r="R809" s="4">
        <v>40.728141999999998</v>
      </c>
      <c r="S809" s="4">
        <v>-73.977705999999998</v>
      </c>
      <c r="T809" s="2">
        <v>43874</v>
      </c>
      <c r="U809" t="s">
        <v>49</v>
      </c>
      <c r="V809" t="s">
        <v>71</v>
      </c>
      <c r="W809" t="s">
        <v>51</v>
      </c>
      <c r="Z809" s="4">
        <v>137</v>
      </c>
      <c r="AD809" s="4">
        <v>86</v>
      </c>
      <c r="AE809" s="4">
        <v>51</v>
      </c>
      <c r="AL809" s="4">
        <v>137</v>
      </c>
      <c r="AN809" s="4">
        <v>137</v>
      </c>
      <c r="AO809" s="4">
        <v>138</v>
      </c>
    </row>
    <row r="810" spans="1:41" hidden="1" x14ac:dyDescent="0.2">
      <c r="A810" t="s">
        <v>1595</v>
      </c>
      <c r="B810" t="s">
        <v>1596</v>
      </c>
      <c r="C810" s="2">
        <v>43149</v>
      </c>
      <c r="D810" s="2">
        <v>43321</v>
      </c>
      <c r="E810" s="3">
        <v>958943</v>
      </c>
      <c r="F810" t="s">
        <v>1597</v>
      </c>
      <c r="G810" t="s">
        <v>237</v>
      </c>
      <c r="H810" t="s">
        <v>45</v>
      </c>
      <c r="I810" s="3">
        <v>10029</v>
      </c>
      <c r="J810" s="3">
        <v>1016370036</v>
      </c>
      <c r="K810" s="3">
        <v>1052157</v>
      </c>
      <c r="L810" t="s">
        <v>153</v>
      </c>
      <c r="M810" s="4">
        <v>8</v>
      </c>
      <c r="N810" t="s">
        <v>600</v>
      </c>
      <c r="O810" t="s">
        <v>267</v>
      </c>
      <c r="P810" s="4">
        <v>40.793790000000001</v>
      </c>
      <c r="Q810" s="4">
        <v>-73.943071000000003</v>
      </c>
      <c r="R810" s="4">
        <v>40.793922000000002</v>
      </c>
      <c r="S810" s="4">
        <v>-73.943357000000006</v>
      </c>
      <c r="T810" s="2">
        <v>43321</v>
      </c>
      <c r="U810" t="s">
        <v>117</v>
      </c>
      <c r="V810" t="s">
        <v>71</v>
      </c>
      <c r="W810" t="s">
        <v>51</v>
      </c>
      <c r="AB810" s="4">
        <v>5</v>
      </c>
      <c r="AE810" s="4">
        <v>5</v>
      </c>
      <c r="AL810" s="4">
        <v>5</v>
      </c>
      <c r="AN810" s="4">
        <v>5</v>
      </c>
      <c r="AO810" s="4">
        <v>15</v>
      </c>
    </row>
    <row r="811" spans="1:41" hidden="1" x14ac:dyDescent="0.2">
      <c r="A811" t="s">
        <v>1598</v>
      </c>
      <c r="B811" t="s">
        <v>1599</v>
      </c>
      <c r="C811" s="2">
        <v>43147</v>
      </c>
      <c r="D811" s="2">
        <v>44944</v>
      </c>
      <c r="E811" s="3">
        <v>979623</v>
      </c>
      <c r="F811" t="s">
        <v>1600</v>
      </c>
      <c r="G811" t="s">
        <v>1601</v>
      </c>
      <c r="H811" t="s">
        <v>45</v>
      </c>
      <c r="I811" s="3">
        <v>10028</v>
      </c>
      <c r="J811" s="3">
        <v>1015830006</v>
      </c>
      <c r="K811" s="3">
        <v>1051260</v>
      </c>
      <c r="L811" t="s">
        <v>107</v>
      </c>
      <c r="M811" s="4">
        <v>5</v>
      </c>
      <c r="N811" t="s">
        <v>1602</v>
      </c>
      <c r="O811" t="s">
        <v>109</v>
      </c>
      <c r="P811" s="4">
        <v>40.775671000000003</v>
      </c>
      <c r="Q811" s="4">
        <v>-73.946430000000007</v>
      </c>
      <c r="R811" s="4">
        <v>40.775984000000001</v>
      </c>
      <c r="S811" s="4">
        <v>-73.946470000000005</v>
      </c>
      <c r="T811" s="2">
        <v>44944</v>
      </c>
      <c r="U811" t="s">
        <v>117</v>
      </c>
      <c r="V811" t="s">
        <v>71</v>
      </c>
      <c r="W811" t="s">
        <v>51</v>
      </c>
      <c r="Y811" s="4">
        <v>14</v>
      </c>
      <c r="Z811" s="4">
        <v>17</v>
      </c>
      <c r="AB811" s="4">
        <v>4</v>
      </c>
      <c r="AD811" s="4">
        <v>22</v>
      </c>
      <c r="AE811" s="4">
        <v>6</v>
      </c>
      <c r="AF811" s="4">
        <v>7</v>
      </c>
      <c r="AL811" s="4">
        <v>35</v>
      </c>
      <c r="AN811" s="4">
        <v>35</v>
      </c>
      <c r="AO811" s="4">
        <v>140</v>
      </c>
    </row>
    <row r="812" spans="1:41" hidden="1" x14ac:dyDescent="0.2">
      <c r="A812" t="s">
        <v>1603</v>
      </c>
      <c r="B812" t="s">
        <v>1604</v>
      </c>
      <c r="C812" s="2">
        <v>43140</v>
      </c>
      <c r="D812" s="2">
        <v>43396</v>
      </c>
      <c r="E812" s="3">
        <v>6361</v>
      </c>
      <c r="F812" t="s">
        <v>147</v>
      </c>
      <c r="G812" t="s">
        <v>1207</v>
      </c>
      <c r="H812" t="s">
        <v>45</v>
      </c>
      <c r="I812" s="3">
        <v>10009</v>
      </c>
      <c r="J812" s="3">
        <v>1004077503</v>
      </c>
      <c r="K812" s="3">
        <v>1090249</v>
      </c>
      <c r="L812" t="s">
        <v>64</v>
      </c>
      <c r="M812" s="4">
        <v>2</v>
      </c>
      <c r="N812" t="s">
        <v>978</v>
      </c>
      <c r="O812" t="s">
        <v>197</v>
      </c>
      <c r="P812" s="4">
        <v>40.730102000000002</v>
      </c>
      <c r="Q812" s="4">
        <v>-73.980574000000004</v>
      </c>
      <c r="R812" s="4">
        <v>40.729844</v>
      </c>
      <c r="S812" s="4">
        <v>-73.979853000000006</v>
      </c>
      <c r="T812" s="2">
        <v>43396</v>
      </c>
      <c r="U812" t="s">
        <v>117</v>
      </c>
      <c r="V812" t="s">
        <v>71</v>
      </c>
      <c r="W812" t="s">
        <v>51</v>
      </c>
      <c r="Z812" s="4">
        <v>16</v>
      </c>
      <c r="AB812" s="4">
        <v>34</v>
      </c>
      <c r="AD812" s="4">
        <v>12</v>
      </c>
      <c r="AE812" s="4">
        <v>13</v>
      </c>
      <c r="AF812" s="4">
        <v>25</v>
      </c>
      <c r="AL812" s="4">
        <v>50</v>
      </c>
      <c r="AN812" s="4">
        <v>50</v>
      </c>
      <c r="AO812" s="4">
        <v>160</v>
      </c>
    </row>
    <row r="813" spans="1:41" hidden="1" x14ac:dyDescent="0.2">
      <c r="A813" t="s">
        <v>1605</v>
      </c>
      <c r="B813" t="s">
        <v>1606</v>
      </c>
      <c r="C813" s="2">
        <v>43131</v>
      </c>
      <c r="D813" s="2">
        <v>43131</v>
      </c>
      <c r="E813" s="3">
        <v>18948</v>
      </c>
      <c r="F813" t="s">
        <v>1122</v>
      </c>
      <c r="G813" t="s">
        <v>921</v>
      </c>
      <c r="H813" t="s">
        <v>45</v>
      </c>
      <c r="I813" s="3">
        <v>10029</v>
      </c>
      <c r="J813" s="3">
        <v>1016750011</v>
      </c>
      <c r="K813" s="3">
        <v>1079348</v>
      </c>
      <c r="L813" t="s">
        <v>153</v>
      </c>
      <c r="M813" s="4">
        <v>8</v>
      </c>
      <c r="N813" t="s">
        <v>368</v>
      </c>
      <c r="O813" t="s">
        <v>267</v>
      </c>
      <c r="P813" s="4">
        <v>40.788364000000001</v>
      </c>
      <c r="Q813" s="4">
        <v>-73.943061999999998</v>
      </c>
      <c r="R813" s="4">
        <v>40.788502999999999</v>
      </c>
      <c r="S813" s="4">
        <v>-73.942432999999994</v>
      </c>
      <c r="T813" s="2">
        <v>43131</v>
      </c>
      <c r="U813" t="s">
        <v>49</v>
      </c>
      <c r="V813" t="s">
        <v>50</v>
      </c>
      <c r="W813" t="s">
        <v>51</v>
      </c>
      <c r="Z813" s="4">
        <v>36</v>
      </c>
      <c r="AA813" s="4">
        <v>13</v>
      </c>
      <c r="AC813" s="4">
        <v>1</v>
      </c>
      <c r="AD813" s="4">
        <v>6</v>
      </c>
      <c r="AE813" s="4">
        <v>17</v>
      </c>
      <c r="AF813" s="4">
        <v>26</v>
      </c>
      <c r="AK813" s="4">
        <v>1</v>
      </c>
      <c r="AL813" s="4">
        <v>50</v>
      </c>
      <c r="AN813" s="4">
        <v>50</v>
      </c>
      <c r="AO813" s="4">
        <v>50</v>
      </c>
    </row>
    <row r="814" spans="1:41" hidden="1" x14ac:dyDescent="0.2">
      <c r="A814" t="s">
        <v>1605</v>
      </c>
      <c r="B814" t="s">
        <v>1606</v>
      </c>
      <c r="C814" s="2">
        <v>43131</v>
      </c>
      <c r="D814" s="2">
        <v>43131</v>
      </c>
      <c r="E814" s="3">
        <v>804630</v>
      </c>
      <c r="F814" t="s">
        <v>1081</v>
      </c>
      <c r="G814" t="s">
        <v>1607</v>
      </c>
      <c r="H814" t="s">
        <v>45</v>
      </c>
      <c r="I814" s="3">
        <v>10029</v>
      </c>
      <c r="J814" s="3">
        <v>1016750011</v>
      </c>
      <c r="K814" s="3">
        <v>1079349</v>
      </c>
      <c r="L814" t="s">
        <v>153</v>
      </c>
      <c r="M814" s="4">
        <v>8</v>
      </c>
      <c r="N814" t="s">
        <v>368</v>
      </c>
      <c r="O814" t="s">
        <v>267</v>
      </c>
      <c r="P814" s="4">
        <v>40.788939999999997</v>
      </c>
      <c r="Q814" s="4">
        <v>-73.942537000000002</v>
      </c>
      <c r="R814" s="4">
        <v>40.788502999999999</v>
      </c>
      <c r="S814" s="4">
        <v>-73.942432999999994</v>
      </c>
      <c r="T814" s="2">
        <v>43131</v>
      </c>
      <c r="U814" t="s">
        <v>49</v>
      </c>
      <c r="V814" t="s">
        <v>50</v>
      </c>
      <c r="W814" t="s">
        <v>51</v>
      </c>
      <c r="Z814" s="4">
        <v>38</v>
      </c>
      <c r="AA814" s="4">
        <v>12</v>
      </c>
      <c r="AD814" s="4">
        <v>6</v>
      </c>
      <c r="AE814" s="4">
        <v>17</v>
      </c>
      <c r="AF814" s="4">
        <v>27</v>
      </c>
      <c r="AL814" s="4">
        <v>50</v>
      </c>
      <c r="AN814" s="4">
        <v>50</v>
      </c>
      <c r="AO814" s="4">
        <v>50</v>
      </c>
    </row>
    <row r="815" spans="1:41" hidden="1" x14ac:dyDescent="0.2">
      <c r="A815" t="s">
        <v>1608</v>
      </c>
      <c r="B815" t="s">
        <v>1609</v>
      </c>
      <c r="C815" s="2">
        <v>43122</v>
      </c>
      <c r="D815" s="2">
        <v>43122</v>
      </c>
      <c r="E815" s="3">
        <v>19352</v>
      </c>
      <c r="F815" t="s">
        <v>1610</v>
      </c>
      <c r="G815" t="s">
        <v>1308</v>
      </c>
      <c r="H815" t="s">
        <v>45</v>
      </c>
      <c r="I815" s="3">
        <v>10029</v>
      </c>
      <c r="J815" s="3">
        <v>1016170007</v>
      </c>
      <c r="K815" s="3">
        <v>1051628</v>
      </c>
      <c r="L815" t="s">
        <v>153</v>
      </c>
      <c r="M815" s="4">
        <v>9</v>
      </c>
      <c r="N815" t="s">
        <v>774</v>
      </c>
      <c r="O815" t="s">
        <v>267</v>
      </c>
      <c r="P815" s="4">
        <v>40.797229000000002</v>
      </c>
      <c r="Q815" s="4">
        <v>-73.948165000000003</v>
      </c>
      <c r="R815" s="4">
        <v>40.797345999999997</v>
      </c>
      <c r="S815" s="4">
        <v>-73.947500000000005</v>
      </c>
      <c r="T815" s="2">
        <v>43122</v>
      </c>
      <c r="U815" t="s">
        <v>49</v>
      </c>
      <c r="V815" t="s">
        <v>50</v>
      </c>
      <c r="W815" t="s">
        <v>51</v>
      </c>
      <c r="X815" s="4">
        <v>108</v>
      </c>
      <c r="Y815" s="4">
        <v>19</v>
      </c>
      <c r="Z815" s="4">
        <v>6</v>
      </c>
      <c r="AB815" s="4">
        <v>1</v>
      </c>
      <c r="AC815" s="4">
        <v>1</v>
      </c>
      <c r="AE815" s="4">
        <v>36</v>
      </c>
      <c r="AF815" s="4">
        <v>72</v>
      </c>
      <c r="AG815" s="4">
        <v>27</v>
      </c>
      <c r="AL815" s="4">
        <v>135</v>
      </c>
      <c r="AN815" s="4">
        <v>135</v>
      </c>
      <c r="AO815" s="4">
        <v>135</v>
      </c>
    </row>
    <row r="816" spans="1:41" hidden="1" x14ac:dyDescent="0.2">
      <c r="A816" t="s">
        <v>1611</v>
      </c>
      <c r="B816" t="s">
        <v>1612</v>
      </c>
      <c r="C816" s="2">
        <v>43122</v>
      </c>
      <c r="D816" s="2">
        <v>43804</v>
      </c>
      <c r="E816" s="3">
        <v>5713</v>
      </c>
      <c r="F816" t="s">
        <v>1613</v>
      </c>
      <c r="G816" t="s">
        <v>87</v>
      </c>
      <c r="H816" t="s">
        <v>45</v>
      </c>
      <c r="I816" s="3">
        <v>10032</v>
      </c>
      <c r="J816" s="3">
        <v>1021140035</v>
      </c>
      <c r="K816" s="3">
        <v>1062692</v>
      </c>
      <c r="L816" t="s">
        <v>114</v>
      </c>
      <c r="M816" s="4">
        <v>10</v>
      </c>
      <c r="N816" t="s">
        <v>323</v>
      </c>
      <c r="O816" t="s">
        <v>134</v>
      </c>
      <c r="P816" s="4">
        <v>40.831999000000003</v>
      </c>
      <c r="Q816" s="4">
        <v>-73.942684999999997</v>
      </c>
      <c r="R816" s="4">
        <v>40.832090000000001</v>
      </c>
      <c r="S816" s="4">
        <v>-73.943111000000002</v>
      </c>
      <c r="T816" s="2">
        <v>43804</v>
      </c>
      <c r="U816" t="s">
        <v>49</v>
      </c>
      <c r="V816" t="s">
        <v>71</v>
      </c>
      <c r="W816" t="s">
        <v>51</v>
      </c>
      <c r="X816" s="4">
        <v>160</v>
      </c>
      <c r="Y816" s="4">
        <v>13</v>
      </c>
      <c r="Z816" s="4">
        <v>3</v>
      </c>
      <c r="AA816" s="4">
        <v>6</v>
      </c>
      <c r="AC816" s="4">
        <v>1</v>
      </c>
      <c r="AE816" s="4">
        <v>154</v>
      </c>
      <c r="AF816" s="4">
        <v>29</v>
      </c>
      <c r="AL816" s="4">
        <v>183</v>
      </c>
      <c r="AN816" s="4">
        <v>183</v>
      </c>
      <c r="AO816" s="4">
        <v>183</v>
      </c>
    </row>
    <row r="817" spans="1:41" hidden="1" x14ac:dyDescent="0.2">
      <c r="A817" t="s">
        <v>1614</v>
      </c>
      <c r="B817" t="s">
        <v>1615</v>
      </c>
      <c r="C817" s="2">
        <v>43110</v>
      </c>
      <c r="D817" s="2">
        <v>43879</v>
      </c>
      <c r="E817" s="3">
        <v>19548</v>
      </c>
      <c r="F817" t="s">
        <v>762</v>
      </c>
      <c r="G817" t="s">
        <v>758</v>
      </c>
      <c r="H817" t="s">
        <v>45</v>
      </c>
      <c r="I817" s="3">
        <v>10029</v>
      </c>
      <c r="J817" s="3">
        <v>1016650122</v>
      </c>
      <c r="K817" s="3">
        <v>1052559</v>
      </c>
      <c r="L817" t="s">
        <v>153</v>
      </c>
      <c r="M817" s="4">
        <v>8</v>
      </c>
      <c r="N817" t="s">
        <v>290</v>
      </c>
      <c r="O817" t="s">
        <v>155</v>
      </c>
      <c r="P817" s="4">
        <v>40.796587000000002</v>
      </c>
      <c r="Q817" s="4">
        <v>-73.938925999999995</v>
      </c>
      <c r="R817" s="4">
        <v>40.796716000000004</v>
      </c>
      <c r="S817" s="4">
        <v>-73.938604999999995</v>
      </c>
      <c r="T817" s="2">
        <v>43879</v>
      </c>
      <c r="U817" t="s">
        <v>117</v>
      </c>
      <c r="V817" t="s">
        <v>71</v>
      </c>
      <c r="W817" t="s">
        <v>51</v>
      </c>
      <c r="AB817" s="4">
        <v>4</v>
      </c>
      <c r="AE817" s="4">
        <v>4</v>
      </c>
      <c r="AL817" s="4">
        <v>4</v>
      </c>
      <c r="AN817" s="4">
        <v>4</v>
      </c>
      <c r="AO817" s="4">
        <v>13</v>
      </c>
    </row>
    <row r="818" spans="1:41" hidden="1" x14ac:dyDescent="0.2">
      <c r="A818" t="s">
        <v>1616</v>
      </c>
      <c r="B818" t="s">
        <v>1617</v>
      </c>
      <c r="C818" s="2">
        <v>43108</v>
      </c>
      <c r="D818" s="2">
        <v>43280</v>
      </c>
      <c r="E818" s="3">
        <v>966845</v>
      </c>
      <c r="F818" t="s">
        <v>812</v>
      </c>
      <c r="G818" t="s">
        <v>758</v>
      </c>
      <c r="H818" t="s">
        <v>45</v>
      </c>
      <c r="I818" s="3">
        <v>10029</v>
      </c>
      <c r="J818" s="3">
        <v>1016430005</v>
      </c>
      <c r="K818" s="3">
        <v>1089702</v>
      </c>
      <c r="L818" t="s">
        <v>153</v>
      </c>
      <c r="M818" s="4">
        <v>8</v>
      </c>
      <c r="N818" t="s">
        <v>335</v>
      </c>
      <c r="O818" t="s">
        <v>155</v>
      </c>
      <c r="P818" s="4">
        <v>40.798456000000002</v>
      </c>
      <c r="Q818" s="4">
        <v>-73.943335000000005</v>
      </c>
      <c r="R818" s="4">
        <v>40.798588000000002</v>
      </c>
      <c r="S818" s="4">
        <v>-73.943132000000006</v>
      </c>
      <c r="T818" s="2">
        <v>43280</v>
      </c>
      <c r="U818" t="s">
        <v>117</v>
      </c>
      <c r="V818" t="s">
        <v>71</v>
      </c>
      <c r="W818" t="s">
        <v>51</v>
      </c>
      <c r="AB818" s="4">
        <v>10</v>
      </c>
      <c r="AD818" s="4">
        <v>1</v>
      </c>
      <c r="AE818" s="4">
        <v>4</v>
      </c>
      <c r="AF818" s="4">
        <v>5</v>
      </c>
      <c r="AL818" s="4">
        <v>10</v>
      </c>
      <c r="AN818" s="4">
        <v>10</v>
      </c>
      <c r="AO818" s="4">
        <v>32</v>
      </c>
    </row>
    <row r="819" spans="1:41" hidden="1" x14ac:dyDescent="0.2">
      <c r="A819" t="s">
        <v>1618</v>
      </c>
      <c r="B819" t="s">
        <v>1619</v>
      </c>
      <c r="C819" s="2">
        <v>43102</v>
      </c>
      <c r="D819" s="2">
        <v>43816</v>
      </c>
      <c r="E819" s="3">
        <v>966936</v>
      </c>
      <c r="F819" t="s">
        <v>1620</v>
      </c>
      <c r="G819" t="s">
        <v>321</v>
      </c>
      <c r="H819" t="s">
        <v>45</v>
      </c>
      <c r="I819" s="3">
        <v>10031</v>
      </c>
      <c r="J819" s="3">
        <v>1019880018</v>
      </c>
      <c r="K819" s="3">
        <v>1089415</v>
      </c>
      <c r="L819" t="s">
        <v>169</v>
      </c>
      <c r="M819" s="4">
        <v>7</v>
      </c>
      <c r="N819" t="s">
        <v>412</v>
      </c>
      <c r="O819" t="s">
        <v>171</v>
      </c>
      <c r="P819" s="4">
        <v>40.818829000000001</v>
      </c>
      <c r="Q819" s="4">
        <v>-73.954120000000003</v>
      </c>
      <c r="R819" s="4">
        <v>40.818964000000001</v>
      </c>
      <c r="S819" s="4">
        <v>-73.953867000000002</v>
      </c>
      <c r="T819" s="2">
        <v>43816</v>
      </c>
      <c r="U819" t="s">
        <v>117</v>
      </c>
      <c r="V819" t="s">
        <v>71</v>
      </c>
      <c r="W819" t="s">
        <v>51</v>
      </c>
      <c r="Z819" s="4">
        <v>5</v>
      </c>
      <c r="AE819" s="4">
        <v>4</v>
      </c>
      <c r="AF819" s="4">
        <v>1</v>
      </c>
      <c r="AL819" s="4">
        <v>5</v>
      </c>
      <c r="AN819" s="4">
        <v>5</v>
      </c>
      <c r="AO819" s="4">
        <v>23</v>
      </c>
    </row>
    <row r="820" spans="1:41" hidden="1" x14ac:dyDescent="0.2">
      <c r="A820" t="s">
        <v>1621</v>
      </c>
      <c r="B820" t="s">
        <v>1622</v>
      </c>
      <c r="C820" s="2">
        <v>43098</v>
      </c>
      <c r="D820" s="2">
        <v>44076</v>
      </c>
      <c r="E820" s="3">
        <v>812713</v>
      </c>
      <c r="F820" t="s">
        <v>374</v>
      </c>
      <c r="G820" t="s">
        <v>121</v>
      </c>
      <c r="H820" t="s">
        <v>45</v>
      </c>
      <c r="I820" s="3">
        <v>10002</v>
      </c>
      <c r="J820" s="3">
        <v>1003467502</v>
      </c>
      <c r="K820" s="3">
        <v>1089891</v>
      </c>
      <c r="L820" t="s">
        <v>64</v>
      </c>
      <c r="M820" s="4">
        <v>1</v>
      </c>
      <c r="N820" t="s">
        <v>122</v>
      </c>
      <c r="O820" t="s">
        <v>66</v>
      </c>
      <c r="P820" s="4">
        <v>40.717126</v>
      </c>
      <c r="Q820" s="4">
        <v>-73.986912000000004</v>
      </c>
      <c r="R820" s="4">
        <v>40.717331999999999</v>
      </c>
      <c r="S820" s="4">
        <v>-73.986453999999995</v>
      </c>
      <c r="T820" s="2">
        <v>44076</v>
      </c>
      <c r="U820" t="s">
        <v>117</v>
      </c>
      <c r="V820" t="s">
        <v>71</v>
      </c>
      <c r="W820" t="s">
        <v>51</v>
      </c>
      <c r="Y820" s="4">
        <v>10</v>
      </c>
      <c r="Z820" s="4">
        <v>43</v>
      </c>
      <c r="AA820" s="4">
        <v>33</v>
      </c>
      <c r="AB820" s="4">
        <v>35</v>
      </c>
      <c r="AD820" s="4">
        <v>40</v>
      </c>
      <c r="AE820" s="4">
        <v>37</v>
      </c>
      <c r="AF820" s="4">
        <v>39</v>
      </c>
      <c r="AG820" s="4">
        <v>5</v>
      </c>
      <c r="AL820" s="4">
        <v>121</v>
      </c>
      <c r="AN820" s="4">
        <v>121</v>
      </c>
      <c r="AO820" s="4">
        <v>263</v>
      </c>
    </row>
    <row r="821" spans="1:41" hidden="1" x14ac:dyDescent="0.2">
      <c r="A821" t="s">
        <v>1623</v>
      </c>
      <c r="B821" t="s">
        <v>1624</v>
      </c>
      <c r="C821" s="2">
        <v>43088</v>
      </c>
      <c r="D821" s="2">
        <v>44524</v>
      </c>
      <c r="E821" s="3">
        <v>972757</v>
      </c>
      <c r="F821" t="s">
        <v>1557</v>
      </c>
      <c r="G821" t="s">
        <v>1069</v>
      </c>
      <c r="H821" t="s">
        <v>45</v>
      </c>
      <c r="I821" s="3">
        <v>10002</v>
      </c>
      <c r="J821" s="3">
        <v>1003550054</v>
      </c>
      <c r="K821" s="3">
        <v>1090485</v>
      </c>
      <c r="L821" t="s">
        <v>64</v>
      </c>
      <c r="M821" s="4">
        <v>2</v>
      </c>
      <c r="N821" t="s">
        <v>1625</v>
      </c>
      <c r="O821" t="s">
        <v>66</v>
      </c>
      <c r="P821" s="4">
        <v>40.721248000000003</v>
      </c>
      <c r="Q821" s="4">
        <v>-73.984942000000004</v>
      </c>
      <c r="R821" s="4">
        <v>40.721490000000003</v>
      </c>
      <c r="S821" s="4">
        <v>-73.985129000000001</v>
      </c>
      <c r="T821" s="2">
        <v>44524</v>
      </c>
      <c r="U821" t="s">
        <v>117</v>
      </c>
      <c r="V821" t="s">
        <v>71</v>
      </c>
      <c r="W821" t="s">
        <v>51</v>
      </c>
      <c r="Y821" s="4">
        <v>9</v>
      </c>
      <c r="Z821" s="4">
        <v>9</v>
      </c>
      <c r="AB821" s="4">
        <v>5</v>
      </c>
      <c r="AD821" s="4">
        <v>10</v>
      </c>
      <c r="AE821" s="4">
        <v>10</v>
      </c>
      <c r="AF821" s="4">
        <v>3</v>
      </c>
      <c r="AL821" s="4">
        <v>23</v>
      </c>
      <c r="AN821" s="4">
        <v>23</v>
      </c>
      <c r="AO821" s="4">
        <v>88</v>
      </c>
    </row>
    <row r="822" spans="1:41" hidden="1" x14ac:dyDescent="0.2">
      <c r="A822" t="s">
        <v>1626</v>
      </c>
      <c r="B822" t="s">
        <v>1627</v>
      </c>
      <c r="C822" s="2">
        <v>43084</v>
      </c>
      <c r="D822" s="2">
        <v>44630</v>
      </c>
      <c r="E822" s="3">
        <v>980847</v>
      </c>
      <c r="F822" t="s">
        <v>222</v>
      </c>
      <c r="G822" t="s">
        <v>1628</v>
      </c>
      <c r="H822" t="s">
        <v>45</v>
      </c>
      <c r="I822" s="3">
        <v>10022</v>
      </c>
      <c r="J822" s="3">
        <v>1013270033</v>
      </c>
      <c r="K822" s="3">
        <v>1000000</v>
      </c>
      <c r="L822" t="s">
        <v>165</v>
      </c>
      <c r="M822" s="4">
        <v>4</v>
      </c>
      <c r="N822" t="s">
        <v>584</v>
      </c>
      <c r="O822" t="s">
        <v>554</v>
      </c>
      <c r="P822" s="4">
        <v>40.757967000000001</v>
      </c>
      <c r="Q822" s="4">
        <v>-73.968106000000006</v>
      </c>
      <c r="R822" s="4">
        <v>40.757558000000003</v>
      </c>
      <c r="S822" s="4">
        <v>-73.967702000000003</v>
      </c>
      <c r="T822" s="2">
        <v>44630</v>
      </c>
      <c r="U822" t="s">
        <v>117</v>
      </c>
      <c r="V822" t="s">
        <v>71</v>
      </c>
      <c r="W822" t="s">
        <v>51</v>
      </c>
      <c r="Z822" s="4">
        <v>13</v>
      </c>
      <c r="AB822" s="4">
        <v>27</v>
      </c>
      <c r="AD822" s="4">
        <v>18</v>
      </c>
      <c r="AE822" s="4">
        <v>19</v>
      </c>
      <c r="AF822" s="4">
        <v>3</v>
      </c>
      <c r="AL822" s="4">
        <v>40</v>
      </c>
      <c r="AN822" s="4">
        <v>40</v>
      </c>
      <c r="AO822" s="4">
        <v>130</v>
      </c>
    </row>
    <row r="823" spans="1:41" hidden="1" x14ac:dyDescent="0.2">
      <c r="A823" t="s">
        <v>1629</v>
      </c>
      <c r="B823" t="s">
        <v>1630</v>
      </c>
      <c r="C823" s="2">
        <v>43084</v>
      </c>
      <c r="D823" s="2">
        <v>43084</v>
      </c>
      <c r="E823" s="3">
        <v>42639</v>
      </c>
      <c r="F823" t="s">
        <v>570</v>
      </c>
      <c r="G823" t="s">
        <v>735</v>
      </c>
      <c r="H823" t="s">
        <v>45</v>
      </c>
      <c r="I823" s="3">
        <v>10031</v>
      </c>
      <c r="J823" s="3">
        <v>1020840049</v>
      </c>
      <c r="K823" s="3">
        <v>1062245</v>
      </c>
      <c r="L823" t="s">
        <v>169</v>
      </c>
      <c r="M823" s="4">
        <v>7</v>
      </c>
      <c r="N823" t="s">
        <v>736</v>
      </c>
      <c r="O823" t="s">
        <v>232</v>
      </c>
      <c r="P823" s="4">
        <v>40.830669</v>
      </c>
      <c r="Q823" s="4">
        <v>-73.944885999999997</v>
      </c>
      <c r="R823" s="4">
        <v>40.830699000000003</v>
      </c>
      <c r="S823" s="4">
        <v>-73.945526000000001</v>
      </c>
      <c r="T823" s="2">
        <v>43084</v>
      </c>
      <c r="U823" t="s">
        <v>49</v>
      </c>
      <c r="V823" t="s">
        <v>50</v>
      </c>
      <c r="W823" t="s">
        <v>51</v>
      </c>
      <c r="AA823" s="4">
        <v>10</v>
      </c>
      <c r="AD823" s="4">
        <v>1</v>
      </c>
      <c r="AF823" s="4">
        <v>9</v>
      </c>
      <c r="AL823" s="4">
        <v>10</v>
      </c>
      <c r="AN823" s="4">
        <v>10</v>
      </c>
      <c r="AO823" s="4">
        <v>10</v>
      </c>
    </row>
    <row r="824" spans="1:41" hidden="1" x14ac:dyDescent="0.2">
      <c r="A824" t="s">
        <v>1629</v>
      </c>
      <c r="B824" t="s">
        <v>1630</v>
      </c>
      <c r="C824" s="2">
        <v>43084</v>
      </c>
      <c r="D824" s="2">
        <v>43084</v>
      </c>
      <c r="E824" s="3">
        <v>42642</v>
      </c>
      <c r="F824" t="s">
        <v>1631</v>
      </c>
      <c r="G824" t="s">
        <v>735</v>
      </c>
      <c r="H824" t="s">
        <v>45</v>
      </c>
      <c r="I824" s="3">
        <v>10031</v>
      </c>
      <c r="J824" s="3">
        <v>1020840053</v>
      </c>
      <c r="K824" s="3">
        <v>1062248</v>
      </c>
      <c r="L824" t="s">
        <v>169</v>
      </c>
      <c r="M824" s="4">
        <v>7</v>
      </c>
      <c r="N824" t="s">
        <v>736</v>
      </c>
      <c r="O824" t="s">
        <v>232</v>
      </c>
      <c r="P824" s="4">
        <v>40.830734999999997</v>
      </c>
      <c r="Q824" s="4">
        <v>-73.945044999999993</v>
      </c>
      <c r="R824" s="4">
        <v>40.830863999999998</v>
      </c>
      <c r="S824" s="4">
        <v>-73.945920000000001</v>
      </c>
      <c r="T824" s="2">
        <v>43084</v>
      </c>
      <c r="U824" t="s">
        <v>49</v>
      </c>
      <c r="V824" t="s">
        <v>50</v>
      </c>
      <c r="W824" t="s">
        <v>51</v>
      </c>
      <c r="AA824" s="4">
        <v>24</v>
      </c>
      <c r="AC824" s="4">
        <v>1</v>
      </c>
      <c r="AF824" s="4">
        <v>16</v>
      </c>
      <c r="AG824" s="4">
        <v>9</v>
      </c>
      <c r="AL824" s="4">
        <v>25</v>
      </c>
      <c r="AN824" s="4">
        <v>25</v>
      </c>
      <c r="AO824" s="4">
        <v>25</v>
      </c>
    </row>
    <row r="825" spans="1:41" hidden="1" x14ac:dyDescent="0.2">
      <c r="A825" t="s">
        <v>1632</v>
      </c>
      <c r="B825" t="s">
        <v>140</v>
      </c>
      <c r="C825" s="2">
        <v>43055</v>
      </c>
      <c r="D825" s="2">
        <v>43055</v>
      </c>
      <c r="F825" t="s">
        <v>141</v>
      </c>
      <c r="G825" t="s">
        <v>141</v>
      </c>
      <c r="H825" t="s">
        <v>45</v>
      </c>
      <c r="L825" t="s">
        <v>153</v>
      </c>
      <c r="M825" s="4">
        <v>8</v>
      </c>
      <c r="T825" s="2">
        <v>43055</v>
      </c>
      <c r="U825" t="s">
        <v>117</v>
      </c>
      <c r="V825" t="s">
        <v>71</v>
      </c>
      <c r="W825" t="s">
        <v>51</v>
      </c>
      <c r="Z825" s="4">
        <v>1</v>
      </c>
      <c r="AE825" s="4">
        <v>1</v>
      </c>
      <c r="AM825" s="4">
        <v>1</v>
      </c>
      <c r="AN825" s="4">
        <v>1</v>
      </c>
      <c r="AO825" s="4">
        <v>1</v>
      </c>
    </row>
    <row r="826" spans="1:41" hidden="1" x14ac:dyDescent="0.2">
      <c r="A826" t="s">
        <v>1633</v>
      </c>
      <c r="B826" t="s">
        <v>1634</v>
      </c>
      <c r="C826" s="2">
        <v>43047</v>
      </c>
      <c r="D826" s="2">
        <v>43047</v>
      </c>
      <c r="E826" s="3">
        <v>3974</v>
      </c>
      <c r="F826" t="s">
        <v>1635</v>
      </c>
      <c r="G826" t="s">
        <v>175</v>
      </c>
      <c r="H826" t="s">
        <v>45</v>
      </c>
      <c r="I826" s="3">
        <v>10026</v>
      </c>
      <c r="J826" s="3">
        <v>1019440036</v>
      </c>
      <c r="K826" s="3">
        <v>1077380</v>
      </c>
      <c r="L826" t="s">
        <v>146</v>
      </c>
      <c r="M826" s="4">
        <v>9</v>
      </c>
      <c r="N826" t="s">
        <v>298</v>
      </c>
      <c r="O826" t="s">
        <v>148</v>
      </c>
      <c r="P826" s="4">
        <v>40.805385999999999</v>
      </c>
      <c r="Q826" s="4">
        <v>-73.954674999999995</v>
      </c>
      <c r="R826" s="4">
        <v>40.805669000000002</v>
      </c>
      <c r="S826" s="4">
        <v>-73.954995999999994</v>
      </c>
      <c r="T826" s="2">
        <v>43047</v>
      </c>
      <c r="U826" t="s">
        <v>49</v>
      </c>
      <c r="V826" t="s">
        <v>50</v>
      </c>
      <c r="W826" t="s">
        <v>51</v>
      </c>
      <c r="Y826" s="4">
        <v>24</v>
      </c>
      <c r="Z826" s="4">
        <v>55</v>
      </c>
      <c r="AC826" s="4">
        <v>1</v>
      </c>
      <c r="AD826" s="4">
        <v>20</v>
      </c>
      <c r="AE826" s="4">
        <v>59</v>
      </c>
      <c r="AF826" s="4">
        <v>1</v>
      </c>
      <c r="AL826" s="4">
        <v>80</v>
      </c>
      <c r="AN826" s="4">
        <v>80</v>
      </c>
      <c r="AO826" s="4">
        <v>80</v>
      </c>
    </row>
    <row r="827" spans="1:41" hidden="1" x14ac:dyDescent="0.2">
      <c r="A827" t="s">
        <v>1636</v>
      </c>
      <c r="B827" t="s">
        <v>1637</v>
      </c>
      <c r="C827" s="2">
        <v>43040</v>
      </c>
      <c r="D827" s="2">
        <v>43810</v>
      </c>
      <c r="E827" s="3">
        <v>975686</v>
      </c>
      <c r="F827" t="s">
        <v>128</v>
      </c>
      <c r="G827" t="s">
        <v>1638</v>
      </c>
      <c r="H827" t="s">
        <v>45</v>
      </c>
      <c r="I827" s="3">
        <v>10002</v>
      </c>
      <c r="J827" s="3">
        <v>1003540001</v>
      </c>
      <c r="K827" s="3">
        <v>1090736</v>
      </c>
      <c r="L827" t="s">
        <v>64</v>
      </c>
      <c r="M827" s="4">
        <v>1</v>
      </c>
      <c r="N827" t="s">
        <v>1625</v>
      </c>
      <c r="O827" t="s">
        <v>66</v>
      </c>
      <c r="P827" s="4">
        <v>40.720291000000003</v>
      </c>
      <c r="Q827" s="4">
        <v>-73.987297999999996</v>
      </c>
      <c r="R827" s="4">
        <v>40.720185999999998</v>
      </c>
      <c r="S827" s="4">
        <v>-73.987081000000003</v>
      </c>
      <c r="T827" s="2">
        <v>43810</v>
      </c>
      <c r="U827" t="s">
        <v>117</v>
      </c>
      <c r="V827" t="s">
        <v>71</v>
      </c>
      <c r="W827" t="s">
        <v>51</v>
      </c>
      <c r="X827" s="4">
        <v>28</v>
      </c>
      <c r="Y827" s="4">
        <v>34</v>
      </c>
      <c r="Z827" s="4">
        <v>30</v>
      </c>
      <c r="AC827" s="4">
        <v>1</v>
      </c>
      <c r="AD827" s="4">
        <v>93</v>
      </c>
      <c r="AL827" s="4">
        <v>93</v>
      </c>
      <c r="AN827" s="4">
        <v>93</v>
      </c>
      <c r="AO827" s="4">
        <v>93</v>
      </c>
    </row>
    <row r="828" spans="1:41" hidden="1" x14ac:dyDescent="0.2">
      <c r="A828" t="s">
        <v>1639</v>
      </c>
      <c r="B828" t="s">
        <v>1640</v>
      </c>
      <c r="C828" s="2">
        <v>43039</v>
      </c>
      <c r="D828" s="2">
        <v>43350</v>
      </c>
      <c r="E828" s="3">
        <v>972028</v>
      </c>
      <c r="F828" t="s">
        <v>1641</v>
      </c>
      <c r="G828" t="s">
        <v>201</v>
      </c>
      <c r="H828" t="s">
        <v>45</v>
      </c>
      <c r="I828" s="3">
        <v>10036</v>
      </c>
      <c r="J828" s="3">
        <v>1010720001</v>
      </c>
      <c r="K828" s="3">
        <v>1090460</v>
      </c>
      <c r="L828" t="s">
        <v>78</v>
      </c>
      <c r="M828" s="4">
        <v>3</v>
      </c>
      <c r="N828" t="s">
        <v>202</v>
      </c>
      <c r="O828" t="s">
        <v>80</v>
      </c>
      <c r="P828" s="4">
        <v>40.761405000000003</v>
      </c>
      <c r="Q828" s="4">
        <v>-73.997321999999997</v>
      </c>
      <c r="R828" s="4">
        <v>40.761659999999999</v>
      </c>
      <c r="S828" s="4">
        <v>-73.997321999999997</v>
      </c>
      <c r="T828" s="2">
        <v>43350</v>
      </c>
      <c r="U828" t="s">
        <v>117</v>
      </c>
      <c r="V828" t="s">
        <v>71</v>
      </c>
      <c r="W828" t="s">
        <v>51</v>
      </c>
      <c r="Y828" s="4">
        <v>17</v>
      </c>
      <c r="Z828" s="4">
        <v>20</v>
      </c>
      <c r="AB828" s="4">
        <v>9</v>
      </c>
      <c r="AD828" s="4">
        <v>15</v>
      </c>
      <c r="AE828" s="4">
        <v>24</v>
      </c>
      <c r="AF828" s="4">
        <v>7</v>
      </c>
      <c r="AL828" s="4">
        <v>46</v>
      </c>
      <c r="AN828" s="4">
        <v>46</v>
      </c>
      <c r="AO828" s="4">
        <v>164</v>
      </c>
    </row>
    <row r="829" spans="1:41" hidden="1" x14ac:dyDescent="0.2">
      <c r="A829" t="s">
        <v>1642</v>
      </c>
      <c r="B829" t="s">
        <v>1643</v>
      </c>
      <c r="C829" s="2">
        <v>43038</v>
      </c>
      <c r="D829" s="2">
        <v>43864</v>
      </c>
      <c r="E829" s="3">
        <v>9804</v>
      </c>
      <c r="F829" t="s">
        <v>1644</v>
      </c>
      <c r="G829" t="s">
        <v>558</v>
      </c>
      <c r="H829" t="s">
        <v>45</v>
      </c>
      <c r="I829" s="3">
        <v>10025</v>
      </c>
      <c r="J829" s="3">
        <v>1012070001</v>
      </c>
      <c r="K829" s="3">
        <v>1079516</v>
      </c>
      <c r="L829" t="s">
        <v>46</v>
      </c>
      <c r="M829" s="4">
        <v>6</v>
      </c>
      <c r="N829" t="s">
        <v>793</v>
      </c>
      <c r="O829" t="s">
        <v>285</v>
      </c>
      <c r="P829" s="4">
        <v>40.791173000000001</v>
      </c>
      <c r="Q829" s="4">
        <v>-73.968739999999997</v>
      </c>
      <c r="R829" s="4">
        <v>40.790999999999997</v>
      </c>
      <c r="S829" s="4">
        <v>-73.968097</v>
      </c>
      <c r="T829" s="2">
        <v>43864</v>
      </c>
      <c r="U829" t="s">
        <v>49</v>
      </c>
      <c r="V829" t="s">
        <v>71</v>
      </c>
      <c r="W829" t="s">
        <v>51</v>
      </c>
      <c r="Y829" s="4">
        <v>90</v>
      </c>
      <c r="Z829" s="4">
        <v>30</v>
      </c>
      <c r="AE829" s="4">
        <v>60</v>
      </c>
      <c r="AF829" s="4">
        <v>30</v>
      </c>
      <c r="AG829" s="4">
        <v>30</v>
      </c>
      <c r="AM829" s="4">
        <v>120</v>
      </c>
      <c r="AN829" s="4">
        <v>120</v>
      </c>
      <c r="AO829" s="4">
        <v>120</v>
      </c>
    </row>
    <row r="830" spans="1:41" hidden="1" x14ac:dyDescent="0.2">
      <c r="A830" t="s">
        <v>1642</v>
      </c>
      <c r="B830" t="s">
        <v>1643</v>
      </c>
      <c r="C830" s="2">
        <v>43038</v>
      </c>
      <c r="D830" s="2">
        <v>43864</v>
      </c>
      <c r="E830" s="3">
        <v>806136</v>
      </c>
      <c r="F830" t="s">
        <v>682</v>
      </c>
      <c r="G830" t="s">
        <v>1645</v>
      </c>
      <c r="H830" t="s">
        <v>45</v>
      </c>
      <c r="I830" s="3">
        <v>10025</v>
      </c>
      <c r="J830" s="3">
        <v>1012070001</v>
      </c>
      <c r="K830" s="3">
        <v>1082652</v>
      </c>
      <c r="L830" t="s">
        <v>46</v>
      </c>
      <c r="M830" s="4">
        <v>6</v>
      </c>
      <c r="N830" t="s">
        <v>793</v>
      </c>
      <c r="O830" t="s">
        <v>285</v>
      </c>
      <c r="P830" s="4">
        <v>40.791257999999999</v>
      </c>
      <c r="Q830" s="4">
        <v>-73.967771999999997</v>
      </c>
      <c r="R830" s="4">
        <v>40.790999999999997</v>
      </c>
      <c r="S830" s="4">
        <v>-73.968097</v>
      </c>
      <c r="T830" s="2">
        <v>43864</v>
      </c>
      <c r="U830" t="s">
        <v>49</v>
      </c>
      <c r="V830" t="s">
        <v>71</v>
      </c>
      <c r="W830" t="s">
        <v>51</v>
      </c>
      <c r="Y830" s="4">
        <v>76</v>
      </c>
      <c r="Z830" s="4">
        <v>38</v>
      </c>
      <c r="AD830" s="4">
        <v>18</v>
      </c>
      <c r="AF830" s="4">
        <v>58</v>
      </c>
      <c r="AG830" s="4">
        <v>19</v>
      </c>
      <c r="AH830" s="4">
        <v>19</v>
      </c>
      <c r="AM830" s="4">
        <v>114</v>
      </c>
      <c r="AN830" s="4">
        <v>114</v>
      </c>
      <c r="AO830" s="4">
        <v>114</v>
      </c>
    </row>
    <row r="831" spans="1:41" hidden="1" x14ac:dyDescent="0.2">
      <c r="A831" t="s">
        <v>1646</v>
      </c>
      <c r="B831" t="s">
        <v>1647</v>
      </c>
      <c r="C831" s="2">
        <v>43034</v>
      </c>
      <c r="D831" s="2">
        <v>45449</v>
      </c>
      <c r="E831" s="3">
        <v>37054</v>
      </c>
      <c r="F831" t="s">
        <v>1648</v>
      </c>
      <c r="G831" t="s">
        <v>1645</v>
      </c>
      <c r="H831" t="s">
        <v>45</v>
      </c>
      <c r="I831" s="3">
        <v>10025</v>
      </c>
      <c r="J831" s="3">
        <v>1012240058</v>
      </c>
      <c r="K831" s="3">
        <v>1032545</v>
      </c>
      <c r="L831" t="s">
        <v>46</v>
      </c>
      <c r="M831" s="4">
        <v>7</v>
      </c>
      <c r="N831" t="s">
        <v>793</v>
      </c>
      <c r="O831" t="s">
        <v>285</v>
      </c>
      <c r="P831" s="4">
        <v>40.792482999999997</v>
      </c>
      <c r="Q831" s="4">
        <v>-73.970688999999993</v>
      </c>
      <c r="R831" s="4">
        <v>40.792397999999999</v>
      </c>
      <c r="S831" s="4">
        <v>-73.971024999999997</v>
      </c>
      <c r="T831" s="2">
        <v>45449</v>
      </c>
      <c r="U831" t="s">
        <v>49</v>
      </c>
      <c r="V831" t="s">
        <v>71</v>
      </c>
      <c r="W831" t="s">
        <v>123</v>
      </c>
      <c r="X831" s="4">
        <v>14</v>
      </c>
      <c r="Y831" s="4">
        <v>76</v>
      </c>
      <c r="Z831" s="4">
        <v>29</v>
      </c>
      <c r="AC831" s="4">
        <v>1</v>
      </c>
      <c r="AD831" s="4">
        <v>32</v>
      </c>
      <c r="AE831" s="4">
        <v>88</v>
      </c>
      <c r="AL831" s="4">
        <v>120</v>
      </c>
      <c r="AN831" s="4">
        <v>120</v>
      </c>
      <c r="AO831" s="4">
        <v>120</v>
      </c>
    </row>
    <row r="832" spans="1:41" hidden="1" x14ac:dyDescent="0.2">
      <c r="A832" t="s">
        <v>1649</v>
      </c>
      <c r="B832" t="s">
        <v>1650</v>
      </c>
      <c r="C832" s="2">
        <v>43027</v>
      </c>
      <c r="D832" s="2">
        <v>44424</v>
      </c>
      <c r="E832" s="3">
        <v>23493</v>
      </c>
      <c r="F832" t="s">
        <v>1651</v>
      </c>
      <c r="G832" t="s">
        <v>274</v>
      </c>
      <c r="H832" t="s">
        <v>45</v>
      </c>
      <c r="I832" s="3">
        <v>10027</v>
      </c>
      <c r="J832" s="3">
        <v>1017210003</v>
      </c>
      <c r="K832" s="3">
        <v>1053389</v>
      </c>
      <c r="L832" t="s">
        <v>146</v>
      </c>
      <c r="M832" s="4">
        <v>9</v>
      </c>
      <c r="N832" t="s">
        <v>1472</v>
      </c>
      <c r="O832" t="s">
        <v>148</v>
      </c>
      <c r="P832" s="4">
        <v>40.806125999999999</v>
      </c>
      <c r="Q832" s="4">
        <v>-73.946676999999994</v>
      </c>
      <c r="R832" s="4">
        <v>40.805885000000004</v>
      </c>
      <c r="S832" s="4">
        <v>-73.946363000000005</v>
      </c>
      <c r="T832" s="2">
        <v>43908</v>
      </c>
      <c r="U832" t="s">
        <v>49</v>
      </c>
      <c r="V832" t="s">
        <v>71</v>
      </c>
      <c r="W832" t="s">
        <v>51</v>
      </c>
      <c r="Y832" s="4">
        <v>2</v>
      </c>
      <c r="Z832" s="4">
        <v>8</v>
      </c>
      <c r="AD832" s="4">
        <v>2</v>
      </c>
      <c r="AE832" s="4">
        <v>8</v>
      </c>
      <c r="AL832" s="4">
        <v>10</v>
      </c>
      <c r="AN832" s="4">
        <v>10</v>
      </c>
      <c r="AO832" s="4">
        <v>10</v>
      </c>
    </row>
    <row r="833" spans="1:41" hidden="1" x14ac:dyDescent="0.2">
      <c r="A833" t="s">
        <v>1649</v>
      </c>
      <c r="B833" t="s">
        <v>1650</v>
      </c>
      <c r="C833" s="2">
        <v>43027</v>
      </c>
      <c r="D833" s="2">
        <v>44424</v>
      </c>
      <c r="E833" s="3">
        <v>38692</v>
      </c>
      <c r="F833" t="s">
        <v>1171</v>
      </c>
      <c r="G833" t="s">
        <v>504</v>
      </c>
      <c r="H833" t="s">
        <v>45</v>
      </c>
      <c r="I833" s="3">
        <v>10026</v>
      </c>
      <c r="J833" s="3">
        <v>1017180027</v>
      </c>
      <c r="K833" s="3">
        <v>1053254</v>
      </c>
      <c r="L833" t="s">
        <v>146</v>
      </c>
      <c r="M833" s="4">
        <v>9</v>
      </c>
      <c r="N833" t="s">
        <v>1472</v>
      </c>
      <c r="O833" t="s">
        <v>148</v>
      </c>
      <c r="P833" s="4">
        <v>40.803069000000001</v>
      </c>
      <c r="Q833" s="4">
        <v>-73.946145000000001</v>
      </c>
      <c r="R833" s="4">
        <v>40.803156000000001</v>
      </c>
      <c r="S833" s="4">
        <v>-73.945812000000004</v>
      </c>
      <c r="T833" s="2">
        <v>44424</v>
      </c>
      <c r="U833" t="s">
        <v>49</v>
      </c>
      <c r="V833" t="s">
        <v>71</v>
      </c>
      <c r="W833" t="s">
        <v>51</v>
      </c>
      <c r="Y833" s="4">
        <v>4</v>
      </c>
      <c r="Z833" s="4">
        <v>18</v>
      </c>
      <c r="AC833" s="4">
        <v>1</v>
      </c>
      <c r="AD833" s="4">
        <v>4</v>
      </c>
      <c r="AE833" s="4">
        <v>8</v>
      </c>
      <c r="AF833" s="4">
        <v>6</v>
      </c>
      <c r="AG833" s="4">
        <v>4</v>
      </c>
      <c r="AH833" s="4">
        <v>1</v>
      </c>
      <c r="AL833" s="4">
        <v>23</v>
      </c>
      <c r="AN833" s="4">
        <v>23</v>
      </c>
      <c r="AO833" s="4">
        <v>23</v>
      </c>
    </row>
    <row r="834" spans="1:41" hidden="1" x14ac:dyDescent="0.2">
      <c r="A834" t="s">
        <v>1649</v>
      </c>
      <c r="B834" t="s">
        <v>1650</v>
      </c>
      <c r="C834" s="2">
        <v>43027</v>
      </c>
      <c r="D834" s="2">
        <v>44424</v>
      </c>
      <c r="E834" s="3">
        <v>39109</v>
      </c>
      <c r="F834" t="s">
        <v>728</v>
      </c>
      <c r="G834" t="s">
        <v>1652</v>
      </c>
      <c r="H834" t="s">
        <v>45</v>
      </c>
      <c r="I834" s="3">
        <v>10027</v>
      </c>
      <c r="J834" s="3">
        <v>1019070008</v>
      </c>
      <c r="K834" s="3">
        <v>1057707</v>
      </c>
      <c r="L834" t="s">
        <v>146</v>
      </c>
      <c r="M834" s="4">
        <v>9</v>
      </c>
      <c r="N834" t="s">
        <v>147</v>
      </c>
      <c r="O834" t="s">
        <v>148</v>
      </c>
      <c r="P834" s="4">
        <v>40.806494999999998</v>
      </c>
      <c r="Q834" s="4">
        <v>-73.948428000000007</v>
      </c>
      <c r="R834" s="4">
        <v>40.806925999999997</v>
      </c>
      <c r="S834" s="4">
        <v>-73.948886999999999</v>
      </c>
      <c r="T834" s="2">
        <v>44090</v>
      </c>
      <c r="U834" t="s">
        <v>49</v>
      </c>
      <c r="V834" t="s">
        <v>71</v>
      </c>
      <c r="W834" t="s">
        <v>51</v>
      </c>
      <c r="Z834" s="4">
        <v>4</v>
      </c>
      <c r="AE834" s="4">
        <v>4</v>
      </c>
      <c r="AL834" s="4">
        <v>4</v>
      </c>
      <c r="AN834" s="4">
        <v>4</v>
      </c>
      <c r="AO834" s="4">
        <v>4</v>
      </c>
    </row>
    <row r="835" spans="1:41" hidden="1" x14ac:dyDescent="0.2">
      <c r="A835" t="s">
        <v>1649</v>
      </c>
      <c r="B835" t="s">
        <v>1650</v>
      </c>
      <c r="C835" s="2">
        <v>43027</v>
      </c>
      <c r="D835" s="2">
        <v>44424</v>
      </c>
      <c r="E835" s="3">
        <v>39958</v>
      </c>
      <c r="F835" t="s">
        <v>1653</v>
      </c>
      <c r="G835" t="s">
        <v>304</v>
      </c>
      <c r="H835" t="s">
        <v>45</v>
      </c>
      <c r="I835" s="3">
        <v>10027</v>
      </c>
      <c r="J835" s="3">
        <v>1019540055</v>
      </c>
      <c r="K835" s="3">
        <v>1059392</v>
      </c>
      <c r="L835" t="s">
        <v>169</v>
      </c>
      <c r="M835" s="4">
        <v>9</v>
      </c>
      <c r="N835" t="s">
        <v>187</v>
      </c>
      <c r="O835" t="s">
        <v>171</v>
      </c>
      <c r="P835" s="4">
        <v>40.813097999999997</v>
      </c>
      <c r="Q835" s="4">
        <v>-73.952168999999998</v>
      </c>
      <c r="R835" s="4">
        <v>40.813040000000001</v>
      </c>
      <c r="S835" s="4">
        <v>-73.952599000000006</v>
      </c>
      <c r="T835" s="2">
        <v>44368</v>
      </c>
      <c r="U835" t="s">
        <v>49</v>
      </c>
      <c r="V835" t="s">
        <v>71</v>
      </c>
      <c r="W835" t="s">
        <v>51</v>
      </c>
      <c r="Y835" s="4">
        <v>8</v>
      </c>
      <c r="Z835" s="4">
        <v>47</v>
      </c>
      <c r="AC835" s="4">
        <v>1</v>
      </c>
      <c r="AE835" s="4">
        <v>37</v>
      </c>
      <c r="AF835" s="4">
        <v>12</v>
      </c>
      <c r="AG835" s="4">
        <v>7</v>
      </c>
      <c r="AL835" s="4">
        <v>56</v>
      </c>
      <c r="AN835" s="4">
        <v>56</v>
      </c>
      <c r="AO835" s="4">
        <v>56</v>
      </c>
    </row>
    <row r="836" spans="1:41" hidden="1" x14ac:dyDescent="0.2">
      <c r="A836" t="s">
        <v>1649</v>
      </c>
      <c r="B836" t="s">
        <v>1650</v>
      </c>
      <c r="C836" s="2">
        <v>43027</v>
      </c>
      <c r="D836" s="2">
        <v>44424</v>
      </c>
      <c r="E836" s="3">
        <v>40005</v>
      </c>
      <c r="F836" t="s">
        <v>1654</v>
      </c>
      <c r="G836" t="s">
        <v>428</v>
      </c>
      <c r="H836" t="s">
        <v>45</v>
      </c>
      <c r="I836" s="3">
        <v>10027</v>
      </c>
      <c r="J836" s="3">
        <v>1019130040</v>
      </c>
      <c r="K836" s="3">
        <v>1082693</v>
      </c>
      <c r="L836" t="s">
        <v>146</v>
      </c>
      <c r="M836" s="4">
        <v>9</v>
      </c>
      <c r="N836" t="s">
        <v>244</v>
      </c>
      <c r="O836" t="s">
        <v>177</v>
      </c>
      <c r="P836" s="4">
        <v>40.810749999999999</v>
      </c>
      <c r="Q836" s="4">
        <v>-73.944678999999994</v>
      </c>
      <c r="R836" s="4">
        <v>40.810476000000001</v>
      </c>
      <c r="S836" s="4">
        <v>-73.944592</v>
      </c>
      <c r="T836" s="2">
        <v>43776</v>
      </c>
      <c r="U836" t="s">
        <v>49</v>
      </c>
      <c r="V836" t="s">
        <v>71</v>
      </c>
      <c r="W836" t="s">
        <v>51</v>
      </c>
      <c r="Y836" s="4">
        <v>3</v>
      </c>
      <c r="Z836" s="4">
        <v>24</v>
      </c>
      <c r="AC836" s="4">
        <v>1</v>
      </c>
      <c r="AD836" s="4">
        <v>4</v>
      </c>
      <c r="AE836" s="4">
        <v>13</v>
      </c>
      <c r="AF836" s="4">
        <v>6</v>
      </c>
      <c r="AG836" s="4">
        <v>4</v>
      </c>
      <c r="AH836" s="4">
        <v>1</v>
      </c>
      <c r="AL836" s="4">
        <v>28</v>
      </c>
      <c r="AN836" s="4">
        <v>28</v>
      </c>
      <c r="AO836" s="4">
        <v>28</v>
      </c>
    </row>
    <row r="837" spans="1:41" hidden="1" x14ac:dyDescent="0.2">
      <c r="A837" t="s">
        <v>1649</v>
      </c>
      <c r="B837" t="s">
        <v>1650</v>
      </c>
      <c r="C837" s="2">
        <v>43027</v>
      </c>
      <c r="D837" s="2">
        <v>44424</v>
      </c>
      <c r="E837" s="3">
        <v>40238</v>
      </c>
      <c r="F837" t="s">
        <v>813</v>
      </c>
      <c r="G837" t="s">
        <v>434</v>
      </c>
      <c r="H837" t="s">
        <v>45</v>
      </c>
      <c r="I837" s="3">
        <v>10027</v>
      </c>
      <c r="J837" s="3">
        <v>1019160025</v>
      </c>
      <c r="K837" s="3">
        <v>1058098</v>
      </c>
      <c r="L837" t="s">
        <v>146</v>
      </c>
      <c r="M837" s="4">
        <v>9</v>
      </c>
      <c r="N837" t="s">
        <v>309</v>
      </c>
      <c r="O837" t="s">
        <v>177</v>
      </c>
      <c r="P837" s="4">
        <v>40.811855999999999</v>
      </c>
      <c r="Q837" s="4">
        <v>-73.943381000000002</v>
      </c>
      <c r="R837" s="4">
        <v>40.812063999999999</v>
      </c>
      <c r="S837" s="4">
        <v>-73.943319000000002</v>
      </c>
      <c r="T837" s="2">
        <v>43763</v>
      </c>
      <c r="U837" t="s">
        <v>49</v>
      </c>
      <c r="V837" t="s">
        <v>71</v>
      </c>
      <c r="W837" t="s">
        <v>51</v>
      </c>
      <c r="Z837" s="4">
        <v>4</v>
      </c>
      <c r="AD837" s="4">
        <v>1</v>
      </c>
      <c r="AE837" s="4">
        <v>3</v>
      </c>
      <c r="AL837" s="4">
        <v>4</v>
      </c>
      <c r="AN837" s="4">
        <v>4</v>
      </c>
      <c r="AO837" s="4">
        <v>4</v>
      </c>
    </row>
    <row r="838" spans="1:41" hidden="1" x14ac:dyDescent="0.2">
      <c r="A838" t="s">
        <v>1655</v>
      </c>
      <c r="B838" t="s">
        <v>1656</v>
      </c>
      <c r="C838" s="2">
        <v>43012</v>
      </c>
      <c r="D838" s="2">
        <v>43012</v>
      </c>
      <c r="E838" s="3">
        <v>33799</v>
      </c>
      <c r="F838" t="s">
        <v>846</v>
      </c>
      <c r="G838" t="s">
        <v>1475</v>
      </c>
      <c r="H838" t="s">
        <v>45</v>
      </c>
      <c r="I838" s="3">
        <v>10019</v>
      </c>
      <c r="J838" s="3">
        <v>1010410011</v>
      </c>
      <c r="K838" s="3">
        <v>1082646</v>
      </c>
      <c r="L838" t="s">
        <v>78</v>
      </c>
      <c r="M838" s="4">
        <v>3</v>
      </c>
      <c r="N838" t="s">
        <v>490</v>
      </c>
      <c r="O838" t="s">
        <v>80</v>
      </c>
      <c r="P838" s="4">
        <v>40.763005</v>
      </c>
      <c r="Q838" s="4">
        <v>-73.987780999999998</v>
      </c>
      <c r="R838" s="4">
        <v>40.763254000000003</v>
      </c>
      <c r="S838" s="4">
        <v>-73.987798999999995</v>
      </c>
      <c r="T838" s="2">
        <v>43012</v>
      </c>
      <c r="U838" t="s">
        <v>49</v>
      </c>
      <c r="V838" t="s">
        <v>50</v>
      </c>
      <c r="W838" t="s">
        <v>51</v>
      </c>
      <c r="X838" s="4">
        <v>110</v>
      </c>
      <c r="Y838" s="4">
        <v>17</v>
      </c>
      <c r="Z838" s="4">
        <v>16</v>
      </c>
      <c r="AA838" s="4">
        <v>6</v>
      </c>
      <c r="AB838" s="4">
        <v>1</v>
      </c>
      <c r="AC838" s="4">
        <v>1</v>
      </c>
      <c r="AE838" s="4">
        <v>92</v>
      </c>
      <c r="AF838" s="4">
        <v>47</v>
      </c>
      <c r="AG838" s="4">
        <v>12</v>
      </c>
      <c r="AL838" s="4">
        <v>151</v>
      </c>
      <c r="AN838" s="4">
        <v>151</v>
      </c>
      <c r="AO838" s="4">
        <v>151</v>
      </c>
    </row>
    <row r="839" spans="1:41" hidden="1" x14ac:dyDescent="0.2">
      <c r="A839" t="s">
        <v>1657</v>
      </c>
      <c r="B839" t="s">
        <v>1658</v>
      </c>
      <c r="C839" s="2">
        <v>43012</v>
      </c>
      <c r="D839" s="2">
        <v>43012</v>
      </c>
      <c r="E839" s="3">
        <v>806042</v>
      </c>
      <c r="F839" t="s">
        <v>920</v>
      </c>
      <c r="G839" t="s">
        <v>300</v>
      </c>
      <c r="H839" t="s">
        <v>45</v>
      </c>
      <c r="I839" s="3">
        <v>10026</v>
      </c>
      <c r="J839" s="3">
        <v>1018250059</v>
      </c>
      <c r="K839" s="3">
        <v>1055056</v>
      </c>
      <c r="L839" t="s">
        <v>146</v>
      </c>
      <c r="M839" s="4">
        <v>9</v>
      </c>
      <c r="N839" t="s">
        <v>318</v>
      </c>
      <c r="O839" t="s">
        <v>148</v>
      </c>
      <c r="P839" s="4">
        <v>40.802725000000002</v>
      </c>
      <c r="Q839" s="4">
        <v>-73.951370999999995</v>
      </c>
      <c r="R839" s="4">
        <v>40.802632000000003</v>
      </c>
      <c r="S839" s="4">
        <v>-73.951874000000004</v>
      </c>
      <c r="T839" s="2">
        <v>43012</v>
      </c>
      <c r="U839" t="s">
        <v>49</v>
      </c>
      <c r="V839" t="s">
        <v>50</v>
      </c>
      <c r="W839" t="s">
        <v>51</v>
      </c>
      <c r="Z839" s="4">
        <v>88</v>
      </c>
      <c r="AC839" s="4">
        <v>1</v>
      </c>
      <c r="AD839" s="4">
        <v>1</v>
      </c>
      <c r="AE839" s="4">
        <v>87</v>
      </c>
      <c r="AF839" s="4">
        <v>1</v>
      </c>
      <c r="AL839" s="4">
        <v>89</v>
      </c>
      <c r="AN839" s="4">
        <v>89</v>
      </c>
      <c r="AO839" s="4">
        <v>89</v>
      </c>
    </row>
    <row r="840" spans="1:41" hidden="1" x14ac:dyDescent="0.2">
      <c r="A840" t="s">
        <v>1659</v>
      </c>
      <c r="B840" t="s">
        <v>1660</v>
      </c>
      <c r="C840" s="2">
        <v>43007</v>
      </c>
      <c r="D840" s="2">
        <v>43007</v>
      </c>
      <c r="E840" s="3">
        <v>946595</v>
      </c>
      <c r="F840" t="s">
        <v>989</v>
      </c>
      <c r="G840" t="s">
        <v>400</v>
      </c>
      <c r="H840" t="s">
        <v>45</v>
      </c>
      <c r="I840" s="3">
        <v>10036</v>
      </c>
      <c r="J840" s="3">
        <v>1010907502</v>
      </c>
      <c r="K840" s="3">
        <v>1089438</v>
      </c>
      <c r="L840" t="s">
        <v>78</v>
      </c>
      <c r="M840" s="4">
        <v>3</v>
      </c>
      <c r="N840" t="s">
        <v>202</v>
      </c>
      <c r="O840" t="s">
        <v>80</v>
      </c>
      <c r="P840" s="4">
        <v>40.760959999999997</v>
      </c>
      <c r="Q840" s="4">
        <v>-73.998616999999996</v>
      </c>
      <c r="R840" s="4">
        <v>40.761530999999998</v>
      </c>
      <c r="S840" s="4">
        <v>-73.998779999999996</v>
      </c>
      <c r="T840" s="2">
        <v>43007</v>
      </c>
      <c r="U840" t="s">
        <v>117</v>
      </c>
      <c r="V840" t="s">
        <v>71</v>
      </c>
      <c r="W840" t="s">
        <v>51</v>
      </c>
      <c r="AA840" s="4">
        <v>59</v>
      </c>
      <c r="AD840" s="4">
        <v>31</v>
      </c>
      <c r="AE840" s="4">
        <v>23</v>
      </c>
      <c r="AF840" s="4">
        <v>5</v>
      </c>
      <c r="AL840" s="4">
        <v>59</v>
      </c>
      <c r="AN840" s="4">
        <v>59</v>
      </c>
      <c r="AO840" s="4">
        <v>1175</v>
      </c>
    </row>
    <row r="841" spans="1:41" hidden="1" x14ac:dyDescent="0.2">
      <c r="A841" t="s">
        <v>1661</v>
      </c>
      <c r="B841" t="s">
        <v>1662</v>
      </c>
      <c r="C841" s="2">
        <v>42996</v>
      </c>
      <c r="D841" s="2">
        <v>42996</v>
      </c>
      <c r="E841" s="3">
        <v>931093</v>
      </c>
      <c r="F841" t="s">
        <v>222</v>
      </c>
      <c r="G841" t="s">
        <v>373</v>
      </c>
      <c r="H841" t="s">
        <v>45</v>
      </c>
      <c r="I841" s="3">
        <v>10035</v>
      </c>
      <c r="J841" s="3">
        <v>1017880035</v>
      </c>
      <c r="K841" s="3">
        <v>1089718</v>
      </c>
      <c r="L841" t="s">
        <v>153</v>
      </c>
      <c r="M841" s="4">
        <v>8</v>
      </c>
      <c r="N841" t="s">
        <v>374</v>
      </c>
      <c r="O841" t="s">
        <v>155</v>
      </c>
      <c r="P841" s="4">
        <v>40.802681999999997</v>
      </c>
      <c r="Q841" s="4">
        <v>-73.935500000000005</v>
      </c>
      <c r="R841" s="4">
        <v>40.802275000000002</v>
      </c>
      <c r="S841" s="4">
        <v>-73.935120999999995</v>
      </c>
      <c r="T841" s="2">
        <v>42996</v>
      </c>
      <c r="U841" t="s">
        <v>117</v>
      </c>
      <c r="V841" t="s">
        <v>71</v>
      </c>
      <c r="W841" t="s">
        <v>51</v>
      </c>
      <c r="Z841" s="4">
        <v>5</v>
      </c>
      <c r="AD841" s="4">
        <v>1</v>
      </c>
      <c r="AE841" s="4">
        <v>2</v>
      </c>
      <c r="AF841" s="4">
        <v>2</v>
      </c>
      <c r="AL841" s="4">
        <v>5</v>
      </c>
      <c r="AN841" s="4">
        <v>5</v>
      </c>
      <c r="AO841" s="4">
        <v>20</v>
      </c>
    </row>
    <row r="842" spans="1:41" hidden="1" x14ac:dyDescent="0.2">
      <c r="A842" t="s">
        <v>1663</v>
      </c>
      <c r="B842" t="s">
        <v>1664</v>
      </c>
      <c r="C842" s="2">
        <v>42996</v>
      </c>
      <c r="D842" s="2">
        <v>43434</v>
      </c>
      <c r="E842" s="3">
        <v>4944</v>
      </c>
      <c r="F842" t="s">
        <v>1021</v>
      </c>
      <c r="G842" t="s">
        <v>1665</v>
      </c>
      <c r="H842" t="s">
        <v>45</v>
      </c>
      <c r="I842" s="3">
        <v>10019</v>
      </c>
      <c r="J842" s="3">
        <v>1010680003</v>
      </c>
      <c r="K842" s="3">
        <v>1085140</v>
      </c>
      <c r="L842" t="s">
        <v>78</v>
      </c>
      <c r="M842" s="4">
        <v>6</v>
      </c>
      <c r="N842" t="s">
        <v>120</v>
      </c>
      <c r="O842" t="s">
        <v>770</v>
      </c>
      <c r="P842" s="4">
        <v>40.768915999999997</v>
      </c>
      <c r="Q842" s="4">
        <v>-73.984999999999999</v>
      </c>
      <c r="R842" s="4">
        <v>40.769165999999998</v>
      </c>
      <c r="S842" s="4">
        <v>-73.985703999999998</v>
      </c>
      <c r="T842" s="2">
        <v>43434</v>
      </c>
      <c r="U842" t="s">
        <v>49</v>
      </c>
      <c r="V842" t="s">
        <v>50</v>
      </c>
      <c r="W842" t="s">
        <v>51</v>
      </c>
      <c r="AB842" s="4">
        <v>37</v>
      </c>
      <c r="AK842" s="4">
        <v>37</v>
      </c>
      <c r="AL842" s="4">
        <v>37</v>
      </c>
      <c r="AN842" s="4">
        <v>37</v>
      </c>
      <c r="AO842" s="4">
        <v>729</v>
      </c>
    </row>
    <row r="843" spans="1:41" hidden="1" x14ac:dyDescent="0.2">
      <c r="A843" t="s">
        <v>1666</v>
      </c>
      <c r="B843" t="s">
        <v>1667</v>
      </c>
      <c r="C843" s="2">
        <v>42964</v>
      </c>
      <c r="D843" s="2">
        <v>42964</v>
      </c>
      <c r="E843" s="3">
        <v>5831</v>
      </c>
      <c r="F843" t="s">
        <v>1668</v>
      </c>
      <c r="G843" t="s">
        <v>87</v>
      </c>
      <c r="H843" t="s">
        <v>45</v>
      </c>
      <c r="I843" s="3">
        <v>10032</v>
      </c>
      <c r="J843" s="3">
        <v>1021290046</v>
      </c>
      <c r="K843" s="3">
        <v>1063106</v>
      </c>
      <c r="L843" t="s">
        <v>114</v>
      </c>
      <c r="M843" s="4">
        <v>10</v>
      </c>
      <c r="N843" t="s">
        <v>397</v>
      </c>
      <c r="O843" t="s">
        <v>134</v>
      </c>
      <c r="P843" s="4">
        <v>40.842621999999999</v>
      </c>
      <c r="Q843" s="4">
        <v>-73.934927000000002</v>
      </c>
      <c r="R843" s="4">
        <v>40.842782</v>
      </c>
      <c r="S843" s="4">
        <v>-73.935198</v>
      </c>
      <c r="T843" s="2">
        <v>42964</v>
      </c>
      <c r="U843" t="s">
        <v>49</v>
      </c>
      <c r="V843" t="s">
        <v>50</v>
      </c>
      <c r="W843" t="s">
        <v>51</v>
      </c>
      <c r="Y843" s="4">
        <v>6</v>
      </c>
      <c r="Z843" s="4">
        <v>14</v>
      </c>
      <c r="AC843" s="4">
        <v>1</v>
      </c>
      <c r="AE843" s="4">
        <v>21</v>
      </c>
      <c r="AL843" s="4">
        <v>21</v>
      </c>
      <c r="AN843" s="4">
        <v>21</v>
      </c>
      <c r="AO843" s="4">
        <v>21</v>
      </c>
    </row>
    <row r="844" spans="1:41" hidden="1" x14ac:dyDescent="0.2">
      <c r="A844" t="s">
        <v>1666</v>
      </c>
      <c r="B844" t="s">
        <v>1667</v>
      </c>
      <c r="C844" s="2">
        <v>42964</v>
      </c>
      <c r="D844" s="2">
        <v>42964</v>
      </c>
      <c r="E844" s="3">
        <v>33513</v>
      </c>
      <c r="F844" t="s">
        <v>1669</v>
      </c>
      <c r="G844" t="s">
        <v>1670</v>
      </c>
      <c r="H844" t="s">
        <v>45</v>
      </c>
      <c r="I844" s="3">
        <v>10036</v>
      </c>
      <c r="J844" s="3">
        <v>1010570013</v>
      </c>
      <c r="K844" s="3">
        <v>1026556</v>
      </c>
      <c r="L844" t="s">
        <v>78</v>
      </c>
      <c r="M844" s="4">
        <v>3</v>
      </c>
      <c r="N844" t="s">
        <v>56</v>
      </c>
      <c r="O844" t="s">
        <v>80</v>
      </c>
      <c r="P844" s="4">
        <v>40.762138</v>
      </c>
      <c r="Q844" s="4">
        <v>-73.991552999999996</v>
      </c>
      <c r="R844" s="4">
        <v>40.762492000000002</v>
      </c>
      <c r="S844" s="4">
        <v>-73.991827000000001</v>
      </c>
      <c r="T844" s="2">
        <v>42964</v>
      </c>
      <c r="U844" t="s">
        <v>49</v>
      </c>
      <c r="V844" t="s">
        <v>50</v>
      </c>
      <c r="W844" t="s">
        <v>51</v>
      </c>
      <c r="Y844" s="4">
        <v>6</v>
      </c>
      <c r="Z844" s="4">
        <v>13</v>
      </c>
      <c r="AC844" s="4">
        <v>1</v>
      </c>
      <c r="AD844" s="4">
        <v>12</v>
      </c>
      <c r="AE844" s="4">
        <v>8</v>
      </c>
      <c r="AL844" s="4">
        <v>20</v>
      </c>
      <c r="AN844" s="4">
        <v>20</v>
      </c>
      <c r="AO844" s="4">
        <v>20</v>
      </c>
    </row>
    <row r="845" spans="1:41" hidden="1" x14ac:dyDescent="0.2">
      <c r="A845" t="s">
        <v>1671</v>
      </c>
      <c r="B845" t="s">
        <v>140</v>
      </c>
      <c r="C845" s="2">
        <v>42947</v>
      </c>
      <c r="D845" s="2">
        <v>42947</v>
      </c>
      <c r="F845" t="s">
        <v>141</v>
      </c>
      <c r="G845" t="s">
        <v>141</v>
      </c>
      <c r="H845" t="s">
        <v>45</v>
      </c>
      <c r="L845" t="s">
        <v>153</v>
      </c>
      <c r="M845" s="4">
        <v>8</v>
      </c>
      <c r="T845" s="2">
        <v>42947</v>
      </c>
      <c r="U845" t="s">
        <v>117</v>
      </c>
      <c r="V845" t="s">
        <v>71</v>
      </c>
      <c r="W845" t="s">
        <v>51</v>
      </c>
      <c r="AA845" s="4">
        <v>1</v>
      </c>
      <c r="AF845" s="4">
        <v>1</v>
      </c>
      <c r="AM845" s="4">
        <v>1</v>
      </c>
      <c r="AN845" s="4">
        <v>1</v>
      </c>
      <c r="AO845" s="4">
        <v>1</v>
      </c>
    </row>
    <row r="846" spans="1:41" hidden="1" x14ac:dyDescent="0.2">
      <c r="A846" t="s">
        <v>1672</v>
      </c>
      <c r="B846" t="s">
        <v>1673</v>
      </c>
      <c r="C846" s="2">
        <v>42929</v>
      </c>
      <c r="D846" s="2">
        <v>43074</v>
      </c>
      <c r="E846" s="3">
        <v>39674</v>
      </c>
      <c r="F846" t="s">
        <v>1240</v>
      </c>
      <c r="G846" t="s">
        <v>249</v>
      </c>
      <c r="H846" t="s">
        <v>45</v>
      </c>
      <c r="I846" s="3">
        <v>10027</v>
      </c>
      <c r="J846" s="3">
        <v>1017230153</v>
      </c>
      <c r="K846" s="3">
        <v>1089944</v>
      </c>
      <c r="L846" t="s">
        <v>146</v>
      </c>
      <c r="M846" s="4">
        <v>9</v>
      </c>
      <c r="N846" t="s">
        <v>1472</v>
      </c>
      <c r="O846" t="s">
        <v>148</v>
      </c>
      <c r="P846" s="4">
        <v>40.807648</v>
      </c>
      <c r="Q846" s="4">
        <v>-73.943117000000001</v>
      </c>
      <c r="R846" s="4">
        <v>40.807547</v>
      </c>
      <c r="S846" s="4">
        <v>-73.943460999999999</v>
      </c>
      <c r="T846" s="2">
        <v>43074</v>
      </c>
      <c r="U846" t="s">
        <v>117</v>
      </c>
      <c r="V846" t="s">
        <v>71</v>
      </c>
      <c r="W846" t="s">
        <v>51</v>
      </c>
      <c r="Z846" s="4">
        <v>2</v>
      </c>
      <c r="AE846" s="4">
        <v>2</v>
      </c>
      <c r="AL846" s="4">
        <v>2</v>
      </c>
      <c r="AN846" s="4">
        <v>2</v>
      </c>
      <c r="AO846" s="4">
        <v>8</v>
      </c>
    </row>
    <row r="847" spans="1:41" hidden="1" x14ac:dyDescent="0.2">
      <c r="A847" t="s">
        <v>1674</v>
      </c>
      <c r="B847" t="s">
        <v>1675</v>
      </c>
      <c r="C847" s="2">
        <v>42916</v>
      </c>
      <c r="D847" s="2">
        <v>44140</v>
      </c>
      <c r="E847" s="3">
        <v>967023</v>
      </c>
      <c r="F847" t="s">
        <v>1302</v>
      </c>
      <c r="G847" t="s">
        <v>175</v>
      </c>
      <c r="H847" t="s">
        <v>45</v>
      </c>
      <c r="I847" s="3">
        <v>10027</v>
      </c>
      <c r="J847" s="3">
        <v>1019557503</v>
      </c>
      <c r="K847" s="3">
        <v>1090354</v>
      </c>
      <c r="L847" t="s">
        <v>146</v>
      </c>
      <c r="M847" s="4">
        <v>9</v>
      </c>
      <c r="N847" t="s">
        <v>379</v>
      </c>
      <c r="O847" t="s">
        <v>177</v>
      </c>
      <c r="P847" s="4">
        <v>40.812461999999996</v>
      </c>
      <c r="Q847" s="4">
        <v>-73.949506999999997</v>
      </c>
      <c r="R847" s="4">
        <v>40.812545</v>
      </c>
      <c r="S847" s="4">
        <v>-73.949796000000006</v>
      </c>
      <c r="T847" s="2">
        <v>44124</v>
      </c>
      <c r="U847" t="s">
        <v>117</v>
      </c>
      <c r="V847" t="s">
        <v>71</v>
      </c>
      <c r="W847" t="s">
        <v>51</v>
      </c>
      <c r="X847" s="4">
        <v>15</v>
      </c>
      <c r="Y847" s="4">
        <v>8</v>
      </c>
      <c r="Z847" s="4">
        <v>45</v>
      </c>
      <c r="AA847" s="4">
        <v>6</v>
      </c>
      <c r="AC847" s="4">
        <v>1</v>
      </c>
      <c r="AD847" s="4">
        <v>11</v>
      </c>
      <c r="AE847" s="4">
        <v>25</v>
      </c>
      <c r="AF847" s="4">
        <v>27</v>
      </c>
      <c r="AG847" s="4">
        <v>12</v>
      </c>
      <c r="AL847" s="4">
        <v>75</v>
      </c>
      <c r="AN847" s="4">
        <v>75</v>
      </c>
      <c r="AO847" s="4">
        <v>75</v>
      </c>
    </row>
    <row r="848" spans="1:41" hidden="1" x14ac:dyDescent="0.2">
      <c r="A848" t="s">
        <v>1676</v>
      </c>
      <c r="B848" t="s">
        <v>1677</v>
      </c>
      <c r="C848" s="2">
        <v>42916</v>
      </c>
      <c r="D848" s="2">
        <v>43798</v>
      </c>
      <c r="E848" s="3">
        <v>977463</v>
      </c>
      <c r="F848" t="s">
        <v>1678</v>
      </c>
      <c r="G848" t="s">
        <v>345</v>
      </c>
      <c r="H848" t="s">
        <v>45</v>
      </c>
      <c r="I848" s="3">
        <v>10031</v>
      </c>
      <c r="J848" s="3">
        <v>1020677502</v>
      </c>
      <c r="K848" s="3">
        <v>1090196</v>
      </c>
      <c r="L848" t="s">
        <v>169</v>
      </c>
      <c r="M848" s="4">
        <v>7</v>
      </c>
      <c r="N848" t="s">
        <v>897</v>
      </c>
      <c r="O848" t="s">
        <v>232</v>
      </c>
      <c r="P848" s="4">
        <v>40.828995999999997</v>
      </c>
      <c r="Q848" s="4">
        <v>-73.942122999999995</v>
      </c>
      <c r="R848" s="4">
        <v>40.829042999999999</v>
      </c>
      <c r="S848" s="4">
        <v>-73.942458999999999</v>
      </c>
      <c r="T848" s="2">
        <v>43798</v>
      </c>
      <c r="U848" t="s">
        <v>117</v>
      </c>
      <c r="V848" t="s">
        <v>71</v>
      </c>
      <c r="W848" t="s">
        <v>51</v>
      </c>
      <c r="Y848" s="4">
        <v>9</v>
      </c>
      <c r="Z848" s="4">
        <v>29</v>
      </c>
      <c r="AC848" s="4">
        <v>1</v>
      </c>
      <c r="AD848" s="4">
        <v>15</v>
      </c>
      <c r="AE848" s="4">
        <v>10</v>
      </c>
      <c r="AF848" s="4">
        <v>14</v>
      </c>
      <c r="AL848" s="4">
        <v>39</v>
      </c>
      <c r="AN848" s="4">
        <v>39</v>
      </c>
      <c r="AO848" s="4">
        <v>39</v>
      </c>
    </row>
    <row r="849" spans="1:41" hidden="1" x14ac:dyDescent="0.2">
      <c r="A849" t="s">
        <v>1679</v>
      </c>
      <c r="B849" t="s">
        <v>1680</v>
      </c>
      <c r="C849" s="2">
        <v>42915</v>
      </c>
      <c r="D849" s="2">
        <v>44603</v>
      </c>
      <c r="E849" s="3">
        <v>977499</v>
      </c>
      <c r="F849" t="s">
        <v>1681</v>
      </c>
      <c r="G849" t="s">
        <v>265</v>
      </c>
      <c r="H849" t="s">
        <v>45</v>
      </c>
      <c r="I849" s="3">
        <v>10029</v>
      </c>
      <c r="J849" s="3">
        <v>1016357501</v>
      </c>
      <c r="K849" s="3">
        <v>1090142</v>
      </c>
      <c r="L849" t="s">
        <v>153</v>
      </c>
      <c r="M849" s="4">
        <v>8</v>
      </c>
      <c r="N849" t="s">
        <v>600</v>
      </c>
      <c r="O849" t="s">
        <v>267</v>
      </c>
      <c r="P849" s="4">
        <v>40.793821999999999</v>
      </c>
      <c r="Q849" s="4">
        <v>-73.947225000000003</v>
      </c>
      <c r="R849" s="4">
        <v>40.793681999999997</v>
      </c>
      <c r="S849" s="4">
        <v>-73.946444999999997</v>
      </c>
      <c r="T849" s="2">
        <v>44238</v>
      </c>
      <c r="U849" t="s">
        <v>117</v>
      </c>
      <c r="V849" t="s">
        <v>71</v>
      </c>
      <c r="W849" t="s">
        <v>51</v>
      </c>
      <c r="X849" s="4">
        <v>80</v>
      </c>
      <c r="Y849" s="4">
        <v>119</v>
      </c>
      <c r="Z849" s="4">
        <v>120</v>
      </c>
      <c r="AB849" s="4">
        <v>80</v>
      </c>
      <c r="AC849" s="4">
        <v>1</v>
      </c>
      <c r="AD849" s="4">
        <v>104</v>
      </c>
      <c r="AE849" s="4">
        <v>126</v>
      </c>
      <c r="AF849" s="4">
        <v>110</v>
      </c>
      <c r="AG849" s="4">
        <v>60</v>
      </c>
      <c r="AL849" s="4">
        <v>400</v>
      </c>
      <c r="AN849" s="4">
        <v>400</v>
      </c>
      <c r="AO849" s="4">
        <v>400</v>
      </c>
    </row>
    <row r="850" spans="1:41" hidden="1" x14ac:dyDescent="0.2">
      <c r="A850" t="s">
        <v>1682</v>
      </c>
      <c r="B850" t="s">
        <v>1683</v>
      </c>
      <c r="C850" s="2">
        <v>42915</v>
      </c>
      <c r="D850" s="2">
        <v>43642</v>
      </c>
      <c r="E850" s="3">
        <v>1172</v>
      </c>
      <c r="F850" t="s">
        <v>1684</v>
      </c>
      <c r="G850" t="s">
        <v>106</v>
      </c>
      <c r="H850" t="s">
        <v>45</v>
      </c>
      <c r="I850" s="3">
        <v>10029</v>
      </c>
      <c r="J850" s="3">
        <v>1016550023</v>
      </c>
      <c r="K850" s="3">
        <v>1052416</v>
      </c>
      <c r="L850" t="s">
        <v>153</v>
      </c>
      <c r="M850" s="4">
        <v>8</v>
      </c>
      <c r="N850" t="s">
        <v>126</v>
      </c>
      <c r="O850" t="s">
        <v>267</v>
      </c>
      <c r="P850" s="4">
        <v>40.790233000000001</v>
      </c>
      <c r="Q850" s="4">
        <v>-73.942734999999999</v>
      </c>
      <c r="R850" s="4">
        <v>40.790292999999998</v>
      </c>
      <c r="S850" s="4">
        <v>-73.943071000000003</v>
      </c>
      <c r="T850" s="2">
        <v>43642</v>
      </c>
      <c r="U850" t="s">
        <v>49</v>
      </c>
      <c r="V850" t="s">
        <v>71</v>
      </c>
      <c r="W850" t="s">
        <v>51</v>
      </c>
      <c r="Y850" s="4">
        <v>8</v>
      </c>
      <c r="Z850" s="4">
        <v>1</v>
      </c>
      <c r="AE850" s="4">
        <v>4</v>
      </c>
      <c r="AF850" s="4">
        <v>5</v>
      </c>
      <c r="AL850" s="4">
        <v>9</v>
      </c>
      <c r="AN850" s="4">
        <v>9</v>
      </c>
      <c r="AO850" s="4">
        <v>9</v>
      </c>
    </row>
    <row r="851" spans="1:41" hidden="1" x14ac:dyDescent="0.2">
      <c r="A851" t="s">
        <v>1682</v>
      </c>
      <c r="B851" t="s">
        <v>1683</v>
      </c>
      <c r="C851" s="2">
        <v>42915</v>
      </c>
      <c r="D851" s="2">
        <v>43642</v>
      </c>
      <c r="E851" s="3">
        <v>18779</v>
      </c>
      <c r="F851" t="s">
        <v>537</v>
      </c>
      <c r="G851" t="s">
        <v>1139</v>
      </c>
      <c r="H851" t="s">
        <v>45</v>
      </c>
      <c r="I851" s="3">
        <v>10029</v>
      </c>
      <c r="J851" s="3">
        <v>1016280002</v>
      </c>
      <c r="K851" s="3">
        <v>1051782</v>
      </c>
      <c r="L851" t="s">
        <v>153</v>
      </c>
      <c r="M851" s="4">
        <v>8</v>
      </c>
      <c r="N851" t="s">
        <v>468</v>
      </c>
      <c r="O851" t="s">
        <v>267</v>
      </c>
      <c r="P851" s="4">
        <v>40.788953999999997</v>
      </c>
      <c r="Q851" s="4">
        <v>-73.950283999999996</v>
      </c>
      <c r="R851" s="4">
        <v>40.789124000000001</v>
      </c>
      <c r="S851" s="4">
        <v>-73.950226000000001</v>
      </c>
      <c r="T851" s="2">
        <v>43642</v>
      </c>
      <c r="U851" t="s">
        <v>49</v>
      </c>
      <c r="V851" t="s">
        <v>71</v>
      </c>
      <c r="W851" t="s">
        <v>51</v>
      </c>
      <c r="X851" s="4">
        <v>1</v>
      </c>
      <c r="Y851" s="4">
        <v>4</v>
      </c>
      <c r="Z851" s="4">
        <v>4</v>
      </c>
      <c r="AE851" s="4">
        <v>7</v>
      </c>
      <c r="AF851" s="4">
        <v>2</v>
      </c>
      <c r="AL851" s="4">
        <v>9</v>
      </c>
      <c r="AN851" s="4">
        <v>9</v>
      </c>
      <c r="AO851" s="4">
        <v>9</v>
      </c>
    </row>
    <row r="852" spans="1:41" hidden="1" x14ac:dyDescent="0.2">
      <c r="A852" t="s">
        <v>1682</v>
      </c>
      <c r="B852" t="s">
        <v>1683</v>
      </c>
      <c r="C852" s="2">
        <v>42915</v>
      </c>
      <c r="D852" s="2">
        <v>43642</v>
      </c>
      <c r="E852" s="3">
        <v>18781</v>
      </c>
      <c r="F852" t="s">
        <v>811</v>
      </c>
      <c r="G852" t="s">
        <v>1139</v>
      </c>
      <c r="H852" t="s">
        <v>45</v>
      </c>
      <c r="I852" s="3">
        <v>10029</v>
      </c>
      <c r="J852" s="3">
        <v>1016280103</v>
      </c>
      <c r="K852" s="3">
        <v>1051825</v>
      </c>
      <c r="L852" t="s">
        <v>153</v>
      </c>
      <c r="M852" s="4">
        <v>8</v>
      </c>
      <c r="N852" t="s">
        <v>468</v>
      </c>
      <c r="O852" t="s">
        <v>267</v>
      </c>
      <c r="P852" s="4">
        <v>40.788919</v>
      </c>
      <c r="Q852" s="4">
        <v>-73.950197000000003</v>
      </c>
      <c r="R852" s="4">
        <v>40.789057999999997</v>
      </c>
      <c r="S852" s="4">
        <v>-73.950067000000004</v>
      </c>
      <c r="T852" s="2">
        <v>43642</v>
      </c>
      <c r="U852" t="s">
        <v>49</v>
      </c>
      <c r="V852" t="s">
        <v>71</v>
      </c>
      <c r="W852" t="s">
        <v>51</v>
      </c>
      <c r="X852" s="4">
        <v>10</v>
      </c>
      <c r="Y852" s="4">
        <v>4</v>
      </c>
      <c r="Z852" s="4">
        <v>3</v>
      </c>
      <c r="AD852" s="4">
        <v>7</v>
      </c>
      <c r="AE852" s="4">
        <v>5</v>
      </c>
      <c r="AF852" s="4">
        <v>5</v>
      </c>
      <c r="AL852" s="4">
        <v>17</v>
      </c>
      <c r="AN852" s="4">
        <v>17</v>
      </c>
      <c r="AO852" s="4">
        <v>17</v>
      </c>
    </row>
    <row r="853" spans="1:41" hidden="1" x14ac:dyDescent="0.2">
      <c r="A853" t="s">
        <v>1682</v>
      </c>
      <c r="B853" t="s">
        <v>1683</v>
      </c>
      <c r="C853" s="2">
        <v>42915</v>
      </c>
      <c r="D853" s="2">
        <v>43642</v>
      </c>
      <c r="E853" s="3">
        <v>18783</v>
      </c>
      <c r="F853" t="s">
        <v>813</v>
      </c>
      <c r="G853" t="s">
        <v>1139</v>
      </c>
      <c r="H853" t="s">
        <v>45</v>
      </c>
      <c r="I853" s="3">
        <v>10029</v>
      </c>
      <c r="J853" s="3">
        <v>1016280006</v>
      </c>
      <c r="K853" s="3">
        <v>1051786</v>
      </c>
      <c r="L853" t="s">
        <v>153</v>
      </c>
      <c r="M853" s="4">
        <v>8</v>
      </c>
      <c r="N853" t="s">
        <v>468</v>
      </c>
      <c r="O853" t="s">
        <v>267</v>
      </c>
      <c r="P853" s="4">
        <v>40.788882999999998</v>
      </c>
      <c r="Q853" s="4">
        <v>-73.950109999999995</v>
      </c>
      <c r="R853" s="4">
        <v>40.788969999999999</v>
      </c>
      <c r="S853" s="4">
        <v>-73.949764000000002</v>
      </c>
      <c r="T853" s="2">
        <v>43642</v>
      </c>
      <c r="U853" t="s">
        <v>49</v>
      </c>
      <c r="V853" t="s">
        <v>71</v>
      </c>
      <c r="W853" t="s">
        <v>51</v>
      </c>
      <c r="X853" s="4">
        <v>10</v>
      </c>
      <c r="Y853" s="4">
        <v>17</v>
      </c>
      <c r="Z853" s="4">
        <v>23</v>
      </c>
      <c r="AC853" s="4">
        <v>1</v>
      </c>
      <c r="AD853" s="4">
        <v>2</v>
      </c>
      <c r="AE853" s="4">
        <v>20</v>
      </c>
      <c r="AF853" s="4">
        <v>20</v>
      </c>
      <c r="AG853" s="4">
        <v>9</v>
      </c>
      <c r="AL853" s="4">
        <v>51</v>
      </c>
      <c r="AN853" s="4">
        <v>51</v>
      </c>
      <c r="AO853" s="4">
        <v>51</v>
      </c>
    </row>
    <row r="854" spans="1:41" hidden="1" x14ac:dyDescent="0.2">
      <c r="A854" t="s">
        <v>1682</v>
      </c>
      <c r="B854" t="s">
        <v>1683</v>
      </c>
      <c r="C854" s="2">
        <v>42915</v>
      </c>
      <c r="D854" s="2">
        <v>43642</v>
      </c>
      <c r="E854" s="3">
        <v>18784</v>
      </c>
      <c r="F854" t="s">
        <v>429</v>
      </c>
      <c r="G854" t="s">
        <v>1139</v>
      </c>
      <c r="H854" t="s">
        <v>45</v>
      </c>
      <c r="I854" s="3">
        <v>10029</v>
      </c>
      <c r="J854" s="3">
        <v>1016280010</v>
      </c>
      <c r="K854" s="3">
        <v>1051790</v>
      </c>
      <c r="L854" t="s">
        <v>153</v>
      </c>
      <c r="M854" s="4">
        <v>8</v>
      </c>
      <c r="N854" t="s">
        <v>468</v>
      </c>
      <c r="O854" t="s">
        <v>267</v>
      </c>
      <c r="P854" s="4">
        <v>40.788809000000001</v>
      </c>
      <c r="Q854" s="4">
        <v>-73.949937000000006</v>
      </c>
      <c r="R854" s="4">
        <v>40.788868999999998</v>
      </c>
      <c r="S854" s="4">
        <v>-73.949522000000002</v>
      </c>
      <c r="T854" s="2">
        <v>43642</v>
      </c>
      <c r="U854" t="s">
        <v>49</v>
      </c>
      <c r="V854" t="s">
        <v>71</v>
      </c>
      <c r="W854" t="s">
        <v>51</v>
      </c>
      <c r="X854" s="4">
        <v>7</v>
      </c>
      <c r="Y854" s="4">
        <v>9</v>
      </c>
      <c r="Z854" s="4">
        <v>3</v>
      </c>
      <c r="AC854" s="4">
        <v>1</v>
      </c>
      <c r="AF854" s="4">
        <v>14</v>
      </c>
      <c r="AG854" s="4">
        <v>5</v>
      </c>
      <c r="AH854" s="4">
        <v>1</v>
      </c>
      <c r="AL854" s="4">
        <v>20</v>
      </c>
      <c r="AN854" s="4">
        <v>20</v>
      </c>
      <c r="AO854" s="4">
        <v>20</v>
      </c>
    </row>
    <row r="855" spans="1:41" hidden="1" x14ac:dyDescent="0.2">
      <c r="A855" t="s">
        <v>1682</v>
      </c>
      <c r="B855" t="s">
        <v>1683</v>
      </c>
      <c r="C855" s="2">
        <v>42915</v>
      </c>
      <c r="D855" s="2">
        <v>43642</v>
      </c>
      <c r="E855" s="3">
        <v>18848</v>
      </c>
      <c r="F855" t="s">
        <v>793</v>
      </c>
      <c r="G855" t="s">
        <v>1685</v>
      </c>
      <c r="H855" t="s">
        <v>45</v>
      </c>
      <c r="I855" s="3">
        <v>10029</v>
      </c>
      <c r="J855" s="3">
        <v>1016290030</v>
      </c>
      <c r="K855" s="3">
        <v>1051847</v>
      </c>
      <c r="L855" t="s">
        <v>153</v>
      </c>
      <c r="M855" s="4">
        <v>8</v>
      </c>
      <c r="N855" t="s">
        <v>468</v>
      </c>
      <c r="O855" t="s">
        <v>267</v>
      </c>
      <c r="P855" s="4">
        <v>40.788705999999998</v>
      </c>
      <c r="Q855" s="4">
        <v>-73.947751999999994</v>
      </c>
      <c r="R855" s="4">
        <v>40.788826999999998</v>
      </c>
      <c r="S855" s="4">
        <v>-73.947462999999999</v>
      </c>
      <c r="T855" s="2">
        <v>43642</v>
      </c>
      <c r="U855" t="s">
        <v>49</v>
      </c>
      <c r="V855" t="s">
        <v>71</v>
      </c>
      <c r="W855" t="s">
        <v>51</v>
      </c>
      <c r="X855" s="4">
        <v>1</v>
      </c>
      <c r="Y855" s="4">
        <v>14</v>
      </c>
      <c r="Z855" s="4">
        <v>22</v>
      </c>
      <c r="AC855" s="4">
        <v>1</v>
      </c>
      <c r="AD855" s="4">
        <v>8</v>
      </c>
      <c r="AE855" s="4">
        <v>7</v>
      </c>
      <c r="AF855" s="4">
        <v>23</v>
      </c>
      <c r="AL855" s="4">
        <v>38</v>
      </c>
      <c r="AN855" s="4">
        <v>38</v>
      </c>
      <c r="AO855" s="4">
        <v>38</v>
      </c>
    </row>
    <row r="856" spans="1:41" hidden="1" x14ac:dyDescent="0.2">
      <c r="A856" t="s">
        <v>1682</v>
      </c>
      <c r="B856" t="s">
        <v>1683</v>
      </c>
      <c r="C856" s="2">
        <v>42915</v>
      </c>
      <c r="D856" s="2">
        <v>43642</v>
      </c>
      <c r="E856" s="3">
        <v>18849</v>
      </c>
      <c r="F856" t="s">
        <v>364</v>
      </c>
      <c r="G856" t="s">
        <v>1685</v>
      </c>
      <c r="H856" t="s">
        <v>45</v>
      </c>
      <c r="I856" s="3">
        <v>10029</v>
      </c>
      <c r="J856" s="3">
        <v>1016280049</v>
      </c>
      <c r="K856" s="3">
        <v>1051812</v>
      </c>
      <c r="L856" t="s">
        <v>153</v>
      </c>
      <c r="M856" s="4">
        <v>8</v>
      </c>
      <c r="N856" t="s">
        <v>468</v>
      </c>
      <c r="O856" t="s">
        <v>267</v>
      </c>
      <c r="P856" s="4">
        <v>40.788673000000003</v>
      </c>
      <c r="Q856" s="4">
        <v>-73.947716</v>
      </c>
      <c r="R856" s="4">
        <v>40.788676000000002</v>
      </c>
      <c r="S856" s="4">
        <v>-73.948286999999993</v>
      </c>
      <c r="T856" s="2">
        <v>43642</v>
      </c>
      <c r="U856" t="s">
        <v>49</v>
      </c>
      <c r="V856" t="s">
        <v>71</v>
      </c>
      <c r="W856" t="s">
        <v>51</v>
      </c>
      <c r="Y856" s="4">
        <v>5</v>
      </c>
      <c r="Z856" s="4">
        <v>5</v>
      </c>
      <c r="AE856" s="4">
        <v>6</v>
      </c>
      <c r="AF856" s="4">
        <v>4</v>
      </c>
      <c r="AL856" s="4">
        <v>10</v>
      </c>
      <c r="AN856" s="4">
        <v>10</v>
      </c>
      <c r="AO856" s="4">
        <v>10</v>
      </c>
    </row>
    <row r="857" spans="1:41" hidden="1" x14ac:dyDescent="0.2">
      <c r="A857" t="s">
        <v>1682</v>
      </c>
      <c r="B857" t="s">
        <v>1683</v>
      </c>
      <c r="C857" s="2">
        <v>42915</v>
      </c>
      <c r="D857" s="2">
        <v>43642</v>
      </c>
      <c r="E857" s="3">
        <v>18870</v>
      </c>
      <c r="F857" t="s">
        <v>1319</v>
      </c>
      <c r="G857" t="s">
        <v>367</v>
      </c>
      <c r="H857" t="s">
        <v>45</v>
      </c>
      <c r="I857" s="3">
        <v>10029</v>
      </c>
      <c r="J857" s="3">
        <v>1016290065</v>
      </c>
      <c r="K857" s="3">
        <v>1051861</v>
      </c>
      <c r="L857" t="s">
        <v>153</v>
      </c>
      <c r="M857" s="4">
        <v>8</v>
      </c>
      <c r="N857" t="s">
        <v>468</v>
      </c>
      <c r="O857" t="s">
        <v>267</v>
      </c>
      <c r="P857" s="4">
        <v>40.790084999999998</v>
      </c>
      <c r="Q857" s="4">
        <v>-73.949112999999997</v>
      </c>
      <c r="R857" s="4">
        <v>40.789828999999997</v>
      </c>
      <c r="S857" s="4">
        <v>-73.949077000000003</v>
      </c>
      <c r="T857" s="2">
        <v>43642</v>
      </c>
      <c r="U857" t="s">
        <v>49</v>
      </c>
      <c r="V857" t="s">
        <v>71</v>
      </c>
      <c r="W857" t="s">
        <v>51</v>
      </c>
      <c r="X857" s="4">
        <v>1</v>
      </c>
      <c r="Y857" s="4">
        <v>6</v>
      </c>
      <c r="Z857" s="4">
        <v>2</v>
      </c>
      <c r="AF857" s="4">
        <v>4</v>
      </c>
      <c r="AG857" s="4">
        <v>5</v>
      </c>
      <c r="AL857" s="4">
        <v>9</v>
      </c>
      <c r="AN857" s="4">
        <v>9</v>
      </c>
      <c r="AO857" s="4">
        <v>9</v>
      </c>
    </row>
    <row r="858" spans="1:41" hidden="1" x14ac:dyDescent="0.2">
      <c r="A858" t="s">
        <v>1682</v>
      </c>
      <c r="B858" t="s">
        <v>1683</v>
      </c>
      <c r="C858" s="2">
        <v>42915</v>
      </c>
      <c r="D858" s="2">
        <v>43642</v>
      </c>
      <c r="E858" s="3">
        <v>18872</v>
      </c>
      <c r="F858" t="s">
        <v>1654</v>
      </c>
      <c r="G858" t="s">
        <v>367</v>
      </c>
      <c r="H858" t="s">
        <v>45</v>
      </c>
      <c r="I858" s="3">
        <v>10029</v>
      </c>
      <c r="J858" s="3">
        <v>1016290064</v>
      </c>
      <c r="K858" s="3">
        <v>1051860</v>
      </c>
      <c r="L858" t="s">
        <v>153</v>
      </c>
      <c r="M858" s="4">
        <v>8</v>
      </c>
      <c r="N858" t="s">
        <v>468</v>
      </c>
      <c r="O858" t="s">
        <v>267</v>
      </c>
      <c r="P858" s="4">
        <v>40.790067999999998</v>
      </c>
      <c r="Q858" s="4">
        <v>-73.949068999999994</v>
      </c>
      <c r="R858" s="4">
        <v>40.789796000000003</v>
      </c>
      <c r="S858" s="4">
        <v>-73.948997000000006</v>
      </c>
      <c r="T858" s="2">
        <v>43642</v>
      </c>
      <c r="U858" t="s">
        <v>49</v>
      </c>
      <c r="V858" t="s">
        <v>71</v>
      </c>
      <c r="W858" t="s">
        <v>51</v>
      </c>
      <c r="X858" s="4">
        <v>2</v>
      </c>
      <c r="Y858" s="4">
        <v>5</v>
      </c>
      <c r="Z858" s="4">
        <v>2</v>
      </c>
      <c r="AF858" s="4">
        <v>4</v>
      </c>
      <c r="AG858" s="4">
        <v>5</v>
      </c>
      <c r="AL858" s="4">
        <v>9</v>
      </c>
      <c r="AN858" s="4">
        <v>9</v>
      </c>
      <c r="AO858" s="4">
        <v>9</v>
      </c>
    </row>
    <row r="859" spans="1:41" hidden="1" x14ac:dyDescent="0.2">
      <c r="A859" t="s">
        <v>1682</v>
      </c>
      <c r="B859" t="s">
        <v>1683</v>
      </c>
      <c r="C859" s="2">
        <v>42915</v>
      </c>
      <c r="D859" s="2">
        <v>43642</v>
      </c>
      <c r="E859" s="3">
        <v>18986</v>
      </c>
      <c r="F859" t="s">
        <v>1170</v>
      </c>
      <c r="G859" t="s">
        <v>1607</v>
      </c>
      <c r="H859" t="s">
        <v>45</v>
      </c>
      <c r="I859" s="3">
        <v>10029</v>
      </c>
      <c r="J859" s="3">
        <v>1016100009</v>
      </c>
      <c r="K859" s="3">
        <v>1051500</v>
      </c>
      <c r="L859" t="s">
        <v>153</v>
      </c>
      <c r="M859" s="4">
        <v>8</v>
      </c>
      <c r="N859" t="s">
        <v>471</v>
      </c>
      <c r="O859" t="s">
        <v>267</v>
      </c>
      <c r="P859" s="4">
        <v>40.792637999999997</v>
      </c>
      <c r="Q859" s="4">
        <v>-73.951231000000007</v>
      </c>
      <c r="R859" s="4">
        <v>40.792805000000001</v>
      </c>
      <c r="S859" s="4">
        <v>-73.951060999999996</v>
      </c>
      <c r="T859" s="2">
        <v>43642</v>
      </c>
      <c r="U859" t="s">
        <v>49</v>
      </c>
      <c r="V859" t="s">
        <v>71</v>
      </c>
      <c r="W859" t="s">
        <v>51</v>
      </c>
      <c r="X859" s="4">
        <v>6</v>
      </c>
      <c r="Y859" s="4">
        <v>20</v>
      </c>
      <c r="Z859" s="4">
        <v>10</v>
      </c>
      <c r="AF859" s="4">
        <v>30</v>
      </c>
      <c r="AG859" s="4">
        <v>6</v>
      </c>
      <c r="AL859" s="4">
        <v>36</v>
      </c>
      <c r="AN859" s="4">
        <v>36</v>
      </c>
      <c r="AO859" s="4">
        <v>36</v>
      </c>
    </row>
    <row r="860" spans="1:41" hidden="1" x14ac:dyDescent="0.2">
      <c r="A860" t="s">
        <v>1682</v>
      </c>
      <c r="B860" t="s">
        <v>1683</v>
      </c>
      <c r="C860" s="2">
        <v>42915</v>
      </c>
      <c r="D860" s="2">
        <v>43642</v>
      </c>
      <c r="E860" s="3">
        <v>18990</v>
      </c>
      <c r="F860" t="s">
        <v>1686</v>
      </c>
      <c r="G860" t="s">
        <v>1607</v>
      </c>
      <c r="H860" t="s">
        <v>45</v>
      </c>
      <c r="I860" s="3">
        <v>10029</v>
      </c>
      <c r="J860" s="3">
        <v>1016100013</v>
      </c>
      <c r="K860" s="3">
        <v>1051501</v>
      </c>
      <c r="L860" t="s">
        <v>153</v>
      </c>
      <c r="M860" s="4">
        <v>8</v>
      </c>
      <c r="N860" t="s">
        <v>471</v>
      </c>
      <c r="O860" t="s">
        <v>267</v>
      </c>
      <c r="P860" s="4">
        <v>40.792535999999998</v>
      </c>
      <c r="Q860" s="4">
        <v>-73.950991999999999</v>
      </c>
      <c r="R860" s="4">
        <v>40.792673999999998</v>
      </c>
      <c r="S860" s="4">
        <v>-73.950743000000003</v>
      </c>
      <c r="T860" s="2">
        <v>43642</v>
      </c>
      <c r="U860" t="s">
        <v>49</v>
      </c>
      <c r="V860" t="s">
        <v>71</v>
      </c>
      <c r="W860" t="s">
        <v>51</v>
      </c>
      <c r="X860" s="4">
        <v>9</v>
      </c>
      <c r="Y860" s="4">
        <v>16</v>
      </c>
      <c r="Z860" s="4">
        <v>8</v>
      </c>
      <c r="AC860" s="4">
        <v>1</v>
      </c>
      <c r="AF860" s="4">
        <v>29</v>
      </c>
      <c r="AG860" s="4">
        <v>5</v>
      </c>
      <c r="AL860" s="4">
        <v>34</v>
      </c>
      <c r="AN860" s="4">
        <v>34</v>
      </c>
      <c r="AO860" s="4">
        <v>34</v>
      </c>
    </row>
    <row r="861" spans="1:41" hidden="1" x14ac:dyDescent="0.2">
      <c r="A861" t="s">
        <v>1682</v>
      </c>
      <c r="B861" t="s">
        <v>1683</v>
      </c>
      <c r="C861" s="2">
        <v>42915</v>
      </c>
      <c r="D861" s="2">
        <v>43642</v>
      </c>
      <c r="E861" s="3">
        <v>19114</v>
      </c>
      <c r="F861" t="s">
        <v>1018</v>
      </c>
      <c r="G861" t="s">
        <v>1487</v>
      </c>
      <c r="H861" t="s">
        <v>45</v>
      </c>
      <c r="I861" s="3">
        <v>10029</v>
      </c>
      <c r="J861" s="3">
        <v>1016550029</v>
      </c>
      <c r="K861" s="3">
        <v>1052421</v>
      </c>
      <c r="L861" t="s">
        <v>153</v>
      </c>
      <c r="M861" s="4">
        <v>8</v>
      </c>
      <c r="N861" t="s">
        <v>126</v>
      </c>
      <c r="O861" t="s">
        <v>267</v>
      </c>
      <c r="P861" s="4">
        <v>40.790979</v>
      </c>
      <c r="Q861" s="4">
        <v>-73.943293999999995</v>
      </c>
      <c r="R861" s="4">
        <v>40.790584000000003</v>
      </c>
      <c r="S861" s="4">
        <v>-73.943081000000006</v>
      </c>
      <c r="T861" s="2">
        <v>43642</v>
      </c>
      <c r="U861" t="s">
        <v>49</v>
      </c>
      <c r="V861" t="s">
        <v>71</v>
      </c>
      <c r="W861" t="s">
        <v>51</v>
      </c>
      <c r="Y861" s="4">
        <v>5</v>
      </c>
      <c r="Z861" s="4">
        <v>2</v>
      </c>
      <c r="AE861" s="4">
        <v>2</v>
      </c>
      <c r="AF861" s="4">
        <v>4</v>
      </c>
      <c r="AG861" s="4">
        <v>1</v>
      </c>
      <c r="AL861" s="4">
        <v>7</v>
      </c>
      <c r="AN861" s="4">
        <v>7</v>
      </c>
      <c r="AO861" s="4">
        <v>7</v>
      </c>
    </row>
    <row r="862" spans="1:41" hidden="1" x14ac:dyDescent="0.2">
      <c r="A862" t="s">
        <v>1682</v>
      </c>
      <c r="B862" t="s">
        <v>1683</v>
      </c>
      <c r="C862" s="2">
        <v>42915</v>
      </c>
      <c r="D862" s="2">
        <v>43642</v>
      </c>
      <c r="E862" s="3">
        <v>19124</v>
      </c>
      <c r="F862" t="s">
        <v>1082</v>
      </c>
      <c r="G862" t="s">
        <v>1487</v>
      </c>
      <c r="H862" t="s">
        <v>45</v>
      </c>
      <c r="I862" s="3">
        <v>10029</v>
      </c>
      <c r="J862" s="3">
        <v>1016770038</v>
      </c>
      <c r="K862" s="3">
        <v>1052769</v>
      </c>
      <c r="L862" t="s">
        <v>153</v>
      </c>
      <c r="M862" s="4">
        <v>8</v>
      </c>
      <c r="N862" t="s">
        <v>126</v>
      </c>
      <c r="O862" t="s">
        <v>267</v>
      </c>
      <c r="P862" s="4">
        <v>40.790042</v>
      </c>
      <c r="Q862" s="4">
        <v>-73.941078000000005</v>
      </c>
      <c r="R862" s="4">
        <v>40.789836999999999</v>
      </c>
      <c r="S862" s="4">
        <v>-73.941305</v>
      </c>
      <c r="T862" s="2">
        <v>43642</v>
      </c>
      <c r="U862" t="s">
        <v>49</v>
      </c>
      <c r="V862" t="s">
        <v>71</v>
      </c>
      <c r="W862" t="s">
        <v>51</v>
      </c>
      <c r="Y862" s="4">
        <v>2</v>
      </c>
      <c r="Z862" s="4">
        <v>2</v>
      </c>
      <c r="AF862" s="4">
        <v>1</v>
      </c>
      <c r="AG862" s="4">
        <v>3</v>
      </c>
      <c r="AL862" s="4">
        <v>4</v>
      </c>
      <c r="AN862" s="4">
        <v>4</v>
      </c>
      <c r="AO862" s="4">
        <v>4</v>
      </c>
    </row>
    <row r="863" spans="1:41" hidden="1" x14ac:dyDescent="0.2">
      <c r="A863" t="s">
        <v>1682</v>
      </c>
      <c r="B863" t="s">
        <v>1683</v>
      </c>
      <c r="C863" s="2">
        <v>42915</v>
      </c>
      <c r="D863" s="2">
        <v>43642</v>
      </c>
      <c r="E863" s="3">
        <v>19757</v>
      </c>
      <c r="F863" t="s">
        <v>1669</v>
      </c>
      <c r="G863" t="s">
        <v>1410</v>
      </c>
      <c r="H863" t="s">
        <v>45</v>
      </c>
      <c r="I863" s="3">
        <v>10029</v>
      </c>
      <c r="J863" s="3">
        <v>1017100019</v>
      </c>
      <c r="K863" s="3">
        <v>1053082</v>
      </c>
      <c r="L863" t="s">
        <v>153</v>
      </c>
      <c r="M863" s="4">
        <v>8</v>
      </c>
      <c r="N863" t="s">
        <v>364</v>
      </c>
      <c r="O863" t="s">
        <v>155</v>
      </c>
      <c r="P863" s="4">
        <v>40.795413000000003</v>
      </c>
      <c r="Q863" s="4">
        <v>-73.933987000000002</v>
      </c>
      <c r="R863" s="4">
        <v>40.795585000000003</v>
      </c>
      <c r="S863" s="4">
        <v>-73.933683000000002</v>
      </c>
      <c r="T863" s="2">
        <v>43642</v>
      </c>
      <c r="U863" t="s">
        <v>49</v>
      </c>
      <c r="V863" t="s">
        <v>71</v>
      </c>
      <c r="W863" t="s">
        <v>51</v>
      </c>
      <c r="X863" s="4">
        <v>1</v>
      </c>
      <c r="Y863" s="4">
        <v>9</v>
      </c>
      <c r="Z863" s="4">
        <v>20</v>
      </c>
      <c r="AD863" s="4">
        <v>7</v>
      </c>
      <c r="AE863" s="4">
        <v>11</v>
      </c>
      <c r="AF863" s="4">
        <v>12</v>
      </c>
      <c r="AL863" s="4">
        <v>30</v>
      </c>
      <c r="AN863" s="4">
        <v>30</v>
      </c>
      <c r="AO863" s="4">
        <v>30</v>
      </c>
    </row>
    <row r="864" spans="1:41" hidden="1" x14ac:dyDescent="0.2">
      <c r="A864" t="s">
        <v>1682</v>
      </c>
      <c r="B864" t="s">
        <v>1683</v>
      </c>
      <c r="C864" s="2">
        <v>42915</v>
      </c>
      <c r="D864" s="2">
        <v>43642</v>
      </c>
      <c r="E864" s="3">
        <v>19758</v>
      </c>
      <c r="F864" t="s">
        <v>1687</v>
      </c>
      <c r="G864" t="s">
        <v>1410</v>
      </c>
      <c r="H864" t="s">
        <v>45</v>
      </c>
      <c r="I864" s="3">
        <v>10029</v>
      </c>
      <c r="J864" s="3">
        <v>1017100021</v>
      </c>
      <c r="K864" s="3">
        <v>1053083</v>
      </c>
      <c r="L864" t="s">
        <v>153</v>
      </c>
      <c r="M864" s="4">
        <v>8</v>
      </c>
      <c r="N864" t="s">
        <v>364</v>
      </c>
      <c r="O864" t="s">
        <v>155</v>
      </c>
      <c r="P864" s="4">
        <v>40.795358</v>
      </c>
      <c r="Q864" s="4">
        <v>-73.933852999999999</v>
      </c>
      <c r="R864" s="4">
        <v>40.795513999999997</v>
      </c>
      <c r="S864" s="4">
        <v>-73.933516999999995</v>
      </c>
      <c r="T864" s="2">
        <v>43642</v>
      </c>
      <c r="U864" t="s">
        <v>49</v>
      </c>
      <c r="V864" t="s">
        <v>71</v>
      </c>
      <c r="W864" t="s">
        <v>51</v>
      </c>
      <c r="Y864" s="4">
        <v>5</v>
      </c>
      <c r="Z864" s="4">
        <v>5</v>
      </c>
      <c r="AC864" s="4">
        <v>1</v>
      </c>
      <c r="AD864" s="4">
        <v>1</v>
      </c>
      <c r="AE864" s="4">
        <v>1</v>
      </c>
      <c r="AF864" s="4">
        <v>9</v>
      </c>
      <c r="AL864" s="4">
        <v>11</v>
      </c>
      <c r="AN864" s="4">
        <v>11</v>
      </c>
      <c r="AO864" s="4">
        <v>11</v>
      </c>
    </row>
    <row r="865" spans="1:41" hidden="1" x14ac:dyDescent="0.2">
      <c r="A865" t="s">
        <v>1682</v>
      </c>
      <c r="B865" t="s">
        <v>1683</v>
      </c>
      <c r="C865" s="2">
        <v>42915</v>
      </c>
      <c r="D865" s="2">
        <v>43642</v>
      </c>
      <c r="E865" s="3">
        <v>19910</v>
      </c>
      <c r="F865" t="s">
        <v>854</v>
      </c>
      <c r="G865" t="s">
        <v>289</v>
      </c>
      <c r="H865" t="s">
        <v>45</v>
      </c>
      <c r="I865" s="3">
        <v>10035</v>
      </c>
      <c r="J865" s="3">
        <v>1017110121</v>
      </c>
      <c r="K865" s="3">
        <v>1053140</v>
      </c>
      <c r="L865" t="s">
        <v>153</v>
      </c>
      <c r="M865" s="4">
        <v>8</v>
      </c>
      <c r="N865" t="s">
        <v>364</v>
      </c>
      <c r="O865" t="s">
        <v>155</v>
      </c>
      <c r="P865" s="4">
        <v>40.796194999999997</v>
      </c>
      <c r="Q865" s="4">
        <v>-73.933733000000004</v>
      </c>
      <c r="R865" s="4">
        <v>40.796126000000001</v>
      </c>
      <c r="S865" s="4">
        <v>-73.933021999999994</v>
      </c>
      <c r="T865" s="2">
        <v>43642</v>
      </c>
      <c r="U865" t="s">
        <v>49</v>
      </c>
      <c r="V865" t="s">
        <v>71</v>
      </c>
      <c r="W865" t="s">
        <v>51</v>
      </c>
      <c r="Y865" s="4">
        <v>5</v>
      </c>
      <c r="Z865" s="4">
        <v>4</v>
      </c>
      <c r="AD865" s="4">
        <v>4</v>
      </c>
      <c r="AF865" s="4">
        <v>4</v>
      </c>
      <c r="AG865" s="4">
        <v>1</v>
      </c>
      <c r="AL865" s="4">
        <v>9</v>
      </c>
      <c r="AN865" s="4">
        <v>9</v>
      </c>
      <c r="AO865" s="4">
        <v>9</v>
      </c>
    </row>
    <row r="866" spans="1:41" hidden="1" x14ac:dyDescent="0.2">
      <c r="A866" t="s">
        <v>1682</v>
      </c>
      <c r="B866" t="s">
        <v>1683</v>
      </c>
      <c r="C866" s="2">
        <v>42915</v>
      </c>
      <c r="D866" s="2">
        <v>43642</v>
      </c>
      <c r="E866" s="3">
        <v>23935</v>
      </c>
      <c r="F866" t="s">
        <v>1688</v>
      </c>
      <c r="G866" t="s">
        <v>334</v>
      </c>
      <c r="H866" t="s">
        <v>45</v>
      </c>
      <c r="I866" s="3">
        <v>10029</v>
      </c>
      <c r="J866" s="3">
        <v>1016270022</v>
      </c>
      <c r="K866" s="3">
        <v>1051757</v>
      </c>
      <c r="L866" t="s">
        <v>153</v>
      </c>
      <c r="M866" s="4">
        <v>8</v>
      </c>
      <c r="N866" t="s">
        <v>468</v>
      </c>
      <c r="O866" t="s">
        <v>267</v>
      </c>
      <c r="P866" s="4">
        <v>40.787954999999997</v>
      </c>
      <c r="Q866" s="4">
        <v>-73.949399999999997</v>
      </c>
      <c r="R866" s="4">
        <v>40.787855999999998</v>
      </c>
      <c r="S866" s="4">
        <v>-73.949143000000007</v>
      </c>
      <c r="T866" s="2">
        <v>43642</v>
      </c>
      <c r="U866" t="s">
        <v>49</v>
      </c>
      <c r="V866" t="s">
        <v>71</v>
      </c>
      <c r="W866" t="s">
        <v>51</v>
      </c>
      <c r="X866" s="4">
        <v>2</v>
      </c>
      <c r="Y866" s="4">
        <v>5</v>
      </c>
      <c r="Z866" s="4">
        <v>2</v>
      </c>
      <c r="AE866" s="4">
        <v>4</v>
      </c>
      <c r="AF866" s="4">
        <v>1</v>
      </c>
      <c r="AG866" s="4">
        <v>4</v>
      </c>
      <c r="AL866" s="4">
        <v>9</v>
      </c>
      <c r="AN866" s="4">
        <v>9</v>
      </c>
      <c r="AO866" s="4">
        <v>9</v>
      </c>
    </row>
    <row r="867" spans="1:41" hidden="1" x14ac:dyDescent="0.2">
      <c r="A867" t="s">
        <v>1682</v>
      </c>
      <c r="B867" t="s">
        <v>1683</v>
      </c>
      <c r="C867" s="2">
        <v>42915</v>
      </c>
      <c r="D867" s="2">
        <v>43642</v>
      </c>
      <c r="E867" s="3">
        <v>23936</v>
      </c>
      <c r="F867" t="s">
        <v>1689</v>
      </c>
      <c r="G867" t="s">
        <v>334</v>
      </c>
      <c r="H867" t="s">
        <v>45</v>
      </c>
      <c r="I867" s="3">
        <v>10029</v>
      </c>
      <c r="J867" s="3">
        <v>1016270021</v>
      </c>
      <c r="K867" s="3">
        <v>1051756</v>
      </c>
      <c r="L867" t="s">
        <v>153</v>
      </c>
      <c r="M867" s="4">
        <v>8</v>
      </c>
      <c r="N867" t="s">
        <v>468</v>
      </c>
      <c r="O867" t="s">
        <v>267</v>
      </c>
      <c r="P867" s="4">
        <v>40.788018000000001</v>
      </c>
      <c r="Q867" s="4">
        <v>-73.949353000000002</v>
      </c>
      <c r="R867" s="4">
        <v>40.787916000000003</v>
      </c>
      <c r="S867" s="4">
        <v>-73.949100000000001</v>
      </c>
      <c r="T867" s="2">
        <v>43642</v>
      </c>
      <c r="U867" t="s">
        <v>49</v>
      </c>
      <c r="V867" t="s">
        <v>71</v>
      </c>
      <c r="W867" t="s">
        <v>51</v>
      </c>
      <c r="X867" s="4">
        <v>1</v>
      </c>
      <c r="Y867" s="4">
        <v>7</v>
      </c>
      <c r="Z867" s="4">
        <v>1</v>
      </c>
      <c r="AE867" s="4">
        <v>4</v>
      </c>
      <c r="AF867" s="4">
        <v>1</v>
      </c>
      <c r="AG867" s="4">
        <v>4</v>
      </c>
      <c r="AL867" s="4">
        <v>9</v>
      </c>
      <c r="AN867" s="4">
        <v>9</v>
      </c>
      <c r="AO867" s="4">
        <v>9</v>
      </c>
    </row>
    <row r="868" spans="1:41" hidden="1" x14ac:dyDescent="0.2">
      <c r="A868" t="s">
        <v>1682</v>
      </c>
      <c r="B868" t="s">
        <v>1683</v>
      </c>
      <c r="C868" s="2">
        <v>42915</v>
      </c>
      <c r="D868" s="2">
        <v>43642</v>
      </c>
      <c r="E868" s="3">
        <v>26271</v>
      </c>
      <c r="F868" t="s">
        <v>1690</v>
      </c>
      <c r="G868" t="s">
        <v>265</v>
      </c>
      <c r="H868" t="s">
        <v>45</v>
      </c>
      <c r="I868" s="3">
        <v>10029</v>
      </c>
      <c r="J868" s="3">
        <v>1016250071</v>
      </c>
      <c r="K868" s="3">
        <v>1078908</v>
      </c>
      <c r="L868" t="s">
        <v>153</v>
      </c>
      <c r="M868" s="4">
        <v>8</v>
      </c>
      <c r="N868" t="s">
        <v>266</v>
      </c>
      <c r="O868" t="s">
        <v>267</v>
      </c>
      <c r="P868" s="4">
        <v>40.787658999999998</v>
      </c>
      <c r="Q868" s="4">
        <v>-73.951735999999997</v>
      </c>
      <c r="R868" s="4">
        <v>40.787489000000001</v>
      </c>
      <c r="S868" s="4">
        <v>-73.951429000000005</v>
      </c>
      <c r="T868" s="2">
        <v>43642</v>
      </c>
      <c r="U868" t="s">
        <v>49</v>
      </c>
      <c r="V868" t="s">
        <v>71</v>
      </c>
      <c r="W868" t="s">
        <v>51</v>
      </c>
      <c r="X868" s="4">
        <v>1</v>
      </c>
      <c r="Y868" s="4">
        <v>4</v>
      </c>
      <c r="Z868" s="4">
        <v>5</v>
      </c>
      <c r="AD868" s="4">
        <v>6</v>
      </c>
      <c r="AE868" s="4">
        <v>4</v>
      </c>
      <c r="AL868" s="4">
        <v>10</v>
      </c>
      <c r="AN868" s="4">
        <v>10</v>
      </c>
      <c r="AO868" s="4">
        <v>10</v>
      </c>
    </row>
    <row r="869" spans="1:41" hidden="1" x14ac:dyDescent="0.2">
      <c r="A869" t="s">
        <v>1682</v>
      </c>
      <c r="B869" t="s">
        <v>1683</v>
      </c>
      <c r="C869" s="2">
        <v>42915</v>
      </c>
      <c r="D869" s="2">
        <v>43642</v>
      </c>
      <c r="E869" s="3">
        <v>26274</v>
      </c>
      <c r="F869" t="s">
        <v>1691</v>
      </c>
      <c r="G869" t="s">
        <v>265</v>
      </c>
      <c r="H869" t="s">
        <v>45</v>
      </c>
      <c r="I869" s="3">
        <v>10029</v>
      </c>
      <c r="J869" s="3">
        <v>1016280004</v>
      </c>
      <c r="K869" s="3">
        <v>1051784</v>
      </c>
      <c r="L869" t="s">
        <v>153</v>
      </c>
      <c r="M869" s="4">
        <v>8</v>
      </c>
      <c r="N869" t="s">
        <v>468</v>
      </c>
      <c r="O869" t="s">
        <v>267</v>
      </c>
      <c r="P869" s="4">
        <v>40.789296999999998</v>
      </c>
      <c r="Q869" s="4">
        <v>-73.950524999999999</v>
      </c>
      <c r="R869" s="4">
        <v>40.789234</v>
      </c>
      <c r="S869" s="4">
        <v>-73.950098999999994</v>
      </c>
      <c r="T869" s="2">
        <v>43642</v>
      </c>
      <c r="U869" t="s">
        <v>49</v>
      </c>
      <c r="V869" t="s">
        <v>71</v>
      </c>
      <c r="W869" t="s">
        <v>51</v>
      </c>
      <c r="X869" s="4">
        <v>6</v>
      </c>
      <c r="Y869" s="4">
        <v>4</v>
      </c>
      <c r="Z869" s="4">
        <v>8</v>
      </c>
      <c r="AD869" s="4">
        <v>4</v>
      </c>
      <c r="AE869" s="4">
        <v>5</v>
      </c>
      <c r="AF869" s="4">
        <v>9</v>
      </c>
      <c r="AL869" s="4">
        <v>18</v>
      </c>
      <c r="AN869" s="4">
        <v>18</v>
      </c>
      <c r="AO869" s="4">
        <v>18</v>
      </c>
    </row>
    <row r="870" spans="1:41" hidden="1" x14ac:dyDescent="0.2">
      <c r="A870" t="s">
        <v>1682</v>
      </c>
      <c r="B870" t="s">
        <v>1683</v>
      </c>
      <c r="C870" s="2">
        <v>42915</v>
      </c>
      <c r="D870" s="2">
        <v>43642</v>
      </c>
      <c r="E870" s="3">
        <v>804664</v>
      </c>
      <c r="F870" t="s">
        <v>1692</v>
      </c>
      <c r="G870" t="s">
        <v>1410</v>
      </c>
      <c r="H870" t="s">
        <v>45</v>
      </c>
      <c r="I870" s="3">
        <v>10029</v>
      </c>
      <c r="J870" s="3">
        <v>1017100021</v>
      </c>
      <c r="K870" s="3">
        <v>1053102</v>
      </c>
      <c r="L870" t="s">
        <v>153</v>
      </c>
      <c r="M870" s="4">
        <v>8</v>
      </c>
      <c r="N870" t="s">
        <v>364</v>
      </c>
      <c r="O870" t="s">
        <v>155</v>
      </c>
      <c r="P870" s="4">
        <v>40.795338000000001</v>
      </c>
      <c r="Q870" s="4">
        <v>-73.933809999999994</v>
      </c>
      <c r="R870" s="4">
        <v>40.795513999999997</v>
      </c>
      <c r="S870" s="4">
        <v>-73.933516999999995</v>
      </c>
      <c r="T870" s="2">
        <v>43642</v>
      </c>
      <c r="U870" t="s">
        <v>49</v>
      </c>
      <c r="V870" t="s">
        <v>71</v>
      </c>
      <c r="W870" t="s">
        <v>51</v>
      </c>
      <c r="Y870" s="4">
        <v>6</v>
      </c>
      <c r="Z870" s="4">
        <v>4</v>
      </c>
      <c r="AD870" s="4">
        <v>1</v>
      </c>
      <c r="AF870" s="4">
        <v>9</v>
      </c>
      <c r="AL870" s="4">
        <v>10</v>
      </c>
      <c r="AN870" s="4">
        <v>10</v>
      </c>
      <c r="AO870" s="4">
        <v>10</v>
      </c>
    </row>
    <row r="871" spans="1:41" hidden="1" x14ac:dyDescent="0.2">
      <c r="A871" t="s">
        <v>1693</v>
      </c>
      <c r="B871" t="s">
        <v>1694</v>
      </c>
      <c r="C871" s="2">
        <v>42915</v>
      </c>
      <c r="D871" s="2">
        <v>44279</v>
      </c>
      <c r="E871" s="3">
        <v>24188</v>
      </c>
      <c r="F871" t="s">
        <v>685</v>
      </c>
      <c r="G871" t="s">
        <v>334</v>
      </c>
      <c r="H871" t="s">
        <v>45</v>
      </c>
      <c r="I871" s="3">
        <v>10010</v>
      </c>
      <c r="J871" s="3">
        <v>1008800073</v>
      </c>
      <c r="K871" s="3">
        <v>1018083</v>
      </c>
      <c r="L871" t="s">
        <v>655</v>
      </c>
      <c r="M871" s="4">
        <v>2</v>
      </c>
      <c r="N871" t="s">
        <v>656</v>
      </c>
      <c r="O871" t="s">
        <v>657</v>
      </c>
      <c r="P871" s="4">
        <v>40.740603999999998</v>
      </c>
      <c r="Q871" s="4">
        <v>-73.983959999999996</v>
      </c>
      <c r="R871" s="4">
        <v>40.740783</v>
      </c>
      <c r="S871" s="4">
        <v>-73.984179999999995</v>
      </c>
      <c r="T871" s="2">
        <v>44279</v>
      </c>
      <c r="U871" t="s">
        <v>49</v>
      </c>
      <c r="V871" t="s">
        <v>71</v>
      </c>
      <c r="W871" t="s">
        <v>51</v>
      </c>
      <c r="X871" s="4">
        <v>45</v>
      </c>
      <c r="Y871" s="4">
        <v>4</v>
      </c>
      <c r="Z871" s="4">
        <v>1</v>
      </c>
      <c r="AD871" s="4">
        <v>50</v>
      </c>
      <c r="AL871" s="4">
        <v>50</v>
      </c>
      <c r="AN871" s="4">
        <v>50</v>
      </c>
      <c r="AO871" s="4">
        <v>50</v>
      </c>
    </row>
    <row r="872" spans="1:41" hidden="1" x14ac:dyDescent="0.2">
      <c r="A872" t="s">
        <v>1695</v>
      </c>
      <c r="B872" t="s">
        <v>1696</v>
      </c>
      <c r="C872" s="2">
        <v>42915</v>
      </c>
      <c r="D872" s="2">
        <v>42915</v>
      </c>
      <c r="E872" s="3">
        <v>6160</v>
      </c>
      <c r="F872" t="s">
        <v>471</v>
      </c>
      <c r="G872" t="s">
        <v>1697</v>
      </c>
      <c r="H872" t="s">
        <v>45</v>
      </c>
      <c r="I872" s="3">
        <v>10002</v>
      </c>
      <c r="J872" s="3">
        <v>1003450009</v>
      </c>
      <c r="K872" s="3">
        <v>1004133</v>
      </c>
      <c r="L872" t="s">
        <v>64</v>
      </c>
      <c r="M872" s="4">
        <v>2</v>
      </c>
      <c r="N872" t="s">
        <v>65</v>
      </c>
      <c r="O872" t="s">
        <v>66</v>
      </c>
      <c r="P872" s="4">
        <v>40.720806000000003</v>
      </c>
      <c r="Q872" s="4">
        <v>-73.983206999999993</v>
      </c>
      <c r="R872" s="4">
        <v>40.720709999999997</v>
      </c>
      <c r="S872" s="4">
        <v>-73.982994000000005</v>
      </c>
      <c r="T872" s="2">
        <v>42915</v>
      </c>
      <c r="U872" t="s">
        <v>49</v>
      </c>
      <c r="V872" t="s">
        <v>50</v>
      </c>
      <c r="W872" t="s">
        <v>51</v>
      </c>
      <c r="Y872" s="4">
        <v>5</v>
      </c>
      <c r="Z872" s="4">
        <v>4</v>
      </c>
      <c r="AC872" s="4">
        <v>1</v>
      </c>
      <c r="AE872" s="4">
        <v>1</v>
      </c>
      <c r="AF872" s="4">
        <v>4</v>
      </c>
      <c r="AG872" s="4">
        <v>5</v>
      </c>
      <c r="AL872" s="4">
        <v>10</v>
      </c>
      <c r="AN872" s="4">
        <v>10</v>
      </c>
      <c r="AO872" s="4">
        <v>10</v>
      </c>
    </row>
    <row r="873" spans="1:41" hidden="1" x14ac:dyDescent="0.2">
      <c r="A873" t="s">
        <v>1695</v>
      </c>
      <c r="B873" t="s">
        <v>1696</v>
      </c>
      <c r="C873" s="2">
        <v>42915</v>
      </c>
      <c r="D873" s="2">
        <v>42915</v>
      </c>
      <c r="E873" s="3">
        <v>6422</v>
      </c>
      <c r="F873" t="s">
        <v>95</v>
      </c>
      <c r="G873" t="s">
        <v>1348</v>
      </c>
      <c r="H873" t="s">
        <v>45</v>
      </c>
      <c r="I873" s="3">
        <v>10009</v>
      </c>
      <c r="J873" s="3">
        <v>1003930006</v>
      </c>
      <c r="K873" s="3">
        <v>1004875</v>
      </c>
      <c r="L873" t="s">
        <v>64</v>
      </c>
      <c r="M873" s="4">
        <v>2</v>
      </c>
      <c r="N873" t="s">
        <v>607</v>
      </c>
      <c r="O873" t="s">
        <v>197</v>
      </c>
      <c r="P873" s="4">
        <v>40.727252999999997</v>
      </c>
      <c r="Q873" s="4">
        <v>-73.979612000000003</v>
      </c>
      <c r="R873" s="4">
        <v>40.727141000000003</v>
      </c>
      <c r="S873" s="4">
        <v>-73.979394999999997</v>
      </c>
      <c r="T873" s="2">
        <v>42915</v>
      </c>
      <c r="U873" t="s">
        <v>49</v>
      </c>
      <c r="V873" t="s">
        <v>50</v>
      </c>
      <c r="W873" t="s">
        <v>51</v>
      </c>
      <c r="Y873" s="4">
        <v>4</v>
      </c>
      <c r="Z873" s="4">
        <v>4</v>
      </c>
      <c r="AC873" s="4">
        <v>1</v>
      </c>
      <c r="AF873" s="4">
        <v>9</v>
      </c>
      <c r="AL873" s="4">
        <v>9</v>
      </c>
      <c r="AN873" s="4">
        <v>9</v>
      </c>
      <c r="AO873" s="4">
        <v>9</v>
      </c>
    </row>
    <row r="874" spans="1:41" hidden="1" x14ac:dyDescent="0.2">
      <c r="A874" t="s">
        <v>1695</v>
      </c>
      <c r="B874" t="s">
        <v>1696</v>
      </c>
      <c r="C874" s="2">
        <v>42915</v>
      </c>
      <c r="D874" s="2">
        <v>42915</v>
      </c>
      <c r="E874" s="3">
        <v>6424</v>
      </c>
      <c r="F874" t="s">
        <v>1557</v>
      </c>
      <c r="G874" t="s">
        <v>1348</v>
      </c>
      <c r="H874" t="s">
        <v>45</v>
      </c>
      <c r="I874" s="3">
        <v>10009</v>
      </c>
      <c r="J874" s="3">
        <v>1003930007</v>
      </c>
      <c r="K874" s="3">
        <v>1004876</v>
      </c>
      <c r="L874" t="s">
        <v>64</v>
      </c>
      <c r="M874" s="4">
        <v>2</v>
      </c>
      <c r="N874" t="s">
        <v>607</v>
      </c>
      <c r="O874" t="s">
        <v>197</v>
      </c>
      <c r="P874" s="4">
        <v>40.727313000000002</v>
      </c>
      <c r="Q874" s="4">
        <v>-73.979568</v>
      </c>
      <c r="R874" s="4">
        <v>40.727204</v>
      </c>
      <c r="S874" s="4">
        <v>-73.979352000000006</v>
      </c>
      <c r="T874" s="2">
        <v>42915</v>
      </c>
      <c r="U874" t="s">
        <v>49</v>
      </c>
      <c r="V874" t="s">
        <v>50</v>
      </c>
      <c r="W874" t="s">
        <v>51</v>
      </c>
      <c r="Y874" s="4">
        <v>5</v>
      </c>
      <c r="Z874" s="4">
        <v>4</v>
      </c>
      <c r="AF874" s="4">
        <v>9</v>
      </c>
      <c r="AL874" s="4">
        <v>9</v>
      </c>
      <c r="AN874" s="4">
        <v>9</v>
      </c>
      <c r="AO874" s="4">
        <v>9</v>
      </c>
    </row>
    <row r="875" spans="1:41" hidden="1" x14ac:dyDescent="0.2">
      <c r="A875" t="s">
        <v>1695</v>
      </c>
      <c r="B875" t="s">
        <v>1696</v>
      </c>
      <c r="C875" s="2">
        <v>42915</v>
      </c>
      <c r="D875" s="2">
        <v>42915</v>
      </c>
      <c r="E875" s="3">
        <v>6426</v>
      </c>
      <c r="F875" t="s">
        <v>877</v>
      </c>
      <c r="G875" t="s">
        <v>1348</v>
      </c>
      <c r="H875" t="s">
        <v>45</v>
      </c>
      <c r="I875" s="3">
        <v>10009</v>
      </c>
      <c r="J875" s="3">
        <v>1003930008</v>
      </c>
      <c r="K875" s="3">
        <v>1004877</v>
      </c>
      <c r="L875" t="s">
        <v>64</v>
      </c>
      <c r="M875" s="4">
        <v>2</v>
      </c>
      <c r="N875" t="s">
        <v>607</v>
      </c>
      <c r="O875" t="s">
        <v>197</v>
      </c>
      <c r="P875" s="4">
        <v>40.727373999999998</v>
      </c>
      <c r="Q875" s="4">
        <v>-73.979524999999995</v>
      </c>
      <c r="R875" s="4">
        <v>40.727266999999998</v>
      </c>
      <c r="S875" s="4">
        <v>-73.979304999999997</v>
      </c>
      <c r="T875" s="2">
        <v>42915</v>
      </c>
      <c r="U875" t="s">
        <v>49</v>
      </c>
      <c r="V875" t="s">
        <v>50</v>
      </c>
      <c r="W875" t="s">
        <v>51</v>
      </c>
      <c r="Y875" s="4">
        <v>5</v>
      </c>
      <c r="Z875" s="4">
        <v>4</v>
      </c>
      <c r="AG875" s="4">
        <v>9</v>
      </c>
      <c r="AL875" s="4">
        <v>9</v>
      </c>
      <c r="AN875" s="4">
        <v>9</v>
      </c>
      <c r="AO875" s="4">
        <v>9</v>
      </c>
    </row>
    <row r="876" spans="1:41" hidden="1" x14ac:dyDescent="0.2">
      <c r="A876" t="s">
        <v>1695</v>
      </c>
      <c r="B876" t="s">
        <v>1696</v>
      </c>
      <c r="C876" s="2">
        <v>42915</v>
      </c>
      <c r="D876" s="2">
        <v>42915</v>
      </c>
      <c r="E876" s="3">
        <v>6529</v>
      </c>
      <c r="F876" t="s">
        <v>340</v>
      </c>
      <c r="G876" t="s">
        <v>195</v>
      </c>
      <c r="H876" t="s">
        <v>45</v>
      </c>
      <c r="I876" s="3">
        <v>10009</v>
      </c>
      <c r="J876" s="3">
        <v>1003780004</v>
      </c>
      <c r="K876" s="3">
        <v>1004527</v>
      </c>
      <c r="L876" t="s">
        <v>64</v>
      </c>
      <c r="M876" s="4">
        <v>2</v>
      </c>
      <c r="N876" t="s">
        <v>603</v>
      </c>
      <c r="O876" t="s">
        <v>197</v>
      </c>
      <c r="P876" s="4">
        <v>40.724988000000003</v>
      </c>
      <c r="Q876" s="4">
        <v>-73.978183999999999</v>
      </c>
      <c r="R876" s="4">
        <v>40.724919999999997</v>
      </c>
      <c r="S876" s="4">
        <v>-73.977926999999994</v>
      </c>
      <c r="T876" s="2">
        <v>42915</v>
      </c>
      <c r="U876" t="s">
        <v>49</v>
      </c>
      <c r="V876" t="s">
        <v>50</v>
      </c>
      <c r="W876" t="s">
        <v>51</v>
      </c>
      <c r="Y876" s="4">
        <v>11</v>
      </c>
      <c r="Z876" s="4">
        <v>11</v>
      </c>
      <c r="AF876" s="4">
        <v>12</v>
      </c>
      <c r="AG876" s="4">
        <v>10</v>
      </c>
      <c r="AL876" s="4">
        <v>22</v>
      </c>
      <c r="AN876" s="4">
        <v>22</v>
      </c>
      <c r="AO876" s="4">
        <v>22</v>
      </c>
    </row>
    <row r="877" spans="1:41" hidden="1" x14ac:dyDescent="0.2">
      <c r="A877" t="s">
        <v>1695</v>
      </c>
      <c r="B877" t="s">
        <v>1696</v>
      </c>
      <c r="C877" s="2">
        <v>42915</v>
      </c>
      <c r="D877" s="2">
        <v>42915</v>
      </c>
      <c r="E877" s="3">
        <v>6632</v>
      </c>
      <c r="F877" t="s">
        <v>960</v>
      </c>
      <c r="G877" t="s">
        <v>1698</v>
      </c>
      <c r="H877" t="s">
        <v>45</v>
      </c>
      <c r="I877" s="3">
        <v>10009</v>
      </c>
      <c r="J877" s="3">
        <v>1003720037</v>
      </c>
      <c r="K877" s="3">
        <v>1004367</v>
      </c>
      <c r="L877" t="s">
        <v>64</v>
      </c>
      <c r="M877" s="4">
        <v>2</v>
      </c>
      <c r="N877" t="s">
        <v>1273</v>
      </c>
      <c r="O877" t="s">
        <v>197</v>
      </c>
      <c r="P877" s="4">
        <v>40.720593999999998</v>
      </c>
      <c r="Q877" s="4">
        <v>-73.978300000000004</v>
      </c>
      <c r="R877" s="4">
        <v>40.72063</v>
      </c>
      <c r="S877" s="4">
        <v>-73.978523999999993</v>
      </c>
      <c r="T877" s="2">
        <v>42915</v>
      </c>
      <c r="U877" t="s">
        <v>49</v>
      </c>
      <c r="V877" t="s">
        <v>50</v>
      </c>
      <c r="W877" t="s">
        <v>51</v>
      </c>
      <c r="Y877" s="4">
        <v>1</v>
      </c>
      <c r="Z877" s="4">
        <v>1</v>
      </c>
      <c r="AD877" s="4">
        <v>1</v>
      </c>
      <c r="AE877" s="4">
        <v>1</v>
      </c>
      <c r="AL877" s="4">
        <v>2</v>
      </c>
      <c r="AN877" s="4">
        <v>2</v>
      </c>
      <c r="AO877" s="4">
        <v>2</v>
      </c>
    </row>
    <row r="878" spans="1:41" hidden="1" x14ac:dyDescent="0.2">
      <c r="A878" t="s">
        <v>1695</v>
      </c>
      <c r="B878" t="s">
        <v>1696</v>
      </c>
      <c r="C878" s="2">
        <v>42915</v>
      </c>
      <c r="D878" s="2">
        <v>42915</v>
      </c>
      <c r="E878" s="3">
        <v>9671</v>
      </c>
      <c r="F878" t="s">
        <v>1525</v>
      </c>
      <c r="G878" t="s">
        <v>1699</v>
      </c>
      <c r="H878" t="s">
        <v>45</v>
      </c>
      <c r="I878" s="3">
        <v>10002</v>
      </c>
      <c r="J878" s="3">
        <v>1003490021</v>
      </c>
      <c r="K878" s="3">
        <v>1004224</v>
      </c>
      <c r="L878" t="s">
        <v>64</v>
      </c>
      <c r="M878" s="4">
        <v>1</v>
      </c>
      <c r="N878" t="s">
        <v>1625</v>
      </c>
      <c r="O878" t="s">
        <v>66</v>
      </c>
      <c r="P878" s="4">
        <v>40.719824000000003</v>
      </c>
      <c r="Q878" s="4">
        <v>-73.984700000000004</v>
      </c>
      <c r="R878" s="4">
        <v>40.719889999999999</v>
      </c>
      <c r="S878" s="4">
        <v>-73.984938999999997</v>
      </c>
      <c r="T878" s="2">
        <v>42915</v>
      </c>
      <c r="U878" t="s">
        <v>49</v>
      </c>
      <c r="V878" t="s">
        <v>50</v>
      </c>
      <c r="W878" t="s">
        <v>51</v>
      </c>
      <c r="Y878" s="4">
        <v>5</v>
      </c>
      <c r="Z878" s="4">
        <v>4</v>
      </c>
      <c r="AF878" s="4">
        <v>9</v>
      </c>
      <c r="AL878" s="4">
        <v>9</v>
      </c>
      <c r="AN878" s="4">
        <v>9</v>
      </c>
      <c r="AO878" s="4">
        <v>9</v>
      </c>
    </row>
    <row r="879" spans="1:41" hidden="1" x14ac:dyDescent="0.2">
      <c r="A879" t="s">
        <v>1695</v>
      </c>
      <c r="B879" t="s">
        <v>1696</v>
      </c>
      <c r="C879" s="2">
        <v>42915</v>
      </c>
      <c r="D879" s="2">
        <v>42915</v>
      </c>
      <c r="E879" s="3">
        <v>10442</v>
      </c>
      <c r="F879" t="s">
        <v>468</v>
      </c>
      <c r="G879" t="s">
        <v>1272</v>
      </c>
      <c r="H879" t="s">
        <v>45</v>
      </c>
      <c r="I879" s="3">
        <v>10009</v>
      </c>
      <c r="J879" s="3">
        <v>1003980055</v>
      </c>
      <c r="K879" s="3">
        <v>1077505</v>
      </c>
      <c r="L879" t="s">
        <v>64</v>
      </c>
      <c r="M879" s="4">
        <v>2</v>
      </c>
      <c r="N879" t="s">
        <v>499</v>
      </c>
      <c r="O879" t="s">
        <v>197</v>
      </c>
      <c r="P879" s="4">
        <v>40.722653999999999</v>
      </c>
      <c r="Q879" s="4">
        <v>-73.984898000000001</v>
      </c>
      <c r="R879" s="4">
        <v>40.722850999999999</v>
      </c>
      <c r="S879" s="4">
        <v>-73.984812000000005</v>
      </c>
      <c r="T879" s="2">
        <v>42915</v>
      </c>
      <c r="U879" t="s">
        <v>49</v>
      </c>
      <c r="V879" t="s">
        <v>50</v>
      </c>
      <c r="W879" t="s">
        <v>51</v>
      </c>
      <c r="Y879" s="4">
        <v>13</v>
      </c>
      <c r="Z879" s="4">
        <v>11</v>
      </c>
      <c r="AC879" s="4">
        <v>1</v>
      </c>
      <c r="AE879" s="4">
        <v>11</v>
      </c>
      <c r="AF879" s="4">
        <v>10</v>
      </c>
      <c r="AG879" s="4">
        <v>4</v>
      </c>
      <c r="AL879" s="4">
        <v>25</v>
      </c>
      <c r="AN879" s="4">
        <v>25</v>
      </c>
      <c r="AO879" s="4">
        <v>25</v>
      </c>
    </row>
    <row r="880" spans="1:41" hidden="1" x14ac:dyDescent="0.2">
      <c r="A880" t="s">
        <v>1695</v>
      </c>
      <c r="B880" t="s">
        <v>1696</v>
      </c>
      <c r="C880" s="2">
        <v>42915</v>
      </c>
      <c r="D880" s="2">
        <v>42915</v>
      </c>
      <c r="E880" s="3">
        <v>10983</v>
      </c>
      <c r="F880" t="s">
        <v>873</v>
      </c>
      <c r="G880" t="s">
        <v>620</v>
      </c>
      <c r="H880" t="s">
        <v>45</v>
      </c>
      <c r="I880" s="3">
        <v>10009</v>
      </c>
      <c r="J880" s="3">
        <v>1004020054</v>
      </c>
      <c r="K880" s="3">
        <v>1005109</v>
      </c>
      <c r="L880" t="s">
        <v>64</v>
      </c>
      <c r="M880" s="4">
        <v>2</v>
      </c>
      <c r="N880" t="s">
        <v>1238</v>
      </c>
      <c r="O880" t="s">
        <v>197</v>
      </c>
      <c r="P880" s="4">
        <v>40.725178999999997</v>
      </c>
      <c r="Q880" s="4">
        <v>-73.983238</v>
      </c>
      <c r="R880" s="4">
        <v>40.725147999999997</v>
      </c>
      <c r="S880" s="4">
        <v>-73.982639000000006</v>
      </c>
      <c r="T880" s="2">
        <v>42915</v>
      </c>
      <c r="U880" t="s">
        <v>49</v>
      </c>
      <c r="V880" t="s">
        <v>50</v>
      </c>
      <c r="W880" t="s">
        <v>51</v>
      </c>
      <c r="Y880" s="4">
        <v>2</v>
      </c>
      <c r="Z880" s="4">
        <v>3</v>
      </c>
      <c r="AF880" s="4">
        <v>1</v>
      </c>
      <c r="AG880" s="4">
        <v>4</v>
      </c>
      <c r="AL880" s="4">
        <v>5</v>
      </c>
      <c r="AN880" s="4">
        <v>5</v>
      </c>
      <c r="AO880" s="4">
        <v>5</v>
      </c>
    </row>
    <row r="881" spans="1:41" hidden="1" x14ac:dyDescent="0.2">
      <c r="A881" t="s">
        <v>1695</v>
      </c>
      <c r="B881" t="s">
        <v>1696</v>
      </c>
      <c r="C881" s="2">
        <v>42915</v>
      </c>
      <c r="D881" s="2">
        <v>42915</v>
      </c>
      <c r="E881" s="3">
        <v>11113</v>
      </c>
      <c r="F881" t="s">
        <v>318</v>
      </c>
      <c r="G881" t="s">
        <v>1159</v>
      </c>
      <c r="H881" t="s">
        <v>45</v>
      </c>
      <c r="I881" s="3">
        <v>10009</v>
      </c>
      <c r="J881" s="3">
        <v>1003890027</v>
      </c>
      <c r="K881" s="3">
        <v>1004682</v>
      </c>
      <c r="L881" t="s">
        <v>64</v>
      </c>
      <c r="M881" s="4">
        <v>2</v>
      </c>
      <c r="N881" t="s">
        <v>603</v>
      </c>
      <c r="O881" t="s">
        <v>197</v>
      </c>
      <c r="P881" s="4">
        <v>40.724445000000003</v>
      </c>
      <c r="Q881" s="4">
        <v>-73.979746000000006</v>
      </c>
      <c r="R881" s="4">
        <v>40.724181999999999</v>
      </c>
      <c r="S881" s="4">
        <v>-73.979656000000006</v>
      </c>
      <c r="T881" s="2">
        <v>42915</v>
      </c>
      <c r="U881" t="s">
        <v>49</v>
      </c>
      <c r="V881" t="s">
        <v>50</v>
      </c>
      <c r="W881" t="s">
        <v>51</v>
      </c>
      <c r="Y881" s="4">
        <v>2</v>
      </c>
      <c r="Z881" s="4">
        <v>3</v>
      </c>
      <c r="AG881" s="4">
        <v>1</v>
      </c>
      <c r="AH881" s="4">
        <v>4</v>
      </c>
      <c r="AL881" s="4">
        <v>5</v>
      </c>
      <c r="AN881" s="4">
        <v>5</v>
      </c>
      <c r="AO881" s="4">
        <v>5</v>
      </c>
    </row>
    <row r="882" spans="1:41" hidden="1" x14ac:dyDescent="0.2">
      <c r="A882" t="s">
        <v>1695</v>
      </c>
      <c r="B882" t="s">
        <v>1696</v>
      </c>
      <c r="C882" s="2">
        <v>42915</v>
      </c>
      <c r="D882" s="2">
        <v>42915</v>
      </c>
      <c r="E882" s="3">
        <v>11247</v>
      </c>
      <c r="F882" t="s">
        <v>1700</v>
      </c>
      <c r="G882" t="s">
        <v>1343</v>
      </c>
      <c r="H882" t="s">
        <v>45</v>
      </c>
      <c r="I882" s="3">
        <v>10009</v>
      </c>
      <c r="J882" s="3">
        <v>1003910045</v>
      </c>
      <c r="K882" s="3">
        <v>1077453</v>
      </c>
      <c r="L882" t="s">
        <v>64</v>
      </c>
      <c r="M882" s="4">
        <v>2</v>
      </c>
      <c r="N882" t="s">
        <v>603</v>
      </c>
      <c r="O882" t="s">
        <v>197</v>
      </c>
      <c r="P882" s="4">
        <v>40.725042999999999</v>
      </c>
      <c r="Q882" s="4">
        <v>-73.979212000000004</v>
      </c>
      <c r="R882" s="4">
        <v>40.725244000000004</v>
      </c>
      <c r="S882" s="4">
        <v>-73.979161000000005</v>
      </c>
      <c r="T882" s="2">
        <v>42915</v>
      </c>
      <c r="U882" t="s">
        <v>49</v>
      </c>
      <c r="V882" t="s">
        <v>50</v>
      </c>
      <c r="W882" t="s">
        <v>51</v>
      </c>
      <c r="Y882" s="4">
        <v>7</v>
      </c>
      <c r="Z882" s="4">
        <v>5</v>
      </c>
      <c r="AE882" s="4">
        <v>9</v>
      </c>
      <c r="AG882" s="4">
        <v>3</v>
      </c>
      <c r="AL882" s="4">
        <v>12</v>
      </c>
      <c r="AN882" s="4">
        <v>12</v>
      </c>
      <c r="AO882" s="4">
        <v>12</v>
      </c>
    </row>
    <row r="883" spans="1:41" hidden="1" x14ac:dyDescent="0.2">
      <c r="A883" t="s">
        <v>1695</v>
      </c>
      <c r="B883" t="s">
        <v>1696</v>
      </c>
      <c r="C883" s="2">
        <v>42915</v>
      </c>
      <c r="D883" s="2">
        <v>42915</v>
      </c>
      <c r="E883" s="3">
        <v>11523</v>
      </c>
      <c r="F883" t="s">
        <v>526</v>
      </c>
      <c r="G883" t="s">
        <v>606</v>
      </c>
      <c r="H883" t="s">
        <v>45</v>
      </c>
      <c r="I883" s="3">
        <v>10009</v>
      </c>
      <c r="J883" s="3">
        <v>1004040058</v>
      </c>
      <c r="K883" s="3">
        <v>1005163</v>
      </c>
      <c r="L883" t="s">
        <v>64</v>
      </c>
      <c r="M883" s="4">
        <v>2</v>
      </c>
      <c r="N883" t="s">
        <v>978</v>
      </c>
      <c r="O883" t="s">
        <v>197</v>
      </c>
      <c r="P883" s="4">
        <v>40.727679000000002</v>
      </c>
      <c r="Q883" s="4">
        <v>-73.981812000000005</v>
      </c>
      <c r="R883" s="4">
        <v>40.727944999999998</v>
      </c>
      <c r="S883" s="4">
        <v>-73.981845000000007</v>
      </c>
      <c r="T883" s="2">
        <v>42915</v>
      </c>
      <c r="U883" t="s">
        <v>49</v>
      </c>
      <c r="V883" t="s">
        <v>50</v>
      </c>
      <c r="W883" t="s">
        <v>51</v>
      </c>
      <c r="Y883" s="4">
        <v>2</v>
      </c>
      <c r="Z883" s="4">
        <v>3</v>
      </c>
      <c r="AF883" s="4">
        <v>1</v>
      </c>
      <c r="AG883" s="4">
        <v>4</v>
      </c>
      <c r="AL883" s="4">
        <v>5</v>
      </c>
      <c r="AN883" s="4">
        <v>5</v>
      </c>
      <c r="AO883" s="4">
        <v>5</v>
      </c>
    </row>
    <row r="884" spans="1:41" hidden="1" x14ac:dyDescent="0.2">
      <c r="A884" t="s">
        <v>1695</v>
      </c>
      <c r="B884" t="s">
        <v>1696</v>
      </c>
      <c r="C884" s="2">
        <v>42915</v>
      </c>
      <c r="D884" s="2">
        <v>42915</v>
      </c>
      <c r="E884" s="3">
        <v>11576</v>
      </c>
      <c r="F884" t="s">
        <v>1701</v>
      </c>
      <c r="G884" t="s">
        <v>606</v>
      </c>
      <c r="H884" t="s">
        <v>45</v>
      </c>
      <c r="I884" s="3">
        <v>10009</v>
      </c>
      <c r="J884" s="3">
        <v>1003930040</v>
      </c>
      <c r="K884" s="3">
        <v>1004897</v>
      </c>
      <c r="L884" t="s">
        <v>64</v>
      </c>
      <c r="M884" s="4">
        <v>2</v>
      </c>
      <c r="N884" t="s">
        <v>607</v>
      </c>
      <c r="O884" t="s">
        <v>197</v>
      </c>
      <c r="P884" s="4">
        <v>40.726137999999999</v>
      </c>
      <c r="Q884" s="4">
        <v>-73.978139999999996</v>
      </c>
      <c r="R884" s="4">
        <v>40.726232000000003</v>
      </c>
      <c r="S884" s="4">
        <v>-73.977836999999994</v>
      </c>
      <c r="T884" s="2">
        <v>42915</v>
      </c>
      <c r="U884" t="s">
        <v>49</v>
      </c>
      <c r="V884" t="s">
        <v>50</v>
      </c>
      <c r="W884" t="s">
        <v>51</v>
      </c>
      <c r="Y884" s="4">
        <v>3</v>
      </c>
      <c r="Z884" s="4">
        <v>4</v>
      </c>
      <c r="AE884" s="4">
        <v>1</v>
      </c>
      <c r="AF884" s="4">
        <v>6</v>
      </c>
      <c r="AL884" s="4">
        <v>7</v>
      </c>
      <c r="AN884" s="4">
        <v>7</v>
      </c>
      <c r="AO884" s="4">
        <v>7</v>
      </c>
    </row>
    <row r="885" spans="1:41" hidden="1" x14ac:dyDescent="0.2">
      <c r="A885" t="s">
        <v>1695</v>
      </c>
      <c r="B885" t="s">
        <v>1696</v>
      </c>
      <c r="C885" s="2">
        <v>42915</v>
      </c>
      <c r="D885" s="2">
        <v>42915</v>
      </c>
      <c r="E885" s="3">
        <v>11830</v>
      </c>
      <c r="F885" t="s">
        <v>1702</v>
      </c>
      <c r="G885" t="s">
        <v>1209</v>
      </c>
      <c r="H885" t="s">
        <v>45</v>
      </c>
      <c r="I885" s="3">
        <v>10009</v>
      </c>
      <c r="J885" s="3">
        <v>1004400050</v>
      </c>
      <c r="K885" s="3">
        <v>1006004</v>
      </c>
      <c r="L885" t="s">
        <v>64</v>
      </c>
      <c r="M885" s="4">
        <v>2</v>
      </c>
      <c r="N885" t="s">
        <v>978</v>
      </c>
      <c r="O885" t="s">
        <v>197</v>
      </c>
      <c r="P885" s="4">
        <v>40.729605999999997</v>
      </c>
      <c r="Q885" s="4">
        <v>-73.982547999999994</v>
      </c>
      <c r="R885" s="4">
        <v>40.729801000000002</v>
      </c>
      <c r="S885" s="4">
        <v>-73.982432000000003</v>
      </c>
      <c r="T885" s="2">
        <v>42915</v>
      </c>
      <c r="U885" t="s">
        <v>49</v>
      </c>
      <c r="V885" t="s">
        <v>50</v>
      </c>
      <c r="W885" t="s">
        <v>51</v>
      </c>
      <c r="Y885" s="4">
        <v>6</v>
      </c>
      <c r="Z885" s="4">
        <v>5</v>
      </c>
      <c r="AE885" s="4">
        <v>6</v>
      </c>
      <c r="AF885" s="4">
        <v>5</v>
      </c>
      <c r="AL885" s="4">
        <v>11</v>
      </c>
      <c r="AN885" s="4">
        <v>11</v>
      </c>
      <c r="AO885" s="4">
        <v>11</v>
      </c>
    </row>
    <row r="886" spans="1:41" hidden="1" x14ac:dyDescent="0.2">
      <c r="A886" t="s">
        <v>1695</v>
      </c>
      <c r="B886" t="s">
        <v>1696</v>
      </c>
      <c r="C886" s="2">
        <v>42915</v>
      </c>
      <c r="D886" s="2">
        <v>42915</v>
      </c>
      <c r="E886" s="3">
        <v>803818</v>
      </c>
      <c r="F886" t="s">
        <v>1703</v>
      </c>
      <c r="G886" t="s">
        <v>977</v>
      </c>
      <c r="H886" t="s">
        <v>45</v>
      </c>
      <c r="I886" s="3">
        <v>10009</v>
      </c>
      <c r="J886" s="3">
        <v>1004050042</v>
      </c>
      <c r="K886" s="3">
        <v>1076975</v>
      </c>
      <c r="L886" t="s">
        <v>64</v>
      </c>
      <c r="M886" s="4">
        <v>2</v>
      </c>
      <c r="N886" t="s">
        <v>978</v>
      </c>
      <c r="O886" t="s">
        <v>197</v>
      </c>
      <c r="P886" s="4">
        <v>40.728040999999997</v>
      </c>
      <c r="Q886" s="4">
        <v>-73.980808999999994</v>
      </c>
      <c r="R886" s="4">
        <v>40.727930999999998</v>
      </c>
      <c r="S886" s="4">
        <v>-73.979968999999997</v>
      </c>
      <c r="T886" s="2">
        <v>42915</v>
      </c>
      <c r="U886" t="s">
        <v>49</v>
      </c>
      <c r="V886" t="s">
        <v>50</v>
      </c>
      <c r="W886" t="s">
        <v>51</v>
      </c>
      <c r="Y886" s="4">
        <v>8</v>
      </c>
      <c r="Z886" s="4">
        <v>6</v>
      </c>
      <c r="AC886" s="4">
        <v>1</v>
      </c>
      <c r="AE886" s="4">
        <v>10</v>
      </c>
      <c r="AF886" s="4">
        <v>5</v>
      </c>
      <c r="AL886" s="4">
        <v>15</v>
      </c>
      <c r="AN886" s="4">
        <v>15</v>
      </c>
      <c r="AO886" s="4">
        <v>15</v>
      </c>
    </row>
    <row r="887" spans="1:41" hidden="1" x14ac:dyDescent="0.2">
      <c r="A887" t="s">
        <v>1695</v>
      </c>
      <c r="B887" t="s">
        <v>1696</v>
      </c>
      <c r="C887" s="2">
        <v>42915</v>
      </c>
      <c r="D887" s="2">
        <v>42915</v>
      </c>
      <c r="E887" s="3">
        <v>804189</v>
      </c>
      <c r="F887" t="s">
        <v>1610</v>
      </c>
      <c r="G887" t="s">
        <v>1699</v>
      </c>
      <c r="H887" t="s">
        <v>45</v>
      </c>
      <c r="I887" s="3">
        <v>10002</v>
      </c>
      <c r="J887" s="3">
        <v>1003500023</v>
      </c>
      <c r="K887" s="3">
        <v>1004249</v>
      </c>
      <c r="L887" t="s">
        <v>64</v>
      </c>
      <c r="M887" s="4">
        <v>2</v>
      </c>
      <c r="N887" t="s">
        <v>1625</v>
      </c>
      <c r="O887" t="s">
        <v>66</v>
      </c>
      <c r="P887" s="4">
        <v>40.720844999999997</v>
      </c>
      <c r="Q887" s="4">
        <v>-73.984166000000002</v>
      </c>
      <c r="R887" s="4">
        <v>40.720945999999998</v>
      </c>
      <c r="S887" s="4">
        <v>-73.984401000000005</v>
      </c>
      <c r="T887" s="2">
        <v>42915</v>
      </c>
      <c r="U887" t="s">
        <v>49</v>
      </c>
      <c r="V887" t="s">
        <v>50</v>
      </c>
      <c r="W887" t="s">
        <v>51</v>
      </c>
      <c r="Y887" s="4">
        <v>9</v>
      </c>
      <c r="Z887" s="4">
        <v>10</v>
      </c>
      <c r="AE887" s="4">
        <v>1</v>
      </c>
      <c r="AF887" s="4">
        <v>18</v>
      </c>
      <c r="AL887" s="4">
        <v>19</v>
      </c>
      <c r="AN887" s="4">
        <v>19</v>
      </c>
      <c r="AO887" s="4">
        <v>19</v>
      </c>
    </row>
    <row r="888" spans="1:41" hidden="1" x14ac:dyDescent="0.2">
      <c r="A888" t="s">
        <v>1695</v>
      </c>
      <c r="B888" t="s">
        <v>1696</v>
      </c>
      <c r="C888" s="2">
        <v>42915</v>
      </c>
      <c r="D888" s="2">
        <v>42915</v>
      </c>
      <c r="E888" s="3">
        <v>804196</v>
      </c>
      <c r="F888" t="s">
        <v>607</v>
      </c>
      <c r="G888" t="s">
        <v>1699</v>
      </c>
      <c r="H888" t="s">
        <v>45</v>
      </c>
      <c r="I888" s="3">
        <v>10002</v>
      </c>
      <c r="J888" s="3">
        <v>1003500039</v>
      </c>
      <c r="K888" s="3">
        <v>1004260</v>
      </c>
      <c r="L888" t="s">
        <v>64</v>
      </c>
      <c r="M888" s="4">
        <v>2</v>
      </c>
      <c r="N888" t="s">
        <v>65</v>
      </c>
      <c r="O888" t="s">
        <v>66</v>
      </c>
      <c r="P888" s="4">
        <v>40.720514999999999</v>
      </c>
      <c r="Q888" s="4">
        <v>-73.984318000000002</v>
      </c>
      <c r="R888" s="4">
        <v>40.720362000000002</v>
      </c>
      <c r="S888" s="4">
        <v>-73.984181000000007</v>
      </c>
      <c r="T888" s="2">
        <v>42915</v>
      </c>
      <c r="U888" t="s">
        <v>49</v>
      </c>
      <c r="V888" t="s">
        <v>50</v>
      </c>
      <c r="W888" t="s">
        <v>51</v>
      </c>
      <c r="Y888" s="4">
        <v>5</v>
      </c>
      <c r="Z888" s="4">
        <v>5</v>
      </c>
      <c r="AE888" s="4">
        <v>2</v>
      </c>
      <c r="AG888" s="4">
        <v>8</v>
      </c>
      <c r="AL888" s="4">
        <v>10</v>
      </c>
      <c r="AN888" s="4">
        <v>10</v>
      </c>
      <c r="AO888" s="4">
        <v>10</v>
      </c>
    </row>
    <row r="889" spans="1:41" hidden="1" x14ac:dyDescent="0.2">
      <c r="A889" t="s">
        <v>1695</v>
      </c>
      <c r="B889" t="s">
        <v>1696</v>
      </c>
      <c r="C889" s="2">
        <v>42915</v>
      </c>
      <c r="D889" s="2">
        <v>42915</v>
      </c>
      <c r="E889" s="3">
        <v>805350</v>
      </c>
      <c r="F889" t="s">
        <v>93</v>
      </c>
      <c r="G889" t="s">
        <v>1069</v>
      </c>
      <c r="H889" t="s">
        <v>45</v>
      </c>
      <c r="I889" s="3">
        <v>10002</v>
      </c>
      <c r="J889" s="3">
        <v>1003550062</v>
      </c>
      <c r="K889" s="3">
        <v>1004340</v>
      </c>
      <c r="L889" t="s">
        <v>64</v>
      </c>
      <c r="M889" s="4">
        <v>2</v>
      </c>
      <c r="N889" t="s">
        <v>1625</v>
      </c>
      <c r="O889" t="s">
        <v>66</v>
      </c>
      <c r="P889" s="4">
        <v>40.721072999999997</v>
      </c>
      <c r="Q889" s="4">
        <v>-73.985032000000004</v>
      </c>
      <c r="R889" s="4">
        <v>40.721195999999999</v>
      </c>
      <c r="S889" s="4">
        <v>-73.985245000000006</v>
      </c>
      <c r="T889" s="2">
        <v>42915</v>
      </c>
      <c r="U889" t="s">
        <v>49</v>
      </c>
      <c r="V889" t="s">
        <v>50</v>
      </c>
      <c r="W889" t="s">
        <v>51</v>
      </c>
      <c r="Y889" s="4">
        <v>13</v>
      </c>
      <c r="Z889" s="4">
        <v>12</v>
      </c>
      <c r="AC889" s="4">
        <v>1</v>
      </c>
      <c r="AE889" s="4">
        <v>5</v>
      </c>
      <c r="AF889" s="4">
        <v>19</v>
      </c>
      <c r="AG889" s="4">
        <v>2</v>
      </c>
      <c r="AL889" s="4">
        <v>26</v>
      </c>
      <c r="AN889" s="4">
        <v>26</v>
      </c>
      <c r="AO889" s="4">
        <v>26</v>
      </c>
    </row>
    <row r="890" spans="1:41" hidden="1" x14ac:dyDescent="0.2">
      <c r="A890" t="s">
        <v>1704</v>
      </c>
      <c r="B890" t="s">
        <v>1705</v>
      </c>
      <c r="C890" s="2">
        <v>42912</v>
      </c>
      <c r="D890" s="2">
        <v>44742</v>
      </c>
      <c r="E890" s="3">
        <v>968997</v>
      </c>
      <c r="F890" t="s">
        <v>435</v>
      </c>
      <c r="G890" t="s">
        <v>1706</v>
      </c>
      <c r="H890" t="s">
        <v>45</v>
      </c>
      <c r="I890" s="3">
        <v>10014</v>
      </c>
      <c r="J890" s="3">
        <v>1005970050</v>
      </c>
      <c r="K890" s="3">
        <v>1090693</v>
      </c>
      <c r="L890" t="s">
        <v>161</v>
      </c>
      <c r="M890" s="4">
        <v>3</v>
      </c>
      <c r="N890" t="s">
        <v>303</v>
      </c>
      <c r="O890" t="s">
        <v>927</v>
      </c>
      <c r="P890" s="4">
        <v>40.727395000000001</v>
      </c>
      <c r="Q890" s="4">
        <v>-74.008125000000007</v>
      </c>
      <c r="R890" s="4">
        <v>40.727172000000003</v>
      </c>
      <c r="S890" s="4">
        <v>-74.008103000000006</v>
      </c>
      <c r="T890" s="2">
        <v>44742</v>
      </c>
      <c r="U890" t="s">
        <v>117</v>
      </c>
      <c r="V890" t="s">
        <v>71</v>
      </c>
      <c r="W890" t="s">
        <v>51</v>
      </c>
      <c r="Y890" s="4">
        <v>7</v>
      </c>
      <c r="Z890" s="4">
        <v>9</v>
      </c>
      <c r="AB890" s="4">
        <v>1</v>
      </c>
      <c r="AD890" s="4">
        <v>10</v>
      </c>
      <c r="AE890" s="4">
        <v>6</v>
      </c>
      <c r="AF890" s="4">
        <v>1</v>
      </c>
      <c r="AL890" s="4">
        <v>17</v>
      </c>
      <c r="AN890" s="4">
        <v>17</v>
      </c>
      <c r="AO890" s="4">
        <v>67</v>
      </c>
    </row>
    <row r="891" spans="1:41" hidden="1" x14ac:dyDescent="0.2">
      <c r="A891" t="s">
        <v>1707</v>
      </c>
      <c r="B891" t="s">
        <v>140</v>
      </c>
      <c r="C891" s="2">
        <v>42912</v>
      </c>
      <c r="D891" s="2">
        <v>43038</v>
      </c>
      <c r="F891" t="s">
        <v>141</v>
      </c>
      <c r="G891" t="s">
        <v>141</v>
      </c>
      <c r="H891" t="s">
        <v>45</v>
      </c>
      <c r="L891" t="s">
        <v>146</v>
      </c>
      <c r="M891" s="4">
        <v>9</v>
      </c>
      <c r="T891" s="2">
        <v>43038</v>
      </c>
      <c r="U891" t="s">
        <v>49</v>
      </c>
      <c r="V891" t="s">
        <v>71</v>
      </c>
      <c r="W891" t="s">
        <v>51</v>
      </c>
      <c r="AA891" s="4">
        <v>2</v>
      </c>
      <c r="AG891" s="4">
        <v>2</v>
      </c>
      <c r="AM891" s="4">
        <v>2</v>
      </c>
      <c r="AN891" s="4">
        <v>2</v>
      </c>
      <c r="AO891" s="4">
        <v>2</v>
      </c>
    </row>
    <row r="892" spans="1:41" hidden="1" x14ac:dyDescent="0.2">
      <c r="A892" t="s">
        <v>1708</v>
      </c>
      <c r="B892" t="s">
        <v>1709</v>
      </c>
      <c r="C892" s="2">
        <v>42909</v>
      </c>
      <c r="D892" s="2">
        <v>44741</v>
      </c>
      <c r="E892" s="3">
        <v>19629</v>
      </c>
      <c r="F892" t="s">
        <v>441</v>
      </c>
      <c r="G892" t="s">
        <v>1410</v>
      </c>
      <c r="H892" t="s">
        <v>45</v>
      </c>
      <c r="I892" s="3">
        <v>10029</v>
      </c>
      <c r="J892" s="3">
        <v>1016430051</v>
      </c>
      <c r="K892" s="3">
        <v>1052261</v>
      </c>
      <c r="L892" t="s">
        <v>153</v>
      </c>
      <c r="M892" s="4">
        <v>8</v>
      </c>
      <c r="N892" t="s">
        <v>335</v>
      </c>
      <c r="O892" t="s">
        <v>155</v>
      </c>
      <c r="P892" s="4">
        <v>40.798430000000003</v>
      </c>
      <c r="Q892" s="4">
        <v>-73.941186000000002</v>
      </c>
      <c r="R892" s="4">
        <v>40.798287999999999</v>
      </c>
      <c r="S892" s="4">
        <v>-73.941558000000001</v>
      </c>
      <c r="T892" s="2">
        <v>44741</v>
      </c>
      <c r="U892" t="s">
        <v>49</v>
      </c>
      <c r="V892" t="s">
        <v>71</v>
      </c>
      <c r="W892" t="s">
        <v>51</v>
      </c>
      <c r="AA892" s="4">
        <v>9</v>
      </c>
      <c r="AF892" s="4">
        <v>9</v>
      </c>
      <c r="AM892" s="4">
        <v>9</v>
      </c>
      <c r="AN892" s="4">
        <v>9</v>
      </c>
      <c r="AO892" s="4">
        <v>9</v>
      </c>
    </row>
    <row r="893" spans="1:41" hidden="1" x14ac:dyDescent="0.2">
      <c r="A893" t="s">
        <v>1710</v>
      </c>
      <c r="B893" t="s">
        <v>1711</v>
      </c>
      <c r="C893" s="2">
        <v>42908</v>
      </c>
      <c r="D893" s="2">
        <v>42908</v>
      </c>
      <c r="E893" s="3">
        <v>19899</v>
      </c>
      <c r="F893" t="s">
        <v>1712</v>
      </c>
      <c r="G893" t="s">
        <v>289</v>
      </c>
      <c r="H893" t="s">
        <v>45</v>
      </c>
      <c r="I893" s="3">
        <v>10035</v>
      </c>
      <c r="J893" s="3">
        <v>1017100036</v>
      </c>
      <c r="K893" s="3">
        <v>1079400</v>
      </c>
      <c r="L893" t="s">
        <v>153</v>
      </c>
      <c r="M893" s="4">
        <v>8</v>
      </c>
      <c r="N893" t="s">
        <v>364</v>
      </c>
      <c r="O893" t="s">
        <v>155</v>
      </c>
      <c r="P893" s="4">
        <v>40.796343</v>
      </c>
      <c r="Q893" s="4">
        <v>-73.934129999999996</v>
      </c>
      <c r="R893" s="4">
        <v>40.795977999999998</v>
      </c>
      <c r="S893" s="4">
        <v>-73.933837999999994</v>
      </c>
      <c r="T893" s="2">
        <v>42908</v>
      </c>
      <c r="U893" t="s">
        <v>49</v>
      </c>
      <c r="V893" t="s">
        <v>50</v>
      </c>
      <c r="W893" t="s">
        <v>51</v>
      </c>
      <c r="Y893" s="4">
        <v>10</v>
      </c>
      <c r="Z893" s="4">
        <v>24</v>
      </c>
      <c r="AC893" s="4">
        <v>1</v>
      </c>
      <c r="AE893" s="4">
        <v>18</v>
      </c>
      <c r="AG893" s="4">
        <v>17</v>
      </c>
      <c r="AL893" s="4">
        <v>35</v>
      </c>
      <c r="AN893" s="4">
        <v>35</v>
      </c>
      <c r="AO893" s="4">
        <v>35</v>
      </c>
    </row>
    <row r="894" spans="1:41" hidden="1" x14ac:dyDescent="0.2">
      <c r="A894" t="s">
        <v>1710</v>
      </c>
      <c r="B894" t="s">
        <v>1711</v>
      </c>
      <c r="C894" s="2">
        <v>42908</v>
      </c>
      <c r="D894" s="2">
        <v>42908</v>
      </c>
      <c r="E894" s="3">
        <v>19905</v>
      </c>
      <c r="F894" t="s">
        <v>1713</v>
      </c>
      <c r="G894" t="s">
        <v>289</v>
      </c>
      <c r="H894" t="s">
        <v>45</v>
      </c>
      <c r="I894" s="3">
        <v>10035</v>
      </c>
      <c r="J894" s="3">
        <v>1017100031</v>
      </c>
      <c r="K894" s="3">
        <v>1053089</v>
      </c>
      <c r="L894" t="s">
        <v>153</v>
      </c>
      <c r="M894" s="4">
        <v>8</v>
      </c>
      <c r="N894" t="s">
        <v>364</v>
      </c>
      <c r="O894" t="s">
        <v>155</v>
      </c>
      <c r="P894" s="4">
        <v>40.796219999999998</v>
      </c>
      <c r="Q894" s="4">
        <v>-73.933841999999999</v>
      </c>
      <c r="R894" s="4">
        <v>40.795799000000002</v>
      </c>
      <c r="S894" s="4">
        <v>-73.933412000000004</v>
      </c>
      <c r="T894" s="2">
        <v>42908</v>
      </c>
      <c r="U894" t="s">
        <v>49</v>
      </c>
      <c r="V894" t="s">
        <v>50</v>
      </c>
      <c r="W894" t="s">
        <v>51</v>
      </c>
      <c r="Y894" s="4">
        <v>7</v>
      </c>
      <c r="Z894" s="4">
        <v>9</v>
      </c>
      <c r="AE894" s="4">
        <v>5</v>
      </c>
      <c r="AF894" s="4">
        <v>6</v>
      </c>
      <c r="AG894" s="4">
        <v>3</v>
      </c>
      <c r="AI894" s="4">
        <v>2</v>
      </c>
      <c r="AL894" s="4">
        <v>16</v>
      </c>
      <c r="AN894" s="4">
        <v>16</v>
      </c>
      <c r="AO894" s="4">
        <v>16</v>
      </c>
    </row>
    <row r="895" spans="1:41" hidden="1" x14ac:dyDescent="0.2">
      <c r="A895" t="s">
        <v>1710</v>
      </c>
      <c r="B895" t="s">
        <v>1711</v>
      </c>
      <c r="C895" s="2">
        <v>42908</v>
      </c>
      <c r="D895" s="2">
        <v>42908</v>
      </c>
      <c r="E895" s="3">
        <v>20142</v>
      </c>
      <c r="F895" t="s">
        <v>309</v>
      </c>
      <c r="G895" t="s">
        <v>1296</v>
      </c>
      <c r="H895" t="s">
        <v>45</v>
      </c>
      <c r="I895" s="3">
        <v>10035</v>
      </c>
      <c r="J895" s="3">
        <v>1017830034</v>
      </c>
      <c r="K895" s="3">
        <v>1054537</v>
      </c>
      <c r="L895" t="s">
        <v>153</v>
      </c>
      <c r="M895" s="4">
        <v>8</v>
      </c>
      <c r="N895" t="s">
        <v>290</v>
      </c>
      <c r="O895" t="s">
        <v>155</v>
      </c>
      <c r="P895" s="4">
        <v>40.799559000000002</v>
      </c>
      <c r="Q895" s="4">
        <v>-73.937832999999998</v>
      </c>
      <c r="R895" s="4">
        <v>40.799185999999999</v>
      </c>
      <c r="S895" s="4">
        <v>-73.937544000000003</v>
      </c>
      <c r="T895" s="2">
        <v>42908</v>
      </c>
      <c r="U895" t="s">
        <v>49</v>
      </c>
      <c r="V895" t="s">
        <v>50</v>
      </c>
      <c r="W895" t="s">
        <v>51</v>
      </c>
      <c r="Y895" s="4">
        <v>6</v>
      </c>
      <c r="Z895" s="4">
        <v>24</v>
      </c>
      <c r="AE895" s="4">
        <v>1</v>
      </c>
      <c r="AF895" s="4">
        <v>12</v>
      </c>
      <c r="AG895" s="4">
        <v>11</v>
      </c>
      <c r="AH895" s="4">
        <v>6</v>
      </c>
      <c r="AL895" s="4">
        <v>30</v>
      </c>
      <c r="AN895" s="4">
        <v>30</v>
      </c>
      <c r="AO895" s="4">
        <v>30</v>
      </c>
    </row>
    <row r="896" spans="1:41" hidden="1" x14ac:dyDescent="0.2">
      <c r="A896" t="s">
        <v>1710</v>
      </c>
      <c r="B896" t="s">
        <v>1711</v>
      </c>
      <c r="C896" s="2">
        <v>42908</v>
      </c>
      <c r="D896" s="2">
        <v>42908</v>
      </c>
      <c r="E896" s="3">
        <v>20143</v>
      </c>
      <c r="F896" t="s">
        <v>544</v>
      </c>
      <c r="G896" t="s">
        <v>1296</v>
      </c>
      <c r="H896" t="s">
        <v>45</v>
      </c>
      <c r="I896" s="3">
        <v>10035</v>
      </c>
      <c r="J896" s="3">
        <v>1017830031</v>
      </c>
      <c r="K896" s="3">
        <v>1054536</v>
      </c>
      <c r="L896" t="s">
        <v>153</v>
      </c>
      <c r="M896" s="4">
        <v>8</v>
      </c>
      <c r="N896" t="s">
        <v>290</v>
      </c>
      <c r="O896" t="s">
        <v>155</v>
      </c>
      <c r="P896" s="4">
        <v>40.799503999999999</v>
      </c>
      <c r="Q896" s="4">
        <v>-73.937707000000003</v>
      </c>
      <c r="R896" s="4">
        <v>40.799078999999999</v>
      </c>
      <c r="S896" s="4">
        <v>-73.937291999999999</v>
      </c>
      <c r="T896" s="2">
        <v>42908</v>
      </c>
      <c r="U896" t="s">
        <v>49</v>
      </c>
      <c r="V896" t="s">
        <v>50</v>
      </c>
      <c r="W896" t="s">
        <v>51</v>
      </c>
      <c r="Y896" s="4">
        <v>5</v>
      </c>
      <c r="Z896" s="4">
        <v>24</v>
      </c>
      <c r="AA896" s="4">
        <v>1</v>
      </c>
      <c r="AE896" s="4">
        <v>1</v>
      </c>
      <c r="AF896" s="4">
        <v>12</v>
      </c>
      <c r="AG896" s="4">
        <v>11</v>
      </c>
      <c r="AH896" s="4">
        <v>6</v>
      </c>
      <c r="AL896" s="4">
        <v>30</v>
      </c>
      <c r="AN896" s="4">
        <v>30</v>
      </c>
      <c r="AO896" s="4">
        <v>30</v>
      </c>
    </row>
    <row r="897" spans="1:41" hidden="1" x14ac:dyDescent="0.2">
      <c r="A897" t="s">
        <v>1714</v>
      </c>
      <c r="B897" t="s">
        <v>1715</v>
      </c>
      <c r="C897" s="2">
        <v>42907</v>
      </c>
      <c r="D897" s="2">
        <v>42907</v>
      </c>
      <c r="E897" s="3">
        <v>28236</v>
      </c>
      <c r="F897" t="s">
        <v>1716</v>
      </c>
      <c r="G897" t="s">
        <v>345</v>
      </c>
      <c r="H897" t="s">
        <v>45</v>
      </c>
      <c r="I897" s="3">
        <v>10031</v>
      </c>
      <c r="J897" s="3">
        <v>1020640036</v>
      </c>
      <c r="K897" s="3">
        <v>1061550</v>
      </c>
      <c r="L897" t="s">
        <v>169</v>
      </c>
      <c r="M897" s="4">
        <v>9</v>
      </c>
      <c r="N897" t="s">
        <v>320</v>
      </c>
      <c r="O897" t="s">
        <v>232</v>
      </c>
      <c r="P897" s="4">
        <v>40.827133000000003</v>
      </c>
      <c r="Q897" s="4">
        <v>-73.942876999999996</v>
      </c>
      <c r="R897" s="4">
        <v>40.827272999999998</v>
      </c>
      <c r="S897" s="4">
        <v>-73.943175999999994</v>
      </c>
      <c r="T897" s="2">
        <v>42907</v>
      </c>
      <c r="U897" t="s">
        <v>49</v>
      </c>
      <c r="V897" t="s">
        <v>50</v>
      </c>
      <c r="W897" t="s">
        <v>51</v>
      </c>
      <c r="Y897" s="4">
        <v>6</v>
      </c>
      <c r="Z897" s="4">
        <v>47</v>
      </c>
      <c r="AA897" s="4">
        <v>3</v>
      </c>
      <c r="AC897" s="4">
        <v>1</v>
      </c>
      <c r="AD897" s="4">
        <v>24</v>
      </c>
      <c r="AE897" s="4">
        <v>33</v>
      </c>
      <c r="AL897" s="4">
        <v>57</v>
      </c>
      <c r="AN897" s="4">
        <v>57</v>
      </c>
      <c r="AO897" s="4">
        <v>57</v>
      </c>
    </row>
    <row r="898" spans="1:41" hidden="1" x14ac:dyDescent="0.2">
      <c r="A898" t="s">
        <v>1717</v>
      </c>
      <c r="B898" t="s">
        <v>1718</v>
      </c>
      <c r="C898" s="2">
        <v>42906</v>
      </c>
      <c r="D898" s="2">
        <v>44083</v>
      </c>
      <c r="E898" s="3">
        <v>6626</v>
      </c>
      <c r="F898" t="s">
        <v>642</v>
      </c>
      <c r="G898" t="s">
        <v>1698</v>
      </c>
      <c r="H898" t="s">
        <v>45</v>
      </c>
      <c r="I898" s="3">
        <v>10009</v>
      </c>
      <c r="J898" s="3">
        <v>1003790034</v>
      </c>
      <c r="K898" s="3">
        <v>1004554</v>
      </c>
      <c r="L898" t="s">
        <v>64</v>
      </c>
      <c r="M898" s="4">
        <v>2</v>
      </c>
      <c r="N898" t="s">
        <v>607</v>
      </c>
      <c r="O898" t="s">
        <v>197</v>
      </c>
      <c r="P898" s="4">
        <v>40.724606000000001</v>
      </c>
      <c r="Q898" s="4">
        <v>-73.975373000000005</v>
      </c>
      <c r="R898" s="4">
        <v>40.724702000000001</v>
      </c>
      <c r="S898" s="4">
        <v>-73.975628999999998</v>
      </c>
      <c r="T898" s="2">
        <v>44083</v>
      </c>
      <c r="U898" t="s">
        <v>49</v>
      </c>
      <c r="V898" t="s">
        <v>71</v>
      </c>
      <c r="W898" t="s">
        <v>51</v>
      </c>
      <c r="Z898" s="4">
        <v>45</v>
      </c>
      <c r="AD898" s="4">
        <v>45</v>
      </c>
      <c r="AL898" s="4">
        <v>45</v>
      </c>
      <c r="AN898" s="4">
        <v>45</v>
      </c>
      <c r="AO898" s="4">
        <v>45</v>
      </c>
    </row>
    <row r="899" spans="1:41" hidden="1" x14ac:dyDescent="0.2">
      <c r="A899" t="s">
        <v>1719</v>
      </c>
      <c r="B899" t="s">
        <v>1720</v>
      </c>
      <c r="C899" s="2">
        <v>42895</v>
      </c>
      <c r="D899" s="2">
        <v>44833</v>
      </c>
      <c r="E899" s="3">
        <v>973747</v>
      </c>
      <c r="F899" t="s">
        <v>872</v>
      </c>
      <c r="G899" t="s">
        <v>862</v>
      </c>
      <c r="H899" t="s">
        <v>45</v>
      </c>
      <c r="I899" s="3">
        <v>10036</v>
      </c>
      <c r="J899" s="3">
        <v>1010727501</v>
      </c>
      <c r="K899" s="3">
        <v>1090720</v>
      </c>
      <c r="L899" t="s">
        <v>78</v>
      </c>
      <c r="M899" s="4">
        <v>3</v>
      </c>
      <c r="N899" t="s">
        <v>202</v>
      </c>
      <c r="O899" t="s">
        <v>80</v>
      </c>
      <c r="P899" s="4">
        <v>40.760634000000003</v>
      </c>
      <c r="Q899" s="4">
        <v>-73.995748000000006</v>
      </c>
      <c r="R899" s="4">
        <v>40.760914</v>
      </c>
      <c r="S899" s="4">
        <v>-73.995469999999997</v>
      </c>
      <c r="T899" s="2">
        <v>44833</v>
      </c>
      <c r="U899" t="s">
        <v>117</v>
      </c>
      <c r="V899" t="s">
        <v>71</v>
      </c>
      <c r="W899" t="s">
        <v>51</v>
      </c>
      <c r="Z899" s="4">
        <v>9</v>
      </c>
      <c r="AE899" s="4">
        <v>4</v>
      </c>
      <c r="AF899" s="4">
        <v>5</v>
      </c>
      <c r="AM899" s="4">
        <v>9</v>
      </c>
      <c r="AN899" s="4">
        <v>9</v>
      </c>
      <c r="AO899" s="4">
        <v>123</v>
      </c>
    </row>
    <row r="900" spans="1:41" hidden="1" x14ac:dyDescent="0.2">
      <c r="A900" t="s">
        <v>1721</v>
      </c>
      <c r="B900" t="s">
        <v>1722</v>
      </c>
      <c r="C900" s="2">
        <v>42878</v>
      </c>
      <c r="D900" s="2">
        <v>44070</v>
      </c>
      <c r="E900" s="3">
        <v>948086</v>
      </c>
      <c r="F900" t="s">
        <v>122</v>
      </c>
      <c r="G900" t="s">
        <v>1723</v>
      </c>
      <c r="H900" t="s">
        <v>45</v>
      </c>
      <c r="I900" s="3">
        <v>10021</v>
      </c>
      <c r="J900" s="3">
        <v>1014867501</v>
      </c>
      <c r="K900" s="3">
        <v>1046294</v>
      </c>
      <c r="L900" t="s">
        <v>107</v>
      </c>
      <c r="M900" s="4">
        <v>5</v>
      </c>
      <c r="N900" t="s">
        <v>1724</v>
      </c>
      <c r="O900" t="s">
        <v>341</v>
      </c>
      <c r="P900" s="4">
        <v>40.768529000000001</v>
      </c>
      <c r="Q900" s="4">
        <v>-73.952511999999999</v>
      </c>
      <c r="R900" s="4">
        <v>40.768334000000003</v>
      </c>
      <c r="S900" s="4">
        <v>-73.952263000000002</v>
      </c>
      <c r="T900" s="2">
        <v>44070</v>
      </c>
      <c r="U900" t="s">
        <v>117</v>
      </c>
      <c r="V900" t="s">
        <v>71</v>
      </c>
      <c r="W900" t="s">
        <v>51</v>
      </c>
      <c r="Z900" s="4">
        <v>10</v>
      </c>
      <c r="AD900" s="4">
        <v>10</v>
      </c>
      <c r="AM900" s="4">
        <v>10</v>
      </c>
      <c r="AN900" s="4">
        <v>10</v>
      </c>
      <c r="AO900" s="4">
        <v>11</v>
      </c>
    </row>
    <row r="901" spans="1:41" hidden="1" x14ac:dyDescent="0.2">
      <c r="A901" t="s">
        <v>1725</v>
      </c>
      <c r="B901" t="s">
        <v>1726</v>
      </c>
      <c r="C901" s="2">
        <v>42852</v>
      </c>
      <c r="D901" s="2">
        <v>42852</v>
      </c>
      <c r="E901" s="3">
        <v>4360</v>
      </c>
      <c r="F901" t="s">
        <v>1122</v>
      </c>
      <c r="G901" t="s">
        <v>181</v>
      </c>
      <c r="H901" t="s">
        <v>45</v>
      </c>
      <c r="I901" s="3">
        <v>10001</v>
      </c>
      <c r="J901" s="3">
        <v>1007490024</v>
      </c>
      <c r="K901" s="3">
        <v>1083599</v>
      </c>
      <c r="L901" t="s">
        <v>78</v>
      </c>
      <c r="M901" s="4">
        <v>3</v>
      </c>
      <c r="N901" t="s">
        <v>1065</v>
      </c>
      <c r="O901" t="s">
        <v>183</v>
      </c>
      <c r="P901" s="4">
        <v>40.746983999999998</v>
      </c>
      <c r="Q901" s="4">
        <v>-73.997271999999995</v>
      </c>
      <c r="R901" s="4">
        <v>40.747149</v>
      </c>
      <c r="S901" s="4">
        <v>-73.997968</v>
      </c>
      <c r="T901" s="2">
        <v>42852</v>
      </c>
      <c r="U901" t="s">
        <v>49</v>
      </c>
      <c r="V901" t="s">
        <v>50</v>
      </c>
      <c r="W901" t="s">
        <v>51</v>
      </c>
      <c r="X901" s="4">
        <v>29</v>
      </c>
      <c r="Y901" s="4">
        <v>36</v>
      </c>
      <c r="Z901" s="4">
        <v>27</v>
      </c>
      <c r="AA901" s="4">
        <v>29</v>
      </c>
      <c r="AB901" s="4">
        <v>30</v>
      </c>
      <c r="AD901" s="4">
        <v>18</v>
      </c>
      <c r="AE901" s="4">
        <v>100</v>
      </c>
      <c r="AF901" s="4">
        <v>33</v>
      </c>
      <c r="AM901" s="4">
        <v>151</v>
      </c>
      <c r="AN901" s="4">
        <v>151</v>
      </c>
      <c r="AO901" s="4">
        <v>186</v>
      </c>
    </row>
    <row r="902" spans="1:41" hidden="1" x14ac:dyDescent="0.2">
      <c r="A902" t="s">
        <v>1725</v>
      </c>
      <c r="B902" t="s">
        <v>1726</v>
      </c>
      <c r="C902" s="2">
        <v>42852</v>
      </c>
      <c r="D902" s="2">
        <v>42852</v>
      </c>
      <c r="E902" s="3">
        <v>4371</v>
      </c>
      <c r="F902" t="s">
        <v>1093</v>
      </c>
      <c r="G902" t="s">
        <v>181</v>
      </c>
      <c r="H902" t="s">
        <v>45</v>
      </c>
      <c r="I902" s="3">
        <v>10001</v>
      </c>
      <c r="J902" s="3">
        <v>1007520001</v>
      </c>
      <c r="K902" s="3">
        <v>1083604</v>
      </c>
      <c r="L902" t="s">
        <v>78</v>
      </c>
      <c r="M902" s="4">
        <v>3</v>
      </c>
      <c r="N902" t="s">
        <v>182</v>
      </c>
      <c r="O902" t="s">
        <v>183</v>
      </c>
      <c r="P902" s="4">
        <v>40.748534999999997</v>
      </c>
      <c r="Q902" s="4">
        <v>-73.996138000000002</v>
      </c>
      <c r="R902" s="4">
        <v>40.749797999999998</v>
      </c>
      <c r="S902" s="4">
        <v>-73.998711999999998</v>
      </c>
      <c r="T902" s="2">
        <v>42852</v>
      </c>
      <c r="U902" t="s">
        <v>49</v>
      </c>
      <c r="V902" t="s">
        <v>50</v>
      </c>
      <c r="W902" t="s">
        <v>51</v>
      </c>
      <c r="X902" s="4">
        <v>27</v>
      </c>
      <c r="Y902" s="4">
        <v>24</v>
      </c>
      <c r="Z902" s="4">
        <v>19</v>
      </c>
      <c r="AA902" s="4">
        <v>41</v>
      </c>
      <c r="AB902" s="4">
        <v>28</v>
      </c>
      <c r="AD902" s="4">
        <v>16</v>
      </c>
      <c r="AE902" s="4">
        <v>73</v>
      </c>
      <c r="AF902" s="4">
        <v>50</v>
      </c>
      <c r="AM902" s="4">
        <v>139</v>
      </c>
      <c r="AN902" s="4">
        <v>139</v>
      </c>
      <c r="AO902" s="4">
        <v>186</v>
      </c>
    </row>
    <row r="903" spans="1:41" hidden="1" x14ac:dyDescent="0.2">
      <c r="A903" t="s">
        <v>1725</v>
      </c>
      <c r="B903" t="s">
        <v>1726</v>
      </c>
      <c r="C903" s="2">
        <v>42852</v>
      </c>
      <c r="D903" s="2">
        <v>42852</v>
      </c>
      <c r="E903" s="3">
        <v>4623</v>
      </c>
      <c r="F903" t="s">
        <v>1727</v>
      </c>
      <c r="G903" t="s">
        <v>670</v>
      </c>
      <c r="H903" t="s">
        <v>45</v>
      </c>
      <c r="I903" s="3">
        <v>10011</v>
      </c>
      <c r="J903" s="3">
        <v>1007470001</v>
      </c>
      <c r="K903" s="3">
        <v>1078541</v>
      </c>
      <c r="L903" t="s">
        <v>78</v>
      </c>
      <c r="M903" s="4">
        <v>3</v>
      </c>
      <c r="N903" t="s">
        <v>1065</v>
      </c>
      <c r="O903" t="s">
        <v>183</v>
      </c>
      <c r="P903" s="4">
        <v>40.746825000000001</v>
      </c>
      <c r="Q903" s="4">
        <v>-74.000448000000006</v>
      </c>
      <c r="R903" s="4">
        <v>40.746195999999998</v>
      </c>
      <c r="S903" s="4">
        <v>-73.99982</v>
      </c>
      <c r="T903" s="2">
        <v>42852</v>
      </c>
      <c r="U903" t="s">
        <v>49</v>
      </c>
      <c r="V903" t="s">
        <v>50</v>
      </c>
      <c r="W903" t="s">
        <v>51</v>
      </c>
      <c r="X903" s="4">
        <v>21</v>
      </c>
      <c r="Y903" s="4">
        <v>23</v>
      </c>
      <c r="Z903" s="4">
        <v>31</v>
      </c>
      <c r="AA903" s="4">
        <v>40</v>
      </c>
      <c r="AB903" s="4">
        <v>30</v>
      </c>
      <c r="AD903" s="4">
        <v>18</v>
      </c>
      <c r="AE903" s="4">
        <v>78</v>
      </c>
      <c r="AF903" s="4">
        <v>49</v>
      </c>
      <c r="AM903" s="4">
        <v>145</v>
      </c>
      <c r="AN903" s="4">
        <v>145</v>
      </c>
      <c r="AO903" s="4">
        <v>186</v>
      </c>
    </row>
    <row r="904" spans="1:41" hidden="1" x14ac:dyDescent="0.2">
      <c r="A904" t="s">
        <v>1725</v>
      </c>
      <c r="B904" t="s">
        <v>1726</v>
      </c>
      <c r="C904" s="2">
        <v>42852</v>
      </c>
      <c r="D904" s="2">
        <v>42852</v>
      </c>
      <c r="E904" s="3">
        <v>4633</v>
      </c>
      <c r="F904" t="s">
        <v>1728</v>
      </c>
      <c r="G904" t="s">
        <v>1729</v>
      </c>
      <c r="H904" t="s">
        <v>45</v>
      </c>
      <c r="I904" s="3">
        <v>10001</v>
      </c>
      <c r="J904" s="3">
        <v>1007490001</v>
      </c>
      <c r="K904" s="3">
        <v>1013458</v>
      </c>
      <c r="L904" t="s">
        <v>78</v>
      </c>
      <c r="M904" s="4">
        <v>3</v>
      </c>
      <c r="N904" t="s">
        <v>1065</v>
      </c>
      <c r="O904" t="s">
        <v>183</v>
      </c>
      <c r="P904" s="4">
        <v>40.747425999999997</v>
      </c>
      <c r="Q904" s="4">
        <v>-73.999551999999994</v>
      </c>
      <c r="R904" s="4">
        <v>40.74783</v>
      </c>
      <c r="S904" s="4">
        <v>-73.999632000000005</v>
      </c>
      <c r="T904" s="2">
        <v>42852</v>
      </c>
      <c r="U904" t="s">
        <v>49</v>
      </c>
      <c r="V904" t="s">
        <v>50</v>
      </c>
      <c r="W904" t="s">
        <v>51</v>
      </c>
      <c r="X904" s="4">
        <v>25</v>
      </c>
      <c r="Y904" s="4">
        <v>20</v>
      </c>
      <c r="Z904" s="4">
        <v>18</v>
      </c>
      <c r="AA904" s="4">
        <v>37</v>
      </c>
      <c r="AB904" s="4">
        <v>36</v>
      </c>
      <c r="AD904" s="4">
        <v>15</v>
      </c>
      <c r="AE904" s="4">
        <v>75</v>
      </c>
      <c r="AF904" s="4">
        <v>46</v>
      </c>
      <c r="AM904" s="4">
        <v>136</v>
      </c>
      <c r="AN904" s="4">
        <v>136</v>
      </c>
      <c r="AO904" s="4">
        <v>186</v>
      </c>
    </row>
    <row r="905" spans="1:41" hidden="1" x14ac:dyDescent="0.2">
      <c r="A905" t="s">
        <v>1725</v>
      </c>
      <c r="B905" t="s">
        <v>1726</v>
      </c>
      <c r="C905" s="2">
        <v>42852</v>
      </c>
      <c r="D905" s="2">
        <v>42852</v>
      </c>
      <c r="E905" s="3">
        <v>4636</v>
      </c>
      <c r="F905" t="s">
        <v>916</v>
      </c>
      <c r="G905" t="s">
        <v>740</v>
      </c>
      <c r="H905" t="s">
        <v>45</v>
      </c>
      <c r="I905" s="3">
        <v>10001</v>
      </c>
      <c r="J905" s="3">
        <v>1007510001</v>
      </c>
      <c r="K905" s="3">
        <v>1000000</v>
      </c>
      <c r="L905" t="s">
        <v>78</v>
      </c>
      <c r="M905" s="4">
        <v>3</v>
      </c>
      <c r="N905" t="s">
        <v>182</v>
      </c>
      <c r="O905" t="s">
        <v>183</v>
      </c>
      <c r="P905" s="4">
        <v>40.748497</v>
      </c>
      <c r="Q905" s="4">
        <v>-73.999855999999994</v>
      </c>
      <c r="R905" s="4">
        <v>40.748550999999999</v>
      </c>
      <c r="S905" s="4">
        <v>-73.998029000000002</v>
      </c>
      <c r="T905" s="2">
        <v>42852</v>
      </c>
      <c r="U905" t="s">
        <v>49</v>
      </c>
      <c r="V905" t="s">
        <v>50</v>
      </c>
      <c r="W905" t="s">
        <v>51</v>
      </c>
      <c r="X905" s="4">
        <v>58</v>
      </c>
      <c r="Y905" s="4">
        <v>49</v>
      </c>
      <c r="Z905" s="4">
        <v>60</v>
      </c>
      <c r="AA905" s="4">
        <v>69</v>
      </c>
      <c r="AB905" s="4">
        <v>58</v>
      </c>
      <c r="AD905" s="4">
        <v>45</v>
      </c>
      <c r="AE905" s="4">
        <v>131</v>
      </c>
      <c r="AF905" s="4">
        <v>83</v>
      </c>
      <c r="AG905" s="4">
        <v>35</v>
      </c>
      <c r="AM905" s="4">
        <v>294</v>
      </c>
      <c r="AN905" s="4">
        <v>294</v>
      </c>
      <c r="AO905" s="4">
        <v>378</v>
      </c>
    </row>
    <row r="906" spans="1:41" hidden="1" x14ac:dyDescent="0.2">
      <c r="A906" t="s">
        <v>1725</v>
      </c>
      <c r="B906" t="s">
        <v>1726</v>
      </c>
      <c r="C906" s="2">
        <v>42852</v>
      </c>
      <c r="D906" s="2">
        <v>42852</v>
      </c>
      <c r="E906" s="3">
        <v>31596</v>
      </c>
      <c r="F906" t="s">
        <v>1121</v>
      </c>
      <c r="G906" t="s">
        <v>670</v>
      </c>
      <c r="H906" t="s">
        <v>45</v>
      </c>
      <c r="I906" s="3">
        <v>10011</v>
      </c>
      <c r="J906" s="3">
        <v>1007480001</v>
      </c>
      <c r="K906" s="3">
        <v>1083596</v>
      </c>
      <c r="L906" t="s">
        <v>78</v>
      </c>
      <c r="M906" s="4">
        <v>3</v>
      </c>
      <c r="N906" t="s">
        <v>1065</v>
      </c>
      <c r="O906" t="s">
        <v>183</v>
      </c>
      <c r="P906" s="4">
        <v>40.746043</v>
      </c>
      <c r="Q906" s="4">
        <v>-73.998333000000002</v>
      </c>
      <c r="R906" s="4">
        <v>40.746729000000002</v>
      </c>
      <c r="S906" s="4">
        <v>-73.999228000000002</v>
      </c>
      <c r="T906" s="2">
        <v>42852</v>
      </c>
      <c r="U906" t="s">
        <v>49</v>
      </c>
      <c r="V906" t="s">
        <v>50</v>
      </c>
      <c r="W906" t="s">
        <v>51</v>
      </c>
      <c r="X906" s="4">
        <v>45</v>
      </c>
      <c r="Y906" s="4">
        <v>48</v>
      </c>
      <c r="Z906" s="4">
        <v>60</v>
      </c>
      <c r="AA906" s="4">
        <v>71</v>
      </c>
      <c r="AB906" s="4">
        <v>65</v>
      </c>
      <c r="AD906" s="4">
        <v>47</v>
      </c>
      <c r="AE906" s="4">
        <v>124</v>
      </c>
      <c r="AF906" s="4">
        <v>84</v>
      </c>
      <c r="AG906" s="4">
        <v>34</v>
      </c>
      <c r="AM906" s="4">
        <v>289</v>
      </c>
      <c r="AN906" s="4">
        <v>289</v>
      </c>
      <c r="AO906" s="4">
        <v>378</v>
      </c>
    </row>
    <row r="907" spans="1:41" hidden="1" x14ac:dyDescent="0.2">
      <c r="A907" t="s">
        <v>1725</v>
      </c>
      <c r="B907" t="s">
        <v>1726</v>
      </c>
      <c r="C907" s="2">
        <v>42852</v>
      </c>
      <c r="D907" s="2">
        <v>42852</v>
      </c>
      <c r="E907" s="3">
        <v>803934</v>
      </c>
      <c r="F907" t="s">
        <v>1041</v>
      </c>
      <c r="G907" t="s">
        <v>181</v>
      </c>
      <c r="H907" t="s">
        <v>45</v>
      </c>
      <c r="I907" s="3">
        <v>10001</v>
      </c>
      <c r="J907" s="3">
        <v>1007510001</v>
      </c>
      <c r="K907" s="3">
        <v>1082793</v>
      </c>
      <c r="L907" t="s">
        <v>78</v>
      </c>
      <c r="M907" s="4">
        <v>3</v>
      </c>
      <c r="N907" t="s">
        <v>182</v>
      </c>
      <c r="O907" t="s">
        <v>183</v>
      </c>
      <c r="P907" s="4">
        <v>40.747920000000001</v>
      </c>
      <c r="Q907" s="4">
        <v>-73.996589</v>
      </c>
      <c r="R907" s="4">
        <v>40.748550999999999</v>
      </c>
      <c r="S907" s="4">
        <v>-73.998029000000002</v>
      </c>
      <c r="T907" s="2">
        <v>42852</v>
      </c>
      <c r="U907" t="s">
        <v>49</v>
      </c>
      <c r="V907" t="s">
        <v>50</v>
      </c>
      <c r="W907" t="s">
        <v>51</v>
      </c>
      <c r="X907" s="4">
        <v>70</v>
      </c>
      <c r="Y907" s="4">
        <v>49</v>
      </c>
      <c r="Z907" s="4">
        <v>44</v>
      </c>
      <c r="AA907" s="4">
        <v>68</v>
      </c>
      <c r="AB907" s="4">
        <v>52</v>
      </c>
      <c r="AD907" s="4">
        <v>37</v>
      </c>
      <c r="AE907" s="4">
        <v>129</v>
      </c>
      <c r="AF907" s="4">
        <v>86</v>
      </c>
      <c r="AG907" s="4">
        <v>31</v>
      </c>
      <c r="AM907" s="4">
        <v>283</v>
      </c>
      <c r="AN907" s="4">
        <v>283</v>
      </c>
      <c r="AO907" s="4">
        <v>378</v>
      </c>
    </row>
    <row r="908" spans="1:41" hidden="1" x14ac:dyDescent="0.2">
      <c r="A908" t="s">
        <v>1725</v>
      </c>
      <c r="B908" t="s">
        <v>1726</v>
      </c>
      <c r="C908" s="2">
        <v>42852</v>
      </c>
      <c r="D908" s="2">
        <v>42852</v>
      </c>
      <c r="E908" s="3">
        <v>805574</v>
      </c>
      <c r="F908" t="s">
        <v>846</v>
      </c>
      <c r="G908" t="s">
        <v>670</v>
      </c>
      <c r="H908" t="s">
        <v>45</v>
      </c>
      <c r="I908" s="3">
        <v>10011</v>
      </c>
      <c r="J908" s="3">
        <v>1007480001</v>
      </c>
      <c r="K908" s="3">
        <v>1083598</v>
      </c>
      <c r="L908" t="s">
        <v>78</v>
      </c>
      <c r="M908" s="4">
        <v>3</v>
      </c>
      <c r="N908" t="s">
        <v>1065</v>
      </c>
      <c r="O908" t="s">
        <v>183</v>
      </c>
      <c r="P908" s="4">
        <v>40.746324999999999</v>
      </c>
      <c r="Q908" s="4">
        <v>-73.999802000000003</v>
      </c>
      <c r="R908" s="4">
        <v>40.746729000000002</v>
      </c>
      <c r="S908" s="4">
        <v>-73.999228000000002</v>
      </c>
      <c r="T908" s="2">
        <v>42852</v>
      </c>
      <c r="U908" t="s">
        <v>49</v>
      </c>
      <c r="V908" t="s">
        <v>50</v>
      </c>
      <c r="W908" t="s">
        <v>51</v>
      </c>
      <c r="X908" s="4">
        <v>65</v>
      </c>
      <c r="Y908" s="4">
        <v>50</v>
      </c>
      <c r="Z908" s="4">
        <v>41</v>
      </c>
      <c r="AA908" s="4">
        <v>76</v>
      </c>
      <c r="AB908" s="4">
        <v>63</v>
      </c>
      <c r="AD908" s="4">
        <v>46</v>
      </c>
      <c r="AE908" s="4">
        <v>127</v>
      </c>
      <c r="AF908" s="4">
        <v>87</v>
      </c>
      <c r="AG908" s="4">
        <v>35</v>
      </c>
      <c r="AM908" s="4">
        <v>295</v>
      </c>
      <c r="AN908" s="4">
        <v>295</v>
      </c>
      <c r="AO908" s="4">
        <v>378</v>
      </c>
    </row>
    <row r="909" spans="1:41" hidden="1" x14ac:dyDescent="0.2">
      <c r="A909" t="s">
        <v>1725</v>
      </c>
      <c r="B909" t="s">
        <v>1726</v>
      </c>
      <c r="C909" s="2">
        <v>42852</v>
      </c>
      <c r="D909" s="2">
        <v>42852</v>
      </c>
      <c r="E909" s="3">
        <v>805584</v>
      </c>
      <c r="F909" t="s">
        <v>1081</v>
      </c>
      <c r="G909" t="s">
        <v>1126</v>
      </c>
      <c r="H909" t="s">
        <v>45</v>
      </c>
      <c r="I909" s="3">
        <v>10001</v>
      </c>
      <c r="J909" s="3">
        <v>1007510001</v>
      </c>
      <c r="K909" s="3">
        <v>1082796</v>
      </c>
      <c r="L909" t="s">
        <v>78</v>
      </c>
      <c r="M909" s="4">
        <v>3</v>
      </c>
      <c r="N909" t="s">
        <v>182</v>
      </c>
      <c r="O909" t="s">
        <v>183</v>
      </c>
      <c r="P909" s="4">
        <v>40.749130999999998</v>
      </c>
      <c r="Q909" s="4">
        <v>-73.997018999999995</v>
      </c>
      <c r="R909" s="4">
        <v>40.748550999999999</v>
      </c>
      <c r="S909" s="4">
        <v>-73.998029000000002</v>
      </c>
      <c r="T909" s="2">
        <v>42852</v>
      </c>
      <c r="U909" t="s">
        <v>49</v>
      </c>
      <c r="V909" t="s">
        <v>50</v>
      </c>
      <c r="W909" t="s">
        <v>51</v>
      </c>
      <c r="X909" s="4">
        <v>57</v>
      </c>
      <c r="Y909" s="4">
        <v>53</v>
      </c>
      <c r="Z909" s="4">
        <v>51</v>
      </c>
      <c r="AA909" s="4">
        <v>75</v>
      </c>
      <c r="AB909" s="4">
        <v>65</v>
      </c>
      <c r="AD909" s="4">
        <v>47</v>
      </c>
      <c r="AE909" s="4">
        <v>130</v>
      </c>
      <c r="AF909" s="4">
        <v>94</v>
      </c>
      <c r="AG909" s="4">
        <v>30</v>
      </c>
      <c r="AM909" s="4">
        <v>301</v>
      </c>
      <c r="AN909" s="4">
        <v>301</v>
      </c>
      <c r="AO909" s="4">
        <v>378</v>
      </c>
    </row>
    <row r="910" spans="1:41" hidden="1" x14ac:dyDescent="0.2">
      <c r="A910" t="s">
        <v>1725</v>
      </c>
      <c r="B910" t="s">
        <v>1726</v>
      </c>
      <c r="C910" s="2">
        <v>42852</v>
      </c>
      <c r="D910" s="2">
        <v>42852</v>
      </c>
      <c r="E910" s="3">
        <v>805585</v>
      </c>
      <c r="F910" t="s">
        <v>1728</v>
      </c>
      <c r="G910" t="s">
        <v>1126</v>
      </c>
      <c r="H910" t="s">
        <v>45</v>
      </c>
      <c r="I910" s="3">
        <v>10001</v>
      </c>
      <c r="J910" s="3">
        <v>1007520001</v>
      </c>
      <c r="K910" s="3">
        <v>1083605</v>
      </c>
      <c r="L910" t="s">
        <v>78</v>
      </c>
      <c r="M910" s="4">
        <v>3</v>
      </c>
      <c r="N910" t="s">
        <v>182</v>
      </c>
      <c r="O910" t="s">
        <v>183</v>
      </c>
      <c r="P910" s="4">
        <v>40.749501000000002</v>
      </c>
      <c r="Q910" s="4">
        <v>-73.998444000000006</v>
      </c>
      <c r="R910" s="4">
        <v>40.749797999999998</v>
      </c>
      <c r="S910" s="4">
        <v>-73.998711999999998</v>
      </c>
      <c r="T910" s="2">
        <v>42852</v>
      </c>
      <c r="U910" t="s">
        <v>49</v>
      </c>
      <c r="V910" t="s">
        <v>50</v>
      </c>
      <c r="W910" t="s">
        <v>51</v>
      </c>
      <c r="X910" s="4">
        <v>27</v>
      </c>
      <c r="Y910" s="4">
        <v>28</v>
      </c>
      <c r="Z910" s="4">
        <v>37</v>
      </c>
      <c r="AA910" s="4">
        <v>36</v>
      </c>
      <c r="AB910" s="4">
        <v>28</v>
      </c>
      <c r="AD910" s="4">
        <v>17</v>
      </c>
      <c r="AE910" s="4">
        <v>82</v>
      </c>
      <c r="AF910" s="4">
        <v>57</v>
      </c>
      <c r="AM910" s="4">
        <v>156</v>
      </c>
      <c r="AN910" s="4">
        <v>156</v>
      </c>
      <c r="AO910" s="4">
        <v>186</v>
      </c>
    </row>
    <row r="911" spans="1:41" hidden="1" x14ac:dyDescent="0.2">
      <c r="A911" t="s">
        <v>1730</v>
      </c>
      <c r="B911" t="s">
        <v>1731</v>
      </c>
      <c r="C911" s="2">
        <v>42830</v>
      </c>
      <c r="D911" s="2">
        <v>44004</v>
      </c>
      <c r="E911" s="3">
        <v>976362</v>
      </c>
      <c r="F911" t="s">
        <v>1732</v>
      </c>
      <c r="G911" t="s">
        <v>339</v>
      </c>
      <c r="H911" t="s">
        <v>45</v>
      </c>
      <c r="I911" s="3">
        <v>10029</v>
      </c>
      <c r="J911" s="3">
        <v>1016917501</v>
      </c>
      <c r="K911" s="3">
        <v>1090675</v>
      </c>
      <c r="L911" t="s">
        <v>153</v>
      </c>
      <c r="M911" s="4">
        <v>8</v>
      </c>
      <c r="N911" t="s">
        <v>1251</v>
      </c>
      <c r="O911" t="s">
        <v>267</v>
      </c>
      <c r="P911" s="4">
        <v>40.784866999999998</v>
      </c>
      <c r="Q911" s="4">
        <v>-73.943529999999996</v>
      </c>
      <c r="R911" s="4">
        <v>40.78434</v>
      </c>
      <c r="S911" s="4">
        <v>-73.943208999999996</v>
      </c>
      <c r="T911" s="2">
        <v>44004</v>
      </c>
      <c r="U911" t="s">
        <v>117</v>
      </c>
      <c r="V911" t="s">
        <v>71</v>
      </c>
      <c r="W911" t="s">
        <v>51</v>
      </c>
      <c r="X911" s="4">
        <v>16</v>
      </c>
      <c r="Y911" s="4">
        <v>38</v>
      </c>
      <c r="Z911" s="4">
        <v>49</v>
      </c>
      <c r="AA911" s="4">
        <v>19</v>
      </c>
      <c r="AB911" s="4">
        <v>30</v>
      </c>
      <c r="AC911" s="4">
        <v>1</v>
      </c>
      <c r="AD911" s="4">
        <v>30</v>
      </c>
      <c r="AE911" s="4">
        <v>47</v>
      </c>
      <c r="AF911" s="4">
        <v>53</v>
      </c>
      <c r="AG911" s="4">
        <v>23</v>
      </c>
      <c r="AL911" s="4">
        <v>153</v>
      </c>
      <c r="AN911" s="4">
        <v>153</v>
      </c>
      <c r="AO911" s="4">
        <v>153</v>
      </c>
    </row>
    <row r="912" spans="1:41" hidden="1" x14ac:dyDescent="0.2">
      <c r="A912" t="s">
        <v>1733</v>
      </c>
      <c r="B912" t="s">
        <v>1734</v>
      </c>
      <c r="C912" s="2">
        <v>42824</v>
      </c>
      <c r="E912" s="3">
        <v>976304</v>
      </c>
      <c r="F912" t="s">
        <v>62</v>
      </c>
      <c r="G912" t="s">
        <v>1735</v>
      </c>
      <c r="H912" t="s">
        <v>45</v>
      </c>
      <c r="I912" s="3">
        <v>10035</v>
      </c>
      <c r="J912" s="3">
        <v>1017857503</v>
      </c>
      <c r="K912" s="3">
        <v>1089662</v>
      </c>
      <c r="L912" t="s">
        <v>153</v>
      </c>
      <c r="M912" s="4">
        <v>8</v>
      </c>
      <c r="N912" t="s">
        <v>374</v>
      </c>
      <c r="O912" t="s">
        <v>155</v>
      </c>
      <c r="P912" s="4">
        <v>40.800922999999997</v>
      </c>
      <c r="Q912" s="4">
        <v>-73.937196</v>
      </c>
      <c r="R912" s="4">
        <v>40.800767</v>
      </c>
      <c r="S912" s="4">
        <v>-73.937394999999995</v>
      </c>
      <c r="U912" t="s">
        <v>117</v>
      </c>
      <c r="V912" t="s">
        <v>71</v>
      </c>
      <c r="W912" t="s">
        <v>51</v>
      </c>
      <c r="Z912" s="4">
        <v>22</v>
      </c>
      <c r="AD912" s="4">
        <v>3</v>
      </c>
      <c r="AE912" s="4">
        <v>7</v>
      </c>
      <c r="AF912" s="4">
        <v>12</v>
      </c>
      <c r="AL912" s="4">
        <v>22</v>
      </c>
      <c r="AN912" s="4">
        <v>22</v>
      </c>
      <c r="AO912" s="4">
        <v>108</v>
      </c>
    </row>
    <row r="913" spans="1:41" hidden="1" x14ac:dyDescent="0.2">
      <c r="A913" t="s">
        <v>1736</v>
      </c>
      <c r="B913" t="s">
        <v>1737</v>
      </c>
      <c r="C913" s="2">
        <v>42818</v>
      </c>
      <c r="D913" s="2">
        <v>43382</v>
      </c>
      <c r="E913" s="3">
        <v>39842</v>
      </c>
      <c r="F913" t="s">
        <v>799</v>
      </c>
      <c r="G913" t="s">
        <v>1547</v>
      </c>
      <c r="H913" t="s">
        <v>45</v>
      </c>
      <c r="I913" s="3">
        <v>10027</v>
      </c>
      <c r="J913" s="3">
        <v>1019670069</v>
      </c>
      <c r="K913" s="3">
        <v>1059574</v>
      </c>
      <c r="L913" t="s">
        <v>169</v>
      </c>
      <c r="M913" s="4">
        <v>7</v>
      </c>
      <c r="N913" t="s">
        <v>187</v>
      </c>
      <c r="O913" t="s">
        <v>171</v>
      </c>
      <c r="P913" s="4">
        <v>40.812854000000002</v>
      </c>
      <c r="Q913" s="4">
        <v>-73.953491999999997</v>
      </c>
      <c r="R913" s="4">
        <v>40.813063</v>
      </c>
      <c r="S913" s="4">
        <v>-73.953495000000004</v>
      </c>
      <c r="T913" s="2">
        <v>43382</v>
      </c>
      <c r="U913" t="s">
        <v>49</v>
      </c>
      <c r="V913" t="s">
        <v>71</v>
      </c>
      <c r="W913" t="s">
        <v>51</v>
      </c>
      <c r="Y913" s="4">
        <v>8</v>
      </c>
      <c r="Z913" s="4">
        <v>10</v>
      </c>
      <c r="AE913" s="4">
        <v>2</v>
      </c>
      <c r="AF913" s="4">
        <v>10</v>
      </c>
      <c r="AG913" s="4">
        <v>6</v>
      </c>
      <c r="AL913" s="4">
        <v>18</v>
      </c>
      <c r="AN913" s="4">
        <v>18</v>
      </c>
      <c r="AO913" s="4">
        <v>18</v>
      </c>
    </row>
    <row r="914" spans="1:41" hidden="1" x14ac:dyDescent="0.2">
      <c r="A914" t="s">
        <v>1736</v>
      </c>
      <c r="B914" t="s">
        <v>1737</v>
      </c>
      <c r="C914" s="2">
        <v>42818</v>
      </c>
      <c r="D914" s="2">
        <v>43382</v>
      </c>
      <c r="E914" s="3">
        <v>39843</v>
      </c>
      <c r="F914" t="s">
        <v>1738</v>
      </c>
      <c r="G914" t="s">
        <v>1547</v>
      </c>
      <c r="H914" t="s">
        <v>45</v>
      </c>
      <c r="I914" s="3">
        <v>10027</v>
      </c>
      <c r="J914" s="3">
        <v>1019670067</v>
      </c>
      <c r="K914" s="3">
        <v>1059573</v>
      </c>
      <c r="L914" t="s">
        <v>169</v>
      </c>
      <c r="M914" s="4">
        <v>7</v>
      </c>
      <c r="N914" t="s">
        <v>187</v>
      </c>
      <c r="O914" t="s">
        <v>171</v>
      </c>
      <c r="P914" s="4">
        <v>40.812879000000002</v>
      </c>
      <c r="Q914" s="4">
        <v>-73.953552999999999</v>
      </c>
      <c r="R914" s="4">
        <v>40.813153</v>
      </c>
      <c r="S914" s="4">
        <v>-73.953647000000004</v>
      </c>
      <c r="T914" s="2">
        <v>43382</v>
      </c>
      <c r="U914" t="s">
        <v>49</v>
      </c>
      <c r="V914" t="s">
        <v>71</v>
      </c>
      <c r="W914" t="s">
        <v>51</v>
      </c>
      <c r="X914" s="4">
        <v>2</v>
      </c>
      <c r="Y914" s="4">
        <v>15</v>
      </c>
      <c r="Z914" s="4">
        <v>6</v>
      </c>
      <c r="AA914" s="4">
        <v>1</v>
      </c>
      <c r="AD914" s="4">
        <v>1</v>
      </c>
      <c r="AE914" s="4">
        <v>6</v>
      </c>
      <c r="AF914" s="4">
        <v>11</v>
      </c>
      <c r="AH914" s="4">
        <v>6</v>
      </c>
      <c r="AL914" s="4">
        <v>24</v>
      </c>
      <c r="AN914" s="4">
        <v>24</v>
      </c>
      <c r="AO914" s="4">
        <v>24</v>
      </c>
    </row>
    <row r="915" spans="1:41" hidden="1" x14ac:dyDescent="0.2">
      <c r="A915" t="s">
        <v>1739</v>
      </c>
      <c r="B915" t="s">
        <v>1740</v>
      </c>
      <c r="C915" s="2">
        <v>42810</v>
      </c>
      <c r="E915" s="3">
        <v>945909</v>
      </c>
      <c r="F915" t="s">
        <v>1713</v>
      </c>
      <c r="G915" t="s">
        <v>1052</v>
      </c>
      <c r="H915" t="s">
        <v>45</v>
      </c>
      <c r="I915" s="3">
        <v>10032</v>
      </c>
      <c r="J915" s="3">
        <v>1021100011</v>
      </c>
      <c r="K915" s="3">
        <v>1000000</v>
      </c>
      <c r="L915" t="s">
        <v>114</v>
      </c>
      <c r="M915" s="4">
        <v>10</v>
      </c>
      <c r="N915" t="s">
        <v>133</v>
      </c>
      <c r="O915" t="s">
        <v>134</v>
      </c>
      <c r="P915" s="4">
        <v>40.836210000000001</v>
      </c>
      <c r="Q915" s="4">
        <v>-73.938676999999998</v>
      </c>
      <c r="R915" s="4">
        <v>40.836010000000002</v>
      </c>
      <c r="S915" s="4">
        <v>-73.938857999999996</v>
      </c>
      <c r="U915" t="s">
        <v>117</v>
      </c>
      <c r="V915" t="s">
        <v>71</v>
      </c>
      <c r="W915" t="s">
        <v>51</v>
      </c>
      <c r="Z915" s="4">
        <v>72</v>
      </c>
      <c r="AC915" s="4">
        <v>1</v>
      </c>
      <c r="AD915" s="4">
        <v>73</v>
      </c>
      <c r="AL915" s="4">
        <v>73</v>
      </c>
      <c r="AN915" s="4">
        <v>73</v>
      </c>
      <c r="AO915" s="4">
        <v>73</v>
      </c>
    </row>
    <row r="916" spans="1:41" hidden="1" x14ac:dyDescent="0.2">
      <c r="A916" t="s">
        <v>1741</v>
      </c>
      <c r="B916" t="s">
        <v>1742</v>
      </c>
      <c r="C916" s="2">
        <v>42809</v>
      </c>
      <c r="D916" s="2">
        <v>43483</v>
      </c>
      <c r="E916" s="3">
        <v>970563</v>
      </c>
      <c r="F916" t="s">
        <v>792</v>
      </c>
      <c r="G916" t="s">
        <v>1743</v>
      </c>
      <c r="H916" t="s">
        <v>45</v>
      </c>
      <c r="I916" s="3">
        <v>10014</v>
      </c>
      <c r="J916" s="3">
        <v>1006050001</v>
      </c>
      <c r="K916" s="3">
        <v>1089890</v>
      </c>
      <c r="L916" t="s">
        <v>161</v>
      </c>
      <c r="M916" s="4">
        <v>3</v>
      </c>
      <c r="N916" t="s">
        <v>405</v>
      </c>
      <c r="O916" t="s">
        <v>163</v>
      </c>
      <c r="P916" s="4">
        <v>40.731774999999999</v>
      </c>
      <c r="Q916" s="4">
        <v>-74.007631000000003</v>
      </c>
      <c r="R916" s="4">
        <v>40.731988999999999</v>
      </c>
      <c r="S916" s="4">
        <v>-74.007493999999994</v>
      </c>
      <c r="T916" s="2">
        <v>43483</v>
      </c>
      <c r="U916" t="s">
        <v>117</v>
      </c>
      <c r="V916" t="s">
        <v>71</v>
      </c>
      <c r="W916" t="s">
        <v>51</v>
      </c>
      <c r="AB916" s="4">
        <v>7</v>
      </c>
      <c r="AD916" s="4">
        <v>1</v>
      </c>
      <c r="AE916" s="4">
        <v>2</v>
      </c>
      <c r="AF916" s="4">
        <v>4</v>
      </c>
      <c r="AL916" s="4">
        <v>7</v>
      </c>
      <c r="AN916" s="4">
        <v>7</v>
      </c>
      <c r="AO916" s="4">
        <v>33</v>
      </c>
    </row>
    <row r="917" spans="1:41" hidden="1" x14ac:dyDescent="0.2">
      <c r="A917" t="s">
        <v>1744</v>
      </c>
      <c r="B917" t="s">
        <v>1745</v>
      </c>
      <c r="C917" s="2">
        <v>42780</v>
      </c>
      <c r="E917" s="3">
        <v>976833</v>
      </c>
      <c r="F917" t="s">
        <v>1746</v>
      </c>
      <c r="G917" t="s">
        <v>1747</v>
      </c>
      <c r="H917" t="s">
        <v>45</v>
      </c>
      <c r="I917" s="3">
        <v>10010</v>
      </c>
      <c r="J917" s="3">
        <v>1008257502</v>
      </c>
      <c r="K917" s="3">
        <v>1091569</v>
      </c>
      <c r="L917" t="s">
        <v>655</v>
      </c>
      <c r="M917" s="4">
        <v>3</v>
      </c>
      <c r="N917" t="s">
        <v>1176</v>
      </c>
      <c r="O917" t="s">
        <v>1127</v>
      </c>
      <c r="P917" s="4">
        <v>40.742131000000001</v>
      </c>
      <c r="Q917" s="4">
        <v>-73.990931000000003</v>
      </c>
      <c r="R917" s="4">
        <v>40.742570000000001</v>
      </c>
      <c r="S917" s="4">
        <v>-73.990927999999997</v>
      </c>
      <c r="U917" t="s">
        <v>117</v>
      </c>
      <c r="V917" t="s">
        <v>71</v>
      </c>
      <c r="W917" t="s">
        <v>51</v>
      </c>
      <c r="Z917" s="4">
        <v>2</v>
      </c>
      <c r="AD917" s="4">
        <v>1</v>
      </c>
      <c r="AE917" s="4">
        <v>1</v>
      </c>
      <c r="AL917" s="4">
        <v>2</v>
      </c>
      <c r="AN917" s="4">
        <v>2</v>
      </c>
      <c r="AO917" s="4">
        <v>35</v>
      </c>
    </row>
    <row r="918" spans="1:41" hidden="1" x14ac:dyDescent="0.2">
      <c r="A918" t="s">
        <v>1744</v>
      </c>
      <c r="B918" t="s">
        <v>1745</v>
      </c>
      <c r="C918" s="2">
        <v>42780</v>
      </c>
      <c r="E918" s="3">
        <v>992704</v>
      </c>
      <c r="F918" t="s">
        <v>576</v>
      </c>
      <c r="G918" t="s">
        <v>670</v>
      </c>
      <c r="H918" t="s">
        <v>45</v>
      </c>
      <c r="I918" s="3">
        <v>10010</v>
      </c>
      <c r="J918" s="3">
        <v>1008257502</v>
      </c>
      <c r="K918" s="3">
        <v>1000000</v>
      </c>
      <c r="L918" t="s">
        <v>655</v>
      </c>
      <c r="M918" s="4">
        <v>3</v>
      </c>
      <c r="N918" t="s">
        <v>1176</v>
      </c>
      <c r="O918" t="s">
        <v>1127</v>
      </c>
      <c r="P918" s="4">
        <v>40.742595000000001</v>
      </c>
      <c r="Q918" s="4">
        <v>-73.990050999999994</v>
      </c>
      <c r="R918" s="4">
        <v>40.742570000000001</v>
      </c>
      <c r="S918" s="4">
        <v>-73.990927999999997</v>
      </c>
      <c r="U918" t="s">
        <v>117</v>
      </c>
      <c r="V918" t="s">
        <v>71</v>
      </c>
      <c r="W918" t="s">
        <v>51</v>
      </c>
      <c r="AB918" s="4">
        <v>2</v>
      </c>
      <c r="AF918" s="4">
        <v>2</v>
      </c>
      <c r="AL918" s="4">
        <v>2</v>
      </c>
      <c r="AN918" s="4">
        <v>2</v>
      </c>
      <c r="AO918" s="4">
        <v>9</v>
      </c>
    </row>
    <row r="919" spans="1:41" hidden="1" x14ac:dyDescent="0.2">
      <c r="A919" t="s">
        <v>1748</v>
      </c>
      <c r="B919" t="s">
        <v>1749</v>
      </c>
      <c r="C919" s="2">
        <v>42774</v>
      </c>
      <c r="D919" s="2">
        <v>43306</v>
      </c>
      <c r="E919" s="3">
        <v>969379</v>
      </c>
      <c r="F919" t="s">
        <v>1750</v>
      </c>
      <c r="G919" t="s">
        <v>237</v>
      </c>
      <c r="H919" t="s">
        <v>45</v>
      </c>
      <c r="I919" s="3">
        <v>10035</v>
      </c>
      <c r="J919" s="3">
        <v>1016667501</v>
      </c>
      <c r="K919" s="3">
        <v>1090250</v>
      </c>
      <c r="L919" t="s">
        <v>153</v>
      </c>
      <c r="M919" s="4">
        <v>8</v>
      </c>
      <c r="N919" t="s">
        <v>290</v>
      </c>
      <c r="O919" t="s">
        <v>155</v>
      </c>
      <c r="P919" s="4">
        <v>40.798493000000001</v>
      </c>
      <c r="Q919" s="4">
        <v>-73.939606999999995</v>
      </c>
      <c r="R919" s="4">
        <v>40.798395999999997</v>
      </c>
      <c r="S919" s="4">
        <v>-73.939333000000005</v>
      </c>
      <c r="T919" s="2">
        <v>43306</v>
      </c>
      <c r="U919" t="s">
        <v>117</v>
      </c>
      <c r="V919" t="s">
        <v>71</v>
      </c>
      <c r="W919" t="s">
        <v>51</v>
      </c>
      <c r="Z919" s="4">
        <v>5</v>
      </c>
      <c r="AE919" s="4">
        <v>5</v>
      </c>
      <c r="AL919" s="4">
        <v>5</v>
      </c>
      <c r="AN919" s="4">
        <v>5</v>
      </c>
      <c r="AO919" s="4">
        <v>21</v>
      </c>
    </row>
    <row r="920" spans="1:41" hidden="1" x14ac:dyDescent="0.2">
      <c r="A920" t="s">
        <v>1751</v>
      </c>
      <c r="B920" t="s">
        <v>1752</v>
      </c>
      <c r="C920" s="2">
        <v>42758</v>
      </c>
      <c r="D920" s="2">
        <v>43411</v>
      </c>
      <c r="E920" s="3">
        <v>25206</v>
      </c>
      <c r="F920" t="s">
        <v>1472</v>
      </c>
      <c r="G920" t="s">
        <v>70</v>
      </c>
      <c r="H920" t="s">
        <v>45</v>
      </c>
      <c r="I920" s="3">
        <v>10025</v>
      </c>
      <c r="J920" s="3">
        <v>1018440020</v>
      </c>
      <c r="K920" s="3">
        <v>1084021</v>
      </c>
      <c r="L920" t="s">
        <v>46</v>
      </c>
      <c r="M920" s="4">
        <v>7</v>
      </c>
      <c r="N920" t="s">
        <v>54</v>
      </c>
      <c r="O920" t="s">
        <v>48</v>
      </c>
      <c r="P920" s="4">
        <v>40.800319000000002</v>
      </c>
      <c r="Q920" s="4">
        <v>-73.960248000000007</v>
      </c>
      <c r="R920" s="4">
        <v>40.800195000000002</v>
      </c>
      <c r="S920" s="4">
        <v>-73.959854000000007</v>
      </c>
      <c r="T920" s="2">
        <v>43237</v>
      </c>
      <c r="U920" t="s">
        <v>49</v>
      </c>
      <c r="V920" t="s">
        <v>50</v>
      </c>
      <c r="W920" t="s">
        <v>51</v>
      </c>
      <c r="X920" s="4">
        <v>14</v>
      </c>
      <c r="Y920" s="4">
        <v>1</v>
      </c>
      <c r="Z920" s="4">
        <v>2</v>
      </c>
      <c r="AE920" s="4">
        <v>10</v>
      </c>
      <c r="AF920" s="4">
        <v>1</v>
      </c>
      <c r="AG920" s="4">
        <v>6</v>
      </c>
      <c r="AL920" s="4">
        <v>17</v>
      </c>
      <c r="AN920" s="4">
        <v>17</v>
      </c>
      <c r="AO920" s="4">
        <v>17</v>
      </c>
    </row>
    <row r="921" spans="1:41" hidden="1" x14ac:dyDescent="0.2">
      <c r="A921" t="s">
        <v>1751</v>
      </c>
      <c r="B921" t="s">
        <v>1752</v>
      </c>
      <c r="C921" s="2">
        <v>42758</v>
      </c>
      <c r="D921" s="2">
        <v>43411</v>
      </c>
      <c r="E921" s="3">
        <v>37471</v>
      </c>
      <c r="F921" t="s">
        <v>490</v>
      </c>
      <c r="G921" t="s">
        <v>73</v>
      </c>
      <c r="H921" t="s">
        <v>45</v>
      </c>
      <c r="I921" s="3">
        <v>10025</v>
      </c>
      <c r="J921" s="3">
        <v>1018590015</v>
      </c>
      <c r="K921" s="3">
        <v>1055913</v>
      </c>
      <c r="L921" t="s">
        <v>46</v>
      </c>
      <c r="M921" s="4">
        <v>7</v>
      </c>
      <c r="N921" t="s">
        <v>47</v>
      </c>
      <c r="O921" t="s">
        <v>48</v>
      </c>
      <c r="P921" s="4">
        <v>40.798527999999997</v>
      </c>
      <c r="Q921" s="4">
        <v>-73.965237000000002</v>
      </c>
      <c r="R921" s="4">
        <v>40.798752999999998</v>
      </c>
      <c r="S921" s="4">
        <v>-73.965186000000003</v>
      </c>
      <c r="T921" s="2">
        <v>43217</v>
      </c>
      <c r="U921" t="s">
        <v>49</v>
      </c>
      <c r="V921" t="s">
        <v>50</v>
      </c>
      <c r="W921" t="s">
        <v>51</v>
      </c>
      <c r="X921" s="4">
        <v>21</v>
      </c>
      <c r="Y921" s="4">
        <v>3</v>
      </c>
      <c r="Z921" s="4">
        <v>3</v>
      </c>
      <c r="AE921" s="4">
        <v>8</v>
      </c>
      <c r="AF921" s="4">
        <v>19</v>
      </c>
      <c r="AL921" s="4">
        <v>27</v>
      </c>
      <c r="AN921" s="4">
        <v>27</v>
      </c>
      <c r="AO921" s="4">
        <v>27</v>
      </c>
    </row>
    <row r="922" spans="1:41" hidden="1" x14ac:dyDescent="0.2">
      <c r="A922" t="s">
        <v>1751</v>
      </c>
      <c r="B922" t="s">
        <v>1752</v>
      </c>
      <c r="C922" s="2">
        <v>42758</v>
      </c>
      <c r="D922" s="2">
        <v>43411</v>
      </c>
      <c r="E922" s="3">
        <v>805084</v>
      </c>
      <c r="F922" t="s">
        <v>461</v>
      </c>
      <c r="G922" t="s">
        <v>70</v>
      </c>
      <c r="H922" t="s">
        <v>45</v>
      </c>
      <c r="I922" s="3">
        <v>10025</v>
      </c>
      <c r="J922" s="3">
        <v>1018440020</v>
      </c>
      <c r="K922" s="3">
        <v>1084022</v>
      </c>
      <c r="L922" t="s">
        <v>46</v>
      </c>
      <c r="M922" s="4">
        <v>7</v>
      </c>
      <c r="N922" t="s">
        <v>54</v>
      </c>
      <c r="O922" t="s">
        <v>48</v>
      </c>
      <c r="P922" s="4">
        <v>40.800387000000001</v>
      </c>
      <c r="Q922" s="4">
        <v>-73.960200999999998</v>
      </c>
      <c r="R922" s="4">
        <v>40.800195000000002</v>
      </c>
      <c r="S922" s="4">
        <v>-73.959854000000007</v>
      </c>
      <c r="T922" s="2">
        <v>43237</v>
      </c>
      <c r="U922" t="s">
        <v>49</v>
      </c>
      <c r="V922" t="s">
        <v>50</v>
      </c>
      <c r="W922" t="s">
        <v>51</v>
      </c>
      <c r="X922" s="4">
        <v>15</v>
      </c>
      <c r="Y922" s="4">
        <v>5</v>
      </c>
      <c r="Z922" s="4">
        <v>3</v>
      </c>
      <c r="AE922" s="4">
        <v>13</v>
      </c>
      <c r="AF922" s="4">
        <v>4</v>
      </c>
      <c r="AG922" s="4">
        <v>6</v>
      </c>
      <c r="AL922" s="4">
        <v>23</v>
      </c>
      <c r="AN922" s="4">
        <v>23</v>
      </c>
      <c r="AO922" s="4">
        <v>23</v>
      </c>
    </row>
    <row r="923" spans="1:41" hidden="1" x14ac:dyDescent="0.2">
      <c r="A923" t="s">
        <v>1751</v>
      </c>
      <c r="B923" t="s">
        <v>1752</v>
      </c>
      <c r="C923" s="2">
        <v>42758</v>
      </c>
      <c r="D923" s="2">
        <v>43411</v>
      </c>
      <c r="E923" s="3">
        <v>805832</v>
      </c>
      <c r="F923" t="s">
        <v>869</v>
      </c>
      <c r="G923" t="s">
        <v>1116</v>
      </c>
      <c r="H923" t="s">
        <v>45</v>
      </c>
      <c r="I923" s="3">
        <v>10025</v>
      </c>
      <c r="J923" s="3">
        <v>1018440020</v>
      </c>
      <c r="K923" s="3">
        <v>1084024</v>
      </c>
      <c r="L923" t="s">
        <v>46</v>
      </c>
      <c r="M923" s="4">
        <v>7</v>
      </c>
      <c r="N923" t="s">
        <v>54</v>
      </c>
      <c r="O923" t="s">
        <v>48</v>
      </c>
      <c r="P923" s="4">
        <v>40.800327000000003</v>
      </c>
      <c r="Q923" s="4">
        <v>-73.959470999999994</v>
      </c>
      <c r="R923" s="4">
        <v>40.800195000000002</v>
      </c>
      <c r="S923" s="4">
        <v>-73.959854000000007</v>
      </c>
      <c r="T923" s="2">
        <v>43411</v>
      </c>
      <c r="U923" t="s">
        <v>49</v>
      </c>
      <c r="V923" t="s">
        <v>50</v>
      </c>
      <c r="W923" t="s">
        <v>51</v>
      </c>
      <c r="X923" s="4">
        <v>28</v>
      </c>
      <c r="Y923" s="4">
        <v>2</v>
      </c>
      <c r="Z923" s="4">
        <v>5</v>
      </c>
      <c r="AD923" s="4">
        <v>1</v>
      </c>
      <c r="AE923" s="4">
        <v>18</v>
      </c>
      <c r="AF923" s="4">
        <v>6</v>
      </c>
      <c r="AG923" s="4">
        <v>10</v>
      </c>
      <c r="AL923" s="4">
        <v>35</v>
      </c>
      <c r="AN923" s="4">
        <v>35</v>
      </c>
      <c r="AO923" s="4">
        <v>35</v>
      </c>
    </row>
    <row r="924" spans="1:41" hidden="1" x14ac:dyDescent="0.2">
      <c r="A924" t="s">
        <v>1751</v>
      </c>
      <c r="B924" t="s">
        <v>1752</v>
      </c>
      <c r="C924" s="2">
        <v>42758</v>
      </c>
      <c r="D924" s="2">
        <v>43411</v>
      </c>
      <c r="E924" s="3">
        <v>805835</v>
      </c>
      <c r="F924" t="s">
        <v>296</v>
      </c>
      <c r="G924" t="s">
        <v>1116</v>
      </c>
      <c r="H924" t="s">
        <v>45</v>
      </c>
      <c r="I924" s="3">
        <v>10025</v>
      </c>
      <c r="J924" s="3">
        <v>1018440020</v>
      </c>
      <c r="K924" s="3">
        <v>1084023</v>
      </c>
      <c r="L924" t="s">
        <v>46</v>
      </c>
      <c r="M924" s="4">
        <v>7</v>
      </c>
      <c r="N924" t="s">
        <v>54</v>
      </c>
      <c r="O924" t="s">
        <v>48</v>
      </c>
      <c r="P924" s="4">
        <v>40.800392000000002</v>
      </c>
      <c r="Q924" s="4">
        <v>-73.959630000000004</v>
      </c>
      <c r="R924" s="4">
        <v>40.800195000000002</v>
      </c>
      <c r="S924" s="4">
        <v>-73.959854000000007</v>
      </c>
      <c r="T924" s="2">
        <v>43237</v>
      </c>
      <c r="U924" t="s">
        <v>49</v>
      </c>
      <c r="V924" t="s">
        <v>50</v>
      </c>
      <c r="W924" t="s">
        <v>51</v>
      </c>
      <c r="X924" s="4">
        <v>20</v>
      </c>
      <c r="Y924" s="4">
        <v>3</v>
      </c>
      <c r="Z924" s="4">
        <v>1</v>
      </c>
      <c r="AD924" s="4">
        <v>1</v>
      </c>
      <c r="AE924" s="4">
        <v>22</v>
      </c>
      <c r="AF924" s="4">
        <v>1</v>
      </c>
      <c r="AL924" s="4">
        <v>24</v>
      </c>
      <c r="AN924" s="4">
        <v>24</v>
      </c>
      <c r="AO924" s="4">
        <v>24</v>
      </c>
    </row>
    <row r="925" spans="1:41" hidden="1" x14ac:dyDescent="0.2">
      <c r="A925" t="s">
        <v>1753</v>
      </c>
      <c r="B925" t="s">
        <v>1754</v>
      </c>
      <c r="C925" s="2">
        <v>42733</v>
      </c>
      <c r="D925" s="2">
        <v>42733</v>
      </c>
      <c r="E925" s="3">
        <v>23625</v>
      </c>
      <c r="F925" t="s">
        <v>1755</v>
      </c>
      <c r="G925" t="s">
        <v>274</v>
      </c>
      <c r="H925" t="s">
        <v>45</v>
      </c>
      <c r="I925" s="3">
        <v>10037</v>
      </c>
      <c r="J925" s="3">
        <v>1019180036</v>
      </c>
      <c r="K925" s="3">
        <v>1058228</v>
      </c>
      <c r="L925" t="s">
        <v>146</v>
      </c>
      <c r="M925" s="4">
        <v>9</v>
      </c>
      <c r="N925" t="s">
        <v>309</v>
      </c>
      <c r="O925" t="s">
        <v>177</v>
      </c>
      <c r="P925" s="4">
        <v>40.813274</v>
      </c>
      <c r="Q925" s="4">
        <v>-73.941479999999999</v>
      </c>
      <c r="R925" s="4">
        <v>40.813496000000001</v>
      </c>
      <c r="S925" s="4">
        <v>-73.941815000000005</v>
      </c>
      <c r="T925" s="2">
        <v>42733</v>
      </c>
      <c r="U925" t="s">
        <v>49</v>
      </c>
      <c r="V925" t="s">
        <v>50</v>
      </c>
      <c r="W925" t="s">
        <v>51</v>
      </c>
      <c r="X925" s="4">
        <v>8</v>
      </c>
      <c r="Y925" s="4">
        <v>3</v>
      </c>
      <c r="AA925" s="4">
        <v>1</v>
      </c>
      <c r="AF925" s="4">
        <v>4</v>
      </c>
      <c r="AG925" s="4">
        <v>8</v>
      </c>
      <c r="AL925" s="4">
        <v>12</v>
      </c>
      <c r="AN925" s="4">
        <v>12</v>
      </c>
      <c r="AO925" s="4">
        <v>12</v>
      </c>
    </row>
    <row r="926" spans="1:41" hidden="1" x14ac:dyDescent="0.2">
      <c r="A926" t="s">
        <v>1756</v>
      </c>
      <c r="B926" t="s">
        <v>1757</v>
      </c>
      <c r="C926" s="2">
        <v>42733</v>
      </c>
      <c r="D926" s="2">
        <v>42733</v>
      </c>
      <c r="E926" s="3">
        <v>6551</v>
      </c>
      <c r="F926" t="s">
        <v>1251</v>
      </c>
      <c r="G926" t="s">
        <v>195</v>
      </c>
      <c r="H926" t="s">
        <v>45</v>
      </c>
      <c r="I926" s="3">
        <v>10009</v>
      </c>
      <c r="J926" s="3">
        <v>1003820100</v>
      </c>
      <c r="K926" s="3">
        <v>1078025</v>
      </c>
      <c r="L926" t="s">
        <v>64</v>
      </c>
      <c r="M926" s="4">
        <v>2</v>
      </c>
      <c r="N926" t="s">
        <v>607</v>
      </c>
      <c r="O926" t="s">
        <v>197</v>
      </c>
      <c r="P926" s="4">
        <v>40.725963</v>
      </c>
      <c r="Q926" s="4">
        <v>-73.977457999999999</v>
      </c>
      <c r="R926" s="4">
        <v>40.726086000000002</v>
      </c>
      <c r="S926" s="4">
        <v>-73.976472999999999</v>
      </c>
      <c r="T926" s="2">
        <v>42733</v>
      </c>
      <c r="U926" t="s">
        <v>49</v>
      </c>
      <c r="V926" t="s">
        <v>71</v>
      </c>
      <c r="W926" t="s">
        <v>123</v>
      </c>
      <c r="AB926" s="4">
        <v>158</v>
      </c>
      <c r="AE926" s="4">
        <v>78</v>
      </c>
      <c r="AF926" s="4">
        <v>40</v>
      </c>
      <c r="AG926" s="4">
        <v>40</v>
      </c>
      <c r="AM926" s="4">
        <v>158</v>
      </c>
      <c r="AN926" s="4">
        <v>158</v>
      </c>
      <c r="AO926" s="4">
        <v>158</v>
      </c>
    </row>
    <row r="927" spans="1:41" hidden="1" x14ac:dyDescent="0.2">
      <c r="A927" t="s">
        <v>1756</v>
      </c>
      <c r="B927" t="s">
        <v>1757</v>
      </c>
      <c r="C927" s="2">
        <v>42733</v>
      </c>
      <c r="D927" s="2">
        <v>42733</v>
      </c>
      <c r="E927" s="3">
        <v>804714</v>
      </c>
      <c r="F927" t="s">
        <v>1758</v>
      </c>
      <c r="G927" t="s">
        <v>606</v>
      </c>
      <c r="H927" t="s">
        <v>45</v>
      </c>
      <c r="I927" s="3">
        <v>10009</v>
      </c>
      <c r="J927" s="3">
        <v>1003820100</v>
      </c>
      <c r="K927" s="3">
        <v>1078024</v>
      </c>
      <c r="L927" t="s">
        <v>64</v>
      </c>
      <c r="M927" s="4">
        <v>2</v>
      </c>
      <c r="N927" t="s">
        <v>607</v>
      </c>
      <c r="O927" t="s">
        <v>197</v>
      </c>
      <c r="P927" s="4">
        <v>40.725628</v>
      </c>
      <c r="Q927" s="4">
        <v>-73.976910000000004</v>
      </c>
      <c r="R927" s="4">
        <v>40.726086000000002</v>
      </c>
      <c r="S927" s="4">
        <v>-73.976472999999999</v>
      </c>
      <c r="T927" s="2">
        <v>42733</v>
      </c>
      <c r="U927" t="s">
        <v>49</v>
      </c>
      <c r="V927" t="s">
        <v>71</v>
      </c>
      <c r="W927" t="s">
        <v>123</v>
      </c>
      <c r="AB927" s="4">
        <v>188</v>
      </c>
      <c r="AD927" s="4">
        <v>23</v>
      </c>
      <c r="AE927" s="4">
        <v>71</v>
      </c>
      <c r="AF927" s="4">
        <v>94</v>
      </c>
      <c r="AM927" s="4">
        <v>188</v>
      </c>
      <c r="AN927" s="4">
        <v>188</v>
      </c>
      <c r="AO927" s="4">
        <v>188</v>
      </c>
    </row>
    <row r="928" spans="1:41" hidden="1" x14ac:dyDescent="0.2">
      <c r="A928" t="s">
        <v>1756</v>
      </c>
      <c r="B928" t="s">
        <v>1757</v>
      </c>
      <c r="C928" s="2">
        <v>42733</v>
      </c>
      <c r="D928" s="2">
        <v>42733</v>
      </c>
      <c r="E928" s="3">
        <v>804721</v>
      </c>
      <c r="F928" t="s">
        <v>1759</v>
      </c>
      <c r="G928" t="s">
        <v>977</v>
      </c>
      <c r="H928" t="s">
        <v>45</v>
      </c>
      <c r="I928" s="3">
        <v>10009</v>
      </c>
      <c r="J928" s="3">
        <v>1003820100</v>
      </c>
      <c r="K928" s="3">
        <v>1078022</v>
      </c>
      <c r="L928" t="s">
        <v>64</v>
      </c>
      <c r="M928" s="4">
        <v>2</v>
      </c>
      <c r="N928" t="s">
        <v>607</v>
      </c>
      <c r="O928" t="s">
        <v>197</v>
      </c>
      <c r="P928" s="4">
        <v>40.726104999999997</v>
      </c>
      <c r="Q928" s="4">
        <v>-73.976246000000003</v>
      </c>
      <c r="R928" s="4">
        <v>40.726086000000002</v>
      </c>
      <c r="S928" s="4">
        <v>-73.976472999999999</v>
      </c>
      <c r="T928" s="2">
        <v>42733</v>
      </c>
      <c r="U928" t="s">
        <v>49</v>
      </c>
      <c r="V928" t="s">
        <v>71</v>
      </c>
      <c r="W928" t="s">
        <v>123</v>
      </c>
      <c r="AB928" s="4">
        <v>72</v>
      </c>
      <c r="AE928" s="4">
        <v>36</v>
      </c>
      <c r="AF928" s="4">
        <v>18</v>
      </c>
      <c r="AG928" s="4">
        <v>18</v>
      </c>
      <c r="AM928" s="4">
        <v>72</v>
      </c>
      <c r="AN928" s="4">
        <v>72</v>
      </c>
      <c r="AO928" s="4">
        <v>72</v>
      </c>
    </row>
    <row r="929" spans="1:41" hidden="1" x14ac:dyDescent="0.2">
      <c r="A929" t="s">
        <v>1756</v>
      </c>
      <c r="B929" t="s">
        <v>1757</v>
      </c>
      <c r="C929" s="2">
        <v>42733</v>
      </c>
      <c r="D929" s="2">
        <v>42733</v>
      </c>
      <c r="E929" s="3">
        <v>804722</v>
      </c>
      <c r="F929" t="s">
        <v>705</v>
      </c>
      <c r="G929" t="s">
        <v>977</v>
      </c>
      <c r="H929" t="s">
        <v>45</v>
      </c>
      <c r="I929" s="3">
        <v>10009</v>
      </c>
      <c r="J929" s="3">
        <v>1003820100</v>
      </c>
      <c r="K929" s="3">
        <v>1078022</v>
      </c>
      <c r="L929" t="s">
        <v>64</v>
      </c>
      <c r="M929" s="4">
        <v>2</v>
      </c>
      <c r="N929" t="s">
        <v>607</v>
      </c>
      <c r="O929" t="s">
        <v>197</v>
      </c>
      <c r="P929" s="4">
        <v>40.726230999999999</v>
      </c>
      <c r="Q929" s="4">
        <v>-73.976508999999993</v>
      </c>
      <c r="R929" s="4">
        <v>40.726086000000002</v>
      </c>
      <c r="S929" s="4">
        <v>-73.976472999999999</v>
      </c>
      <c r="T929" s="2">
        <v>42733</v>
      </c>
      <c r="U929" t="s">
        <v>49</v>
      </c>
      <c r="V929" t="s">
        <v>71</v>
      </c>
      <c r="W929" t="s">
        <v>123</v>
      </c>
      <c r="AB929" s="4">
        <v>16</v>
      </c>
      <c r="AD929" s="4">
        <v>16</v>
      </c>
      <c r="AM929" s="4">
        <v>16</v>
      </c>
      <c r="AN929" s="4">
        <v>16</v>
      </c>
      <c r="AO929" s="4">
        <v>16</v>
      </c>
    </row>
    <row r="930" spans="1:41" hidden="1" x14ac:dyDescent="0.2">
      <c r="A930" t="s">
        <v>1760</v>
      </c>
      <c r="B930" t="s">
        <v>1761</v>
      </c>
      <c r="C930" s="2">
        <v>42732</v>
      </c>
      <c r="D930" s="2">
        <v>43424</v>
      </c>
      <c r="E930" s="3">
        <v>973906</v>
      </c>
      <c r="F930" t="s">
        <v>1499</v>
      </c>
      <c r="G930" t="s">
        <v>1762</v>
      </c>
      <c r="H930" t="s">
        <v>45</v>
      </c>
      <c r="I930" s="3">
        <v>10011</v>
      </c>
      <c r="J930" s="3">
        <v>1007167506</v>
      </c>
      <c r="K930" s="3">
        <v>1089965</v>
      </c>
      <c r="L930" t="s">
        <v>78</v>
      </c>
      <c r="M930" s="4">
        <v>3</v>
      </c>
      <c r="N930" t="s">
        <v>1173</v>
      </c>
      <c r="O930" t="s">
        <v>183</v>
      </c>
      <c r="P930" s="4">
        <v>40.743962000000003</v>
      </c>
      <c r="Q930" s="4">
        <v>-74.004734999999997</v>
      </c>
      <c r="R930" s="4">
        <v>40.744211999999997</v>
      </c>
      <c r="S930" s="4">
        <v>-74.004802999999995</v>
      </c>
      <c r="T930" s="2">
        <v>43424</v>
      </c>
      <c r="U930" t="s">
        <v>117</v>
      </c>
      <c r="V930" t="s">
        <v>71</v>
      </c>
      <c r="W930" t="s">
        <v>51</v>
      </c>
      <c r="Y930" s="4">
        <v>32</v>
      </c>
      <c r="Z930" s="4">
        <v>48</v>
      </c>
      <c r="AB930" s="4">
        <v>79</v>
      </c>
      <c r="AC930" s="4">
        <v>1</v>
      </c>
      <c r="AD930" s="4">
        <v>52</v>
      </c>
      <c r="AE930" s="4">
        <v>69</v>
      </c>
      <c r="AF930" s="4">
        <v>39</v>
      </c>
      <c r="AL930" s="4">
        <v>160</v>
      </c>
      <c r="AN930" s="4">
        <v>160</v>
      </c>
      <c r="AO930" s="4">
        <v>160</v>
      </c>
    </row>
    <row r="931" spans="1:41" hidden="1" x14ac:dyDescent="0.2">
      <c r="A931" t="s">
        <v>1763</v>
      </c>
      <c r="B931" t="s">
        <v>1764</v>
      </c>
      <c r="C931" s="2">
        <v>42732</v>
      </c>
      <c r="D931" s="2">
        <v>44167</v>
      </c>
      <c r="E931" s="3">
        <v>12608</v>
      </c>
      <c r="F931" t="s">
        <v>643</v>
      </c>
      <c r="G931" t="s">
        <v>999</v>
      </c>
      <c r="H931" t="s">
        <v>45</v>
      </c>
      <c r="I931" s="3">
        <v>10010</v>
      </c>
      <c r="J931" s="3">
        <v>1008790027</v>
      </c>
      <c r="K931" s="3">
        <v>1018044</v>
      </c>
      <c r="L931" t="s">
        <v>165</v>
      </c>
      <c r="M931" s="4">
        <v>2</v>
      </c>
      <c r="N931" t="s">
        <v>656</v>
      </c>
      <c r="O931" t="s">
        <v>657</v>
      </c>
      <c r="P931" s="4">
        <v>40.739325000000001</v>
      </c>
      <c r="Q931" s="4">
        <v>-73.984285</v>
      </c>
      <c r="R931" s="4">
        <v>40.739503999999997</v>
      </c>
      <c r="S931" s="4">
        <v>-73.984018000000006</v>
      </c>
      <c r="T931" s="2">
        <v>44167</v>
      </c>
      <c r="U931" t="s">
        <v>49</v>
      </c>
      <c r="V931" t="s">
        <v>71</v>
      </c>
      <c r="W931" t="s">
        <v>51</v>
      </c>
      <c r="X931" s="4">
        <v>39</v>
      </c>
      <c r="Y931" s="4">
        <v>7</v>
      </c>
      <c r="Z931" s="4">
        <v>279</v>
      </c>
      <c r="AA931" s="4">
        <v>1</v>
      </c>
      <c r="AC931" s="4">
        <v>1</v>
      </c>
      <c r="AD931" s="4">
        <v>326</v>
      </c>
      <c r="AF931" s="4">
        <v>1</v>
      </c>
      <c r="AL931" s="4">
        <v>327</v>
      </c>
      <c r="AN931" s="4">
        <v>327</v>
      </c>
      <c r="AO931" s="4">
        <v>327</v>
      </c>
    </row>
    <row r="932" spans="1:41" hidden="1" x14ac:dyDescent="0.2">
      <c r="A932" t="s">
        <v>1765</v>
      </c>
      <c r="B932" t="s">
        <v>1766</v>
      </c>
      <c r="C932" s="2">
        <v>42732</v>
      </c>
      <c r="D932" s="2">
        <v>43465</v>
      </c>
      <c r="E932" s="3">
        <v>1220</v>
      </c>
      <c r="F932" t="s">
        <v>1767</v>
      </c>
      <c r="G932" t="s">
        <v>106</v>
      </c>
      <c r="H932" t="s">
        <v>45</v>
      </c>
      <c r="I932" s="3">
        <v>10029</v>
      </c>
      <c r="J932" s="3">
        <v>1016820050</v>
      </c>
      <c r="K932" s="3">
        <v>1052863</v>
      </c>
      <c r="L932" t="s">
        <v>153</v>
      </c>
      <c r="M932" s="4">
        <v>8</v>
      </c>
      <c r="N932" t="s">
        <v>151</v>
      </c>
      <c r="O932" t="s">
        <v>155</v>
      </c>
      <c r="P932" s="4">
        <v>40.793669999999999</v>
      </c>
      <c r="Q932" s="4">
        <v>-73.940200000000004</v>
      </c>
      <c r="R932" s="4">
        <v>40.793522000000003</v>
      </c>
      <c r="S932" s="4">
        <v>-73.939912000000007</v>
      </c>
      <c r="T932" s="2">
        <v>43189</v>
      </c>
      <c r="U932" t="s">
        <v>49</v>
      </c>
      <c r="V932" t="s">
        <v>71</v>
      </c>
      <c r="W932" t="s">
        <v>51</v>
      </c>
      <c r="Y932" s="4">
        <v>2</v>
      </c>
      <c r="Z932" s="4">
        <v>10</v>
      </c>
      <c r="AC932" s="4">
        <v>1</v>
      </c>
      <c r="AD932" s="4">
        <v>8</v>
      </c>
      <c r="AF932" s="4">
        <v>5</v>
      </c>
      <c r="AL932" s="4">
        <v>13</v>
      </c>
      <c r="AN932" s="4">
        <v>13</v>
      </c>
      <c r="AO932" s="4">
        <v>13</v>
      </c>
    </row>
    <row r="933" spans="1:41" hidden="1" x14ac:dyDescent="0.2">
      <c r="A933" t="s">
        <v>1765</v>
      </c>
      <c r="B933" t="s">
        <v>1766</v>
      </c>
      <c r="C933" s="2">
        <v>42732</v>
      </c>
      <c r="D933" s="2">
        <v>43465</v>
      </c>
      <c r="E933" s="3">
        <v>1222</v>
      </c>
      <c r="F933" t="s">
        <v>1768</v>
      </c>
      <c r="G933" t="s">
        <v>106</v>
      </c>
      <c r="H933" t="s">
        <v>45</v>
      </c>
      <c r="I933" s="3">
        <v>10029</v>
      </c>
      <c r="J933" s="3">
        <v>1016610021</v>
      </c>
      <c r="K933" s="3">
        <v>1052501</v>
      </c>
      <c r="L933" t="s">
        <v>153</v>
      </c>
      <c r="M933" s="4">
        <v>8</v>
      </c>
      <c r="N933" t="s">
        <v>151</v>
      </c>
      <c r="O933" t="s">
        <v>155</v>
      </c>
      <c r="P933" s="4">
        <v>40.793961000000003</v>
      </c>
      <c r="Q933" s="4">
        <v>-73.940011999999996</v>
      </c>
      <c r="R933" s="4">
        <v>40.794027</v>
      </c>
      <c r="S933" s="4">
        <v>-73.940304999999995</v>
      </c>
      <c r="T933" s="2">
        <v>43465</v>
      </c>
      <c r="U933" t="s">
        <v>49</v>
      </c>
      <c r="V933" t="s">
        <v>71</v>
      </c>
      <c r="W933" t="s">
        <v>51</v>
      </c>
      <c r="Y933" s="4">
        <v>2</v>
      </c>
      <c r="Z933" s="4">
        <v>1</v>
      </c>
      <c r="AC933" s="4">
        <v>1</v>
      </c>
      <c r="AE933" s="4">
        <v>1</v>
      </c>
      <c r="AF933" s="4">
        <v>1</v>
      </c>
      <c r="AG933" s="4">
        <v>2</v>
      </c>
      <c r="AL933" s="4">
        <v>4</v>
      </c>
      <c r="AN933" s="4">
        <v>4</v>
      </c>
      <c r="AO933" s="4">
        <v>4</v>
      </c>
    </row>
    <row r="934" spans="1:41" hidden="1" x14ac:dyDescent="0.2">
      <c r="A934" t="s">
        <v>1765</v>
      </c>
      <c r="B934" t="s">
        <v>1766</v>
      </c>
      <c r="C934" s="2">
        <v>42732</v>
      </c>
      <c r="D934" s="2">
        <v>43465</v>
      </c>
      <c r="E934" s="3">
        <v>1225</v>
      </c>
      <c r="F934" t="s">
        <v>1769</v>
      </c>
      <c r="G934" t="s">
        <v>106</v>
      </c>
      <c r="H934" t="s">
        <v>45</v>
      </c>
      <c r="I934" s="3">
        <v>10029</v>
      </c>
      <c r="J934" s="3">
        <v>1016830002</v>
      </c>
      <c r="K934" s="3">
        <v>1052867</v>
      </c>
      <c r="L934" t="s">
        <v>153</v>
      </c>
      <c r="M934" s="4">
        <v>8</v>
      </c>
      <c r="N934" t="s">
        <v>151</v>
      </c>
      <c r="O934" t="s">
        <v>155</v>
      </c>
      <c r="P934" s="4">
        <v>40.793978000000003</v>
      </c>
      <c r="Q934" s="4">
        <v>-73.939976000000001</v>
      </c>
      <c r="R934" s="4">
        <v>40.793861999999997</v>
      </c>
      <c r="S934" s="4">
        <v>-73.939712999999998</v>
      </c>
      <c r="T934" s="2">
        <v>43343</v>
      </c>
      <c r="U934" t="s">
        <v>49</v>
      </c>
      <c r="V934" t="s">
        <v>71</v>
      </c>
      <c r="W934" t="s">
        <v>51</v>
      </c>
      <c r="Y934" s="4">
        <v>1</v>
      </c>
      <c r="Z934" s="4">
        <v>2</v>
      </c>
      <c r="AG934" s="4">
        <v>3</v>
      </c>
      <c r="AL934" s="4">
        <v>3</v>
      </c>
      <c r="AN934" s="4">
        <v>3</v>
      </c>
      <c r="AO934" s="4">
        <v>3</v>
      </c>
    </row>
    <row r="935" spans="1:41" hidden="1" x14ac:dyDescent="0.2">
      <c r="A935" t="s">
        <v>1765</v>
      </c>
      <c r="B935" t="s">
        <v>1766</v>
      </c>
      <c r="C935" s="2">
        <v>42732</v>
      </c>
      <c r="D935" s="2">
        <v>43465</v>
      </c>
      <c r="E935" s="3">
        <v>1273</v>
      </c>
      <c r="F935" t="s">
        <v>1770</v>
      </c>
      <c r="G935" t="s">
        <v>106</v>
      </c>
      <c r="H935" t="s">
        <v>45</v>
      </c>
      <c r="I935" s="3">
        <v>10035</v>
      </c>
      <c r="J935" s="3">
        <v>1016890002</v>
      </c>
      <c r="K935" s="3">
        <v>1052984</v>
      </c>
      <c r="L935" t="s">
        <v>153</v>
      </c>
      <c r="M935" s="4">
        <v>8</v>
      </c>
      <c r="N935" t="s">
        <v>290</v>
      </c>
      <c r="O935" t="s">
        <v>155</v>
      </c>
      <c r="P935" s="4">
        <v>40.797868000000001</v>
      </c>
      <c r="Q935" s="4">
        <v>-73.937134</v>
      </c>
      <c r="R935" s="4">
        <v>40.797747000000001</v>
      </c>
      <c r="S935" s="4">
        <v>-73.936841000000001</v>
      </c>
      <c r="T935" s="2">
        <v>43373</v>
      </c>
      <c r="U935" t="s">
        <v>49</v>
      </c>
      <c r="V935" t="s">
        <v>71</v>
      </c>
      <c r="W935" t="s">
        <v>51</v>
      </c>
      <c r="Y935" s="4">
        <v>6</v>
      </c>
      <c r="Z935" s="4">
        <v>3</v>
      </c>
      <c r="AD935" s="4">
        <v>4</v>
      </c>
      <c r="AE935" s="4">
        <v>1</v>
      </c>
      <c r="AF935" s="4">
        <v>4</v>
      </c>
      <c r="AL935" s="4">
        <v>9</v>
      </c>
      <c r="AN935" s="4">
        <v>9</v>
      </c>
      <c r="AO935" s="4">
        <v>9</v>
      </c>
    </row>
    <row r="936" spans="1:41" hidden="1" x14ac:dyDescent="0.2">
      <c r="A936" t="s">
        <v>1765</v>
      </c>
      <c r="B936" t="s">
        <v>1766</v>
      </c>
      <c r="C936" s="2">
        <v>42732</v>
      </c>
      <c r="D936" s="2">
        <v>43465</v>
      </c>
      <c r="E936" s="3">
        <v>1280</v>
      </c>
      <c r="F936" t="s">
        <v>1771</v>
      </c>
      <c r="G936" t="s">
        <v>106</v>
      </c>
      <c r="H936" t="s">
        <v>45</v>
      </c>
      <c r="I936" s="3">
        <v>10035</v>
      </c>
      <c r="J936" s="3">
        <v>1016670025</v>
      </c>
      <c r="K936" s="3">
        <v>1052623</v>
      </c>
      <c r="L936" t="s">
        <v>153</v>
      </c>
      <c r="M936" s="4">
        <v>8</v>
      </c>
      <c r="N936" t="s">
        <v>290</v>
      </c>
      <c r="O936" t="s">
        <v>155</v>
      </c>
      <c r="P936" s="4">
        <v>40.797997000000002</v>
      </c>
      <c r="Q936" s="4">
        <v>-73.937061</v>
      </c>
      <c r="R936" s="4">
        <v>40.798158999999998</v>
      </c>
      <c r="S936" s="4">
        <v>-73.937357000000006</v>
      </c>
      <c r="T936" s="2">
        <v>43343</v>
      </c>
      <c r="U936" t="s">
        <v>49</v>
      </c>
      <c r="V936" t="s">
        <v>71</v>
      </c>
      <c r="W936" t="s">
        <v>51</v>
      </c>
      <c r="Y936" s="4">
        <v>8</v>
      </c>
      <c r="Z936" s="4">
        <v>2</v>
      </c>
      <c r="AC936" s="4">
        <v>1</v>
      </c>
      <c r="AE936" s="4">
        <v>1</v>
      </c>
      <c r="AF936" s="4">
        <v>10</v>
      </c>
      <c r="AL936" s="4">
        <v>11</v>
      </c>
      <c r="AN936" s="4">
        <v>11</v>
      </c>
      <c r="AO936" s="4">
        <v>11</v>
      </c>
    </row>
    <row r="937" spans="1:41" hidden="1" x14ac:dyDescent="0.2">
      <c r="A937" t="s">
        <v>1765</v>
      </c>
      <c r="B937" t="s">
        <v>1766</v>
      </c>
      <c r="C937" s="2">
        <v>42732</v>
      </c>
      <c r="D937" s="2">
        <v>43465</v>
      </c>
      <c r="E937" s="3">
        <v>1311</v>
      </c>
      <c r="F937" t="s">
        <v>1772</v>
      </c>
      <c r="G937" t="s">
        <v>106</v>
      </c>
      <c r="H937" t="s">
        <v>45</v>
      </c>
      <c r="I937" s="3">
        <v>10035</v>
      </c>
      <c r="J937" s="3">
        <v>1017960054</v>
      </c>
      <c r="K937" s="3">
        <v>1054775</v>
      </c>
      <c r="L937" t="s">
        <v>153</v>
      </c>
      <c r="M937" s="4">
        <v>8</v>
      </c>
      <c r="N937" t="s">
        <v>374</v>
      </c>
      <c r="O937" t="s">
        <v>155</v>
      </c>
      <c r="P937" s="4">
        <v>40.799191</v>
      </c>
      <c r="Q937" s="4">
        <v>-73.936165000000003</v>
      </c>
      <c r="R937" s="4">
        <v>40.799157999999998</v>
      </c>
      <c r="S937" s="4">
        <v>-73.935835999999995</v>
      </c>
      <c r="T937" s="2">
        <v>43343</v>
      </c>
      <c r="U937" t="s">
        <v>49</v>
      </c>
      <c r="V937" t="s">
        <v>71</v>
      </c>
      <c r="W937" t="s">
        <v>51</v>
      </c>
      <c r="Y937" s="4">
        <v>3</v>
      </c>
      <c r="AF937" s="4">
        <v>3</v>
      </c>
      <c r="AL937" s="4">
        <v>3</v>
      </c>
      <c r="AN937" s="4">
        <v>3</v>
      </c>
      <c r="AO937" s="4">
        <v>3</v>
      </c>
    </row>
    <row r="938" spans="1:41" hidden="1" x14ac:dyDescent="0.2">
      <c r="A938" t="s">
        <v>1765</v>
      </c>
      <c r="B938" t="s">
        <v>1766</v>
      </c>
      <c r="C938" s="2">
        <v>42732</v>
      </c>
      <c r="D938" s="2">
        <v>43465</v>
      </c>
      <c r="E938" s="3">
        <v>1323</v>
      </c>
      <c r="F938" t="s">
        <v>1773</v>
      </c>
      <c r="G938" t="s">
        <v>106</v>
      </c>
      <c r="H938" t="s">
        <v>45</v>
      </c>
      <c r="I938" s="3">
        <v>10035</v>
      </c>
      <c r="J938" s="3">
        <v>1017850025</v>
      </c>
      <c r="K938" s="3">
        <v>1054588</v>
      </c>
      <c r="L938" t="s">
        <v>153</v>
      </c>
      <c r="M938" s="4">
        <v>8</v>
      </c>
      <c r="N938" t="s">
        <v>374</v>
      </c>
      <c r="O938" t="s">
        <v>155</v>
      </c>
      <c r="P938" s="4">
        <v>40.799767000000003</v>
      </c>
      <c r="Q938" s="4">
        <v>-73.935740999999993</v>
      </c>
      <c r="R938" s="4">
        <v>40.799984000000002</v>
      </c>
      <c r="S938" s="4">
        <v>-73.936019000000002</v>
      </c>
      <c r="T938" s="2">
        <v>43465</v>
      </c>
      <c r="U938" t="s">
        <v>49</v>
      </c>
      <c r="V938" t="s">
        <v>71</v>
      </c>
      <c r="W938" t="s">
        <v>51</v>
      </c>
      <c r="Y938" s="4">
        <v>7</v>
      </c>
      <c r="Z938" s="4">
        <v>2</v>
      </c>
      <c r="AD938" s="4">
        <v>1</v>
      </c>
      <c r="AE938" s="4">
        <v>4</v>
      </c>
      <c r="AF938" s="4">
        <v>4</v>
      </c>
      <c r="AL938" s="4">
        <v>9</v>
      </c>
      <c r="AN938" s="4">
        <v>9</v>
      </c>
      <c r="AO938" s="4">
        <v>9</v>
      </c>
    </row>
    <row r="939" spans="1:41" hidden="1" x14ac:dyDescent="0.2">
      <c r="A939" t="s">
        <v>1765</v>
      </c>
      <c r="B939" t="s">
        <v>1766</v>
      </c>
      <c r="C939" s="2">
        <v>42732</v>
      </c>
      <c r="D939" s="2">
        <v>43465</v>
      </c>
      <c r="E939" s="3">
        <v>19024</v>
      </c>
      <c r="F939" t="s">
        <v>1251</v>
      </c>
      <c r="G939" t="s">
        <v>1162</v>
      </c>
      <c r="H939" t="s">
        <v>45</v>
      </c>
      <c r="I939" s="3">
        <v>10029</v>
      </c>
      <c r="J939" s="3">
        <v>1016320046</v>
      </c>
      <c r="K939" s="3">
        <v>1051974</v>
      </c>
      <c r="L939" t="s">
        <v>153</v>
      </c>
      <c r="M939" s="4">
        <v>8</v>
      </c>
      <c r="N939" t="s">
        <v>468</v>
      </c>
      <c r="O939" t="s">
        <v>267</v>
      </c>
      <c r="P939" s="4">
        <v>40.791305000000001</v>
      </c>
      <c r="Q939" s="4">
        <v>-73.946161000000004</v>
      </c>
      <c r="R939" s="4">
        <v>40.791096000000003</v>
      </c>
      <c r="S939" s="4">
        <v>-73.946236999999996</v>
      </c>
      <c r="T939" s="2">
        <v>43404</v>
      </c>
      <c r="U939" t="s">
        <v>49</v>
      </c>
      <c r="V939" t="s">
        <v>71</v>
      </c>
      <c r="W939" t="s">
        <v>51</v>
      </c>
      <c r="Y939" s="4">
        <v>4</v>
      </c>
      <c r="Z939" s="4">
        <v>1</v>
      </c>
      <c r="AD939" s="4">
        <v>2</v>
      </c>
      <c r="AE939" s="4">
        <v>1</v>
      </c>
      <c r="AF939" s="4">
        <v>2</v>
      </c>
      <c r="AL939" s="4">
        <v>5</v>
      </c>
      <c r="AN939" s="4">
        <v>5</v>
      </c>
      <c r="AO939" s="4">
        <v>5</v>
      </c>
    </row>
    <row r="940" spans="1:41" hidden="1" x14ac:dyDescent="0.2">
      <c r="A940" t="s">
        <v>1765</v>
      </c>
      <c r="B940" t="s">
        <v>1766</v>
      </c>
      <c r="C940" s="2">
        <v>42732</v>
      </c>
      <c r="D940" s="2">
        <v>43465</v>
      </c>
      <c r="E940" s="3">
        <v>19198</v>
      </c>
      <c r="F940" t="s">
        <v>135</v>
      </c>
      <c r="G940" t="s">
        <v>1774</v>
      </c>
      <c r="H940" t="s">
        <v>45</v>
      </c>
      <c r="I940" s="3">
        <v>10029</v>
      </c>
      <c r="J940" s="3">
        <v>1016150009</v>
      </c>
      <c r="K940" s="3">
        <v>1051598</v>
      </c>
      <c r="L940" t="s">
        <v>153</v>
      </c>
      <c r="M940" s="4">
        <v>9</v>
      </c>
      <c r="N940" t="s">
        <v>578</v>
      </c>
      <c r="O940" t="s">
        <v>267</v>
      </c>
      <c r="P940" s="4">
        <v>40.795870000000001</v>
      </c>
      <c r="Q940" s="4">
        <v>-73.948847999999998</v>
      </c>
      <c r="R940" s="4">
        <v>40.796092999999999</v>
      </c>
      <c r="S940" s="4">
        <v>-73.948804999999993</v>
      </c>
      <c r="T940" s="2">
        <v>43343</v>
      </c>
      <c r="U940" t="s">
        <v>49</v>
      </c>
      <c r="V940" t="s">
        <v>71</v>
      </c>
      <c r="W940" t="s">
        <v>51</v>
      </c>
      <c r="X940" s="4">
        <v>1</v>
      </c>
      <c r="Y940" s="4">
        <v>14</v>
      </c>
      <c r="Z940" s="4">
        <v>9</v>
      </c>
      <c r="AD940" s="4">
        <v>7</v>
      </c>
      <c r="AE940" s="4">
        <v>17</v>
      </c>
      <c r="AL940" s="4">
        <v>24</v>
      </c>
      <c r="AN940" s="4">
        <v>24</v>
      </c>
      <c r="AO940" s="4">
        <v>24</v>
      </c>
    </row>
    <row r="941" spans="1:41" hidden="1" x14ac:dyDescent="0.2">
      <c r="A941" t="s">
        <v>1765</v>
      </c>
      <c r="B941" t="s">
        <v>1766</v>
      </c>
      <c r="C941" s="2">
        <v>42732</v>
      </c>
      <c r="D941" s="2">
        <v>43465</v>
      </c>
      <c r="E941" s="3">
        <v>19200</v>
      </c>
      <c r="F941" t="s">
        <v>1610</v>
      </c>
      <c r="G941" t="s">
        <v>1774</v>
      </c>
      <c r="H941" t="s">
        <v>45</v>
      </c>
      <c r="I941" s="3">
        <v>10029</v>
      </c>
      <c r="J941" s="3">
        <v>1016150010</v>
      </c>
      <c r="K941" s="3">
        <v>1051599</v>
      </c>
      <c r="L941" t="s">
        <v>153</v>
      </c>
      <c r="M941" s="4">
        <v>9</v>
      </c>
      <c r="N941" t="s">
        <v>578</v>
      </c>
      <c r="O941" t="s">
        <v>267</v>
      </c>
      <c r="P941" s="4">
        <v>40.795831999999997</v>
      </c>
      <c r="Q941" s="4">
        <v>-73.948757999999998</v>
      </c>
      <c r="R941" s="4">
        <v>40.796042999999997</v>
      </c>
      <c r="S941" s="4">
        <v>-73.948689000000002</v>
      </c>
      <c r="T941" s="2">
        <v>43343</v>
      </c>
      <c r="U941" t="s">
        <v>49</v>
      </c>
      <c r="V941" t="s">
        <v>71</v>
      </c>
      <c r="W941" t="s">
        <v>51</v>
      </c>
      <c r="X941" s="4">
        <v>1</v>
      </c>
      <c r="Y941" s="4">
        <v>12</v>
      </c>
      <c r="Z941" s="4">
        <v>9</v>
      </c>
      <c r="AC941" s="4">
        <v>2</v>
      </c>
      <c r="AD941" s="4">
        <v>7</v>
      </c>
      <c r="AE941" s="4">
        <v>17</v>
      </c>
      <c r="AL941" s="4">
        <v>24</v>
      </c>
      <c r="AN941" s="4">
        <v>24</v>
      </c>
      <c r="AO941" s="4">
        <v>24</v>
      </c>
    </row>
    <row r="942" spans="1:41" hidden="1" x14ac:dyDescent="0.2">
      <c r="A942" t="s">
        <v>1765</v>
      </c>
      <c r="B942" t="s">
        <v>1766</v>
      </c>
      <c r="C942" s="2">
        <v>42732</v>
      </c>
      <c r="D942" s="2">
        <v>43465</v>
      </c>
      <c r="E942" s="3">
        <v>19208</v>
      </c>
      <c r="F942" t="s">
        <v>1237</v>
      </c>
      <c r="G942" t="s">
        <v>1774</v>
      </c>
      <c r="H942" t="s">
        <v>45</v>
      </c>
      <c r="I942" s="3">
        <v>10029</v>
      </c>
      <c r="J942" s="3">
        <v>1016140063</v>
      </c>
      <c r="K942" s="3">
        <v>1051592</v>
      </c>
      <c r="L942" t="s">
        <v>153</v>
      </c>
      <c r="M942" s="4">
        <v>9</v>
      </c>
      <c r="N942" t="s">
        <v>578</v>
      </c>
      <c r="O942" t="s">
        <v>267</v>
      </c>
      <c r="P942" s="4">
        <v>40.795817999999997</v>
      </c>
      <c r="Q942" s="4">
        <v>-73.948768999999999</v>
      </c>
      <c r="R942" s="4">
        <v>40.795653999999999</v>
      </c>
      <c r="S942" s="4">
        <v>-73.948953000000003</v>
      </c>
      <c r="T942" s="2">
        <v>43434</v>
      </c>
      <c r="U942" t="s">
        <v>49</v>
      </c>
      <c r="V942" t="s">
        <v>71</v>
      </c>
      <c r="W942" t="s">
        <v>51</v>
      </c>
      <c r="Y942" s="4">
        <v>3</v>
      </c>
      <c r="Z942" s="4">
        <v>7</v>
      </c>
      <c r="AF942" s="4">
        <v>10</v>
      </c>
      <c r="AL942" s="4">
        <v>10</v>
      </c>
      <c r="AN942" s="4">
        <v>10</v>
      </c>
      <c r="AO942" s="4">
        <v>10</v>
      </c>
    </row>
    <row r="943" spans="1:41" hidden="1" x14ac:dyDescent="0.2">
      <c r="A943" t="s">
        <v>1765</v>
      </c>
      <c r="B943" t="s">
        <v>1766</v>
      </c>
      <c r="C943" s="2">
        <v>42732</v>
      </c>
      <c r="D943" s="2">
        <v>43465</v>
      </c>
      <c r="E943" s="3">
        <v>19221</v>
      </c>
      <c r="F943" t="s">
        <v>785</v>
      </c>
      <c r="G943" t="s">
        <v>1774</v>
      </c>
      <c r="H943" t="s">
        <v>45</v>
      </c>
      <c r="I943" s="3">
        <v>10029</v>
      </c>
      <c r="J943" s="3">
        <v>1016140062</v>
      </c>
      <c r="K943" s="3">
        <v>1051591</v>
      </c>
      <c r="L943" t="s">
        <v>153</v>
      </c>
      <c r="M943" s="4">
        <v>9</v>
      </c>
      <c r="N943" t="s">
        <v>578</v>
      </c>
      <c r="O943" t="s">
        <v>267</v>
      </c>
      <c r="P943" s="4">
        <v>40.795799000000002</v>
      </c>
      <c r="Q943" s="4">
        <v>-73.948725999999994</v>
      </c>
      <c r="R943" s="4">
        <v>40.795622999999999</v>
      </c>
      <c r="S943" s="4">
        <v>-73.948874000000004</v>
      </c>
      <c r="T943" s="2">
        <v>43434</v>
      </c>
      <c r="U943" t="s">
        <v>49</v>
      </c>
      <c r="V943" t="s">
        <v>71</v>
      </c>
      <c r="W943" t="s">
        <v>51</v>
      </c>
      <c r="Y943" s="4">
        <v>6</v>
      </c>
      <c r="Z943" s="4">
        <v>4</v>
      </c>
      <c r="AD943" s="4">
        <v>1</v>
      </c>
      <c r="AF943" s="4">
        <v>9</v>
      </c>
      <c r="AL943" s="4">
        <v>10</v>
      </c>
      <c r="AN943" s="4">
        <v>10</v>
      </c>
      <c r="AO943" s="4">
        <v>10</v>
      </c>
    </row>
    <row r="944" spans="1:41" hidden="1" x14ac:dyDescent="0.2">
      <c r="A944" t="s">
        <v>1765</v>
      </c>
      <c r="B944" t="s">
        <v>1766</v>
      </c>
      <c r="C944" s="2">
        <v>42732</v>
      </c>
      <c r="D944" s="2">
        <v>43465</v>
      </c>
      <c r="E944" s="3">
        <v>19231</v>
      </c>
      <c r="F944" t="s">
        <v>576</v>
      </c>
      <c r="G944" t="s">
        <v>1774</v>
      </c>
      <c r="H944" t="s">
        <v>45</v>
      </c>
      <c r="I944" s="3">
        <v>10029</v>
      </c>
      <c r="J944" s="3">
        <v>1016140060</v>
      </c>
      <c r="K944" s="3">
        <v>1051589</v>
      </c>
      <c r="L944" t="s">
        <v>153</v>
      </c>
      <c r="M944" s="4">
        <v>9</v>
      </c>
      <c r="N944" t="s">
        <v>578</v>
      </c>
      <c r="O944" t="s">
        <v>267</v>
      </c>
      <c r="P944" s="4">
        <v>40.795760000000001</v>
      </c>
      <c r="Q944" s="4">
        <v>-73.948634999999996</v>
      </c>
      <c r="R944" s="4">
        <v>40.795544</v>
      </c>
      <c r="S944" s="4">
        <v>-73.948685999999995</v>
      </c>
      <c r="T944" s="2">
        <v>43343</v>
      </c>
      <c r="U944" t="s">
        <v>49</v>
      </c>
      <c r="V944" t="s">
        <v>71</v>
      </c>
      <c r="W944" t="s">
        <v>51</v>
      </c>
      <c r="X944" s="4">
        <v>4</v>
      </c>
      <c r="Y944" s="4">
        <v>8</v>
      </c>
      <c r="Z944" s="4">
        <v>3</v>
      </c>
      <c r="AE944" s="4">
        <v>6</v>
      </c>
      <c r="AF944" s="4">
        <v>4</v>
      </c>
      <c r="AG944" s="4">
        <v>5</v>
      </c>
      <c r="AL944" s="4">
        <v>15</v>
      </c>
      <c r="AN944" s="4">
        <v>15</v>
      </c>
      <c r="AO944" s="4">
        <v>15</v>
      </c>
    </row>
    <row r="945" spans="1:41" hidden="1" x14ac:dyDescent="0.2">
      <c r="A945" t="s">
        <v>1765</v>
      </c>
      <c r="B945" t="s">
        <v>1766</v>
      </c>
      <c r="C945" s="2">
        <v>42732</v>
      </c>
      <c r="D945" s="2">
        <v>43465</v>
      </c>
      <c r="E945" s="3">
        <v>19233</v>
      </c>
      <c r="F945" t="s">
        <v>1010</v>
      </c>
      <c r="G945" t="s">
        <v>1774</v>
      </c>
      <c r="H945" t="s">
        <v>45</v>
      </c>
      <c r="I945" s="3">
        <v>10029</v>
      </c>
      <c r="J945" s="3">
        <v>1016140058</v>
      </c>
      <c r="K945" s="3">
        <v>1051588</v>
      </c>
      <c r="L945" t="s">
        <v>153</v>
      </c>
      <c r="M945" s="4">
        <v>9</v>
      </c>
      <c r="N945" t="s">
        <v>578</v>
      </c>
      <c r="O945" t="s">
        <v>267</v>
      </c>
      <c r="P945" s="4">
        <v>40.795741</v>
      </c>
      <c r="Q945" s="4">
        <v>-73.948592000000005</v>
      </c>
      <c r="R945" s="4">
        <v>40.795499999999997</v>
      </c>
      <c r="S945" s="4">
        <v>-73.948584999999994</v>
      </c>
      <c r="T945" s="2">
        <v>43404</v>
      </c>
      <c r="U945" t="s">
        <v>49</v>
      </c>
      <c r="V945" t="s">
        <v>71</v>
      </c>
      <c r="W945" t="s">
        <v>51</v>
      </c>
      <c r="Y945" s="4">
        <v>8</v>
      </c>
      <c r="Z945" s="4">
        <v>7</v>
      </c>
      <c r="AE945" s="4">
        <v>6</v>
      </c>
      <c r="AF945" s="4">
        <v>8</v>
      </c>
      <c r="AG945" s="4">
        <v>1</v>
      </c>
      <c r="AL945" s="4">
        <v>15</v>
      </c>
      <c r="AN945" s="4">
        <v>15</v>
      </c>
      <c r="AO945" s="4">
        <v>15</v>
      </c>
    </row>
    <row r="946" spans="1:41" hidden="1" x14ac:dyDescent="0.2">
      <c r="A946" t="s">
        <v>1765</v>
      </c>
      <c r="B946" t="s">
        <v>1766</v>
      </c>
      <c r="C946" s="2">
        <v>42732</v>
      </c>
      <c r="D946" s="2">
        <v>43465</v>
      </c>
      <c r="E946" s="3">
        <v>19235</v>
      </c>
      <c r="F946" t="s">
        <v>944</v>
      </c>
      <c r="G946" t="s">
        <v>1774</v>
      </c>
      <c r="H946" t="s">
        <v>45</v>
      </c>
      <c r="I946" s="3">
        <v>10029</v>
      </c>
      <c r="J946" s="3">
        <v>1016140057</v>
      </c>
      <c r="K946" s="3">
        <v>1051587</v>
      </c>
      <c r="L946" t="s">
        <v>153</v>
      </c>
      <c r="M946" s="4">
        <v>9</v>
      </c>
      <c r="N946" t="s">
        <v>578</v>
      </c>
      <c r="O946" t="s">
        <v>267</v>
      </c>
      <c r="P946" s="4">
        <v>40.795721999999998</v>
      </c>
      <c r="Q946" s="4">
        <v>-73.948544999999996</v>
      </c>
      <c r="R946" s="4">
        <v>40.795458000000004</v>
      </c>
      <c r="S946" s="4">
        <v>-73.948487</v>
      </c>
      <c r="T946" s="2">
        <v>43343</v>
      </c>
      <c r="U946" t="s">
        <v>49</v>
      </c>
      <c r="V946" t="s">
        <v>71</v>
      </c>
      <c r="W946" t="s">
        <v>51</v>
      </c>
      <c r="Y946" s="4">
        <v>7</v>
      </c>
      <c r="Z946" s="4">
        <v>7</v>
      </c>
      <c r="AD946" s="4">
        <v>4</v>
      </c>
      <c r="AF946" s="4">
        <v>10</v>
      </c>
      <c r="AL946" s="4">
        <v>14</v>
      </c>
      <c r="AN946" s="4">
        <v>14</v>
      </c>
      <c r="AO946" s="4">
        <v>14</v>
      </c>
    </row>
    <row r="947" spans="1:41" hidden="1" x14ac:dyDescent="0.2">
      <c r="A947" t="s">
        <v>1765</v>
      </c>
      <c r="B947" t="s">
        <v>1766</v>
      </c>
      <c r="C947" s="2">
        <v>42732</v>
      </c>
      <c r="D947" s="2">
        <v>43465</v>
      </c>
      <c r="E947" s="3">
        <v>19299</v>
      </c>
      <c r="F947" t="s">
        <v>785</v>
      </c>
      <c r="G947" t="s">
        <v>1090</v>
      </c>
      <c r="H947" t="s">
        <v>45</v>
      </c>
      <c r="I947" s="3">
        <v>10029</v>
      </c>
      <c r="J947" s="3">
        <v>1016150060</v>
      </c>
      <c r="K947" s="3">
        <v>1051606</v>
      </c>
      <c r="L947" t="s">
        <v>153</v>
      </c>
      <c r="M947" s="4">
        <v>9</v>
      </c>
      <c r="N947" t="s">
        <v>578</v>
      </c>
      <c r="O947" t="s">
        <v>267</v>
      </c>
      <c r="P947" s="4">
        <v>40.796435000000002</v>
      </c>
      <c r="Q947" s="4">
        <v>-73.948273999999998</v>
      </c>
      <c r="R947" s="4">
        <v>40.796267999999998</v>
      </c>
      <c r="S947" s="4">
        <v>-73.948447000000002</v>
      </c>
      <c r="T947" s="2">
        <v>43404</v>
      </c>
      <c r="U947" t="s">
        <v>49</v>
      </c>
      <c r="V947" t="s">
        <v>71</v>
      </c>
      <c r="W947" t="s">
        <v>51</v>
      </c>
      <c r="Y947" s="4">
        <v>31</v>
      </c>
      <c r="Z947" s="4">
        <v>28</v>
      </c>
      <c r="AC947" s="4">
        <v>1</v>
      </c>
      <c r="AD947" s="4">
        <v>14</v>
      </c>
      <c r="AE947" s="4">
        <v>25</v>
      </c>
      <c r="AF947" s="4">
        <v>16</v>
      </c>
      <c r="AG947" s="4">
        <v>5</v>
      </c>
      <c r="AL947" s="4">
        <v>60</v>
      </c>
      <c r="AN947" s="4">
        <v>60</v>
      </c>
      <c r="AO947" s="4">
        <v>60</v>
      </c>
    </row>
    <row r="948" spans="1:41" hidden="1" x14ac:dyDescent="0.2">
      <c r="A948" t="s">
        <v>1765</v>
      </c>
      <c r="B948" t="s">
        <v>1766</v>
      </c>
      <c r="C948" s="2">
        <v>42732</v>
      </c>
      <c r="D948" s="2">
        <v>43465</v>
      </c>
      <c r="E948" s="3">
        <v>19381</v>
      </c>
      <c r="F948" t="s">
        <v>313</v>
      </c>
      <c r="G948" t="s">
        <v>1308</v>
      </c>
      <c r="H948" t="s">
        <v>45</v>
      </c>
      <c r="I948" s="3">
        <v>10029</v>
      </c>
      <c r="J948" s="3">
        <v>1016600043</v>
      </c>
      <c r="K948" s="3">
        <v>1052483</v>
      </c>
      <c r="L948" t="s">
        <v>153</v>
      </c>
      <c r="M948" s="4">
        <v>8</v>
      </c>
      <c r="N948" t="s">
        <v>151</v>
      </c>
      <c r="O948" t="s">
        <v>155</v>
      </c>
      <c r="P948" s="4">
        <v>40.794528</v>
      </c>
      <c r="Q948" s="4">
        <v>-73.941824999999994</v>
      </c>
      <c r="R948" s="4">
        <v>40.794305000000001</v>
      </c>
      <c r="S948" s="4">
        <v>-73.941865000000007</v>
      </c>
      <c r="T948" s="2">
        <v>43131</v>
      </c>
      <c r="U948" t="s">
        <v>49</v>
      </c>
      <c r="V948" t="s">
        <v>71</v>
      </c>
      <c r="W948" t="s">
        <v>51</v>
      </c>
      <c r="Y948" s="4">
        <v>7</v>
      </c>
      <c r="Z948" s="4">
        <v>1</v>
      </c>
      <c r="AD948" s="4">
        <v>1</v>
      </c>
      <c r="AE948" s="4">
        <v>7</v>
      </c>
      <c r="AL948" s="4">
        <v>8</v>
      </c>
      <c r="AN948" s="4">
        <v>8</v>
      </c>
      <c r="AO948" s="4">
        <v>8</v>
      </c>
    </row>
    <row r="949" spans="1:41" hidden="1" x14ac:dyDescent="0.2">
      <c r="A949" t="s">
        <v>1765</v>
      </c>
      <c r="B949" t="s">
        <v>1766</v>
      </c>
      <c r="C949" s="2">
        <v>42732</v>
      </c>
      <c r="D949" s="2">
        <v>43465</v>
      </c>
      <c r="E949" s="3">
        <v>19410</v>
      </c>
      <c r="F949" t="s">
        <v>390</v>
      </c>
      <c r="G949" t="s">
        <v>1308</v>
      </c>
      <c r="H949" t="s">
        <v>45</v>
      </c>
      <c r="I949" s="3">
        <v>10029</v>
      </c>
      <c r="J949" s="3">
        <v>1016830006</v>
      </c>
      <c r="K949" s="3">
        <v>1052871</v>
      </c>
      <c r="L949" t="s">
        <v>153</v>
      </c>
      <c r="M949" s="4">
        <v>8</v>
      </c>
      <c r="N949" t="s">
        <v>151</v>
      </c>
      <c r="O949" t="s">
        <v>155</v>
      </c>
      <c r="P949" s="4">
        <v>40.793650999999997</v>
      </c>
      <c r="Q949" s="4">
        <v>-73.939684</v>
      </c>
      <c r="R949" s="4">
        <v>40.793747000000003</v>
      </c>
      <c r="S949" s="4">
        <v>-73.939358999999996</v>
      </c>
      <c r="T949" s="2">
        <v>43434</v>
      </c>
      <c r="U949" t="s">
        <v>49</v>
      </c>
      <c r="V949" t="s">
        <v>71</v>
      </c>
      <c r="W949" t="s">
        <v>51</v>
      </c>
      <c r="Y949" s="4">
        <v>6</v>
      </c>
      <c r="Z949" s="4">
        <v>2</v>
      </c>
      <c r="AD949" s="4">
        <v>1</v>
      </c>
      <c r="AE949" s="4">
        <v>7</v>
      </c>
      <c r="AL949" s="4">
        <v>8</v>
      </c>
      <c r="AN949" s="4">
        <v>8</v>
      </c>
      <c r="AO949" s="4">
        <v>8</v>
      </c>
    </row>
    <row r="950" spans="1:41" hidden="1" x14ac:dyDescent="0.2">
      <c r="A950" t="s">
        <v>1765</v>
      </c>
      <c r="B950" t="s">
        <v>1766</v>
      </c>
      <c r="C950" s="2">
        <v>42732</v>
      </c>
      <c r="D950" s="2">
        <v>43465</v>
      </c>
      <c r="E950" s="3">
        <v>19466</v>
      </c>
      <c r="F950" t="s">
        <v>1083</v>
      </c>
      <c r="G950" t="s">
        <v>639</v>
      </c>
      <c r="H950" t="s">
        <v>45</v>
      </c>
      <c r="I950" s="3">
        <v>10029</v>
      </c>
      <c r="J950" s="3">
        <v>1016830036</v>
      </c>
      <c r="K950" s="3">
        <v>1052885</v>
      </c>
      <c r="L950" t="s">
        <v>153</v>
      </c>
      <c r="M950" s="4">
        <v>8</v>
      </c>
      <c r="N950" t="s">
        <v>151</v>
      </c>
      <c r="O950" t="s">
        <v>155</v>
      </c>
      <c r="P950" s="4">
        <v>40.793883000000001</v>
      </c>
      <c r="Q950" s="4">
        <v>-73.938256999999993</v>
      </c>
      <c r="R950" s="4">
        <v>40.793672000000001</v>
      </c>
      <c r="S950" s="4">
        <v>-73.938405000000003</v>
      </c>
      <c r="T950" s="2">
        <v>43251</v>
      </c>
      <c r="U950" t="s">
        <v>49</v>
      </c>
      <c r="V950" t="s">
        <v>71</v>
      </c>
      <c r="W950" t="s">
        <v>51</v>
      </c>
      <c r="Y950" s="4">
        <v>6</v>
      </c>
      <c r="Z950" s="4">
        <v>8</v>
      </c>
      <c r="AD950" s="4">
        <v>10</v>
      </c>
      <c r="AG950" s="4">
        <v>4</v>
      </c>
      <c r="AL950" s="4">
        <v>14</v>
      </c>
      <c r="AN950" s="4">
        <v>14</v>
      </c>
      <c r="AO950" s="4">
        <v>14</v>
      </c>
    </row>
    <row r="951" spans="1:41" hidden="1" x14ac:dyDescent="0.2">
      <c r="A951" t="s">
        <v>1765</v>
      </c>
      <c r="B951" t="s">
        <v>1766</v>
      </c>
      <c r="C951" s="2">
        <v>42732</v>
      </c>
      <c r="D951" s="2">
        <v>43465</v>
      </c>
      <c r="E951" s="3">
        <v>19469</v>
      </c>
      <c r="F951" t="s">
        <v>1114</v>
      </c>
      <c r="G951" t="s">
        <v>639</v>
      </c>
      <c r="H951" t="s">
        <v>45</v>
      </c>
      <c r="I951" s="3">
        <v>10029</v>
      </c>
      <c r="J951" s="3">
        <v>1016830031</v>
      </c>
      <c r="K951" s="3">
        <v>1052883</v>
      </c>
      <c r="L951" t="s">
        <v>153</v>
      </c>
      <c r="M951" s="4">
        <v>8</v>
      </c>
      <c r="N951" t="s">
        <v>151</v>
      </c>
      <c r="O951" t="s">
        <v>155</v>
      </c>
      <c r="P951" s="4">
        <v>40.793745999999999</v>
      </c>
      <c r="Q951" s="4">
        <v>-73.937928999999997</v>
      </c>
      <c r="R951" s="4">
        <v>40.793480000000002</v>
      </c>
      <c r="S951" s="4">
        <v>-73.937950999999998</v>
      </c>
      <c r="T951" s="2">
        <v>43251</v>
      </c>
      <c r="U951" t="s">
        <v>49</v>
      </c>
      <c r="V951" t="s">
        <v>71</v>
      </c>
      <c r="W951" t="s">
        <v>51</v>
      </c>
      <c r="Y951" s="4">
        <v>10</v>
      </c>
      <c r="Z951" s="4">
        <v>8</v>
      </c>
      <c r="AD951" s="4">
        <v>7</v>
      </c>
      <c r="AE951" s="4">
        <v>5</v>
      </c>
      <c r="AG951" s="4">
        <v>6</v>
      </c>
      <c r="AL951" s="4">
        <v>18</v>
      </c>
      <c r="AN951" s="4">
        <v>18</v>
      </c>
      <c r="AO951" s="4">
        <v>18</v>
      </c>
    </row>
    <row r="952" spans="1:41" hidden="1" x14ac:dyDescent="0.2">
      <c r="A952" t="s">
        <v>1765</v>
      </c>
      <c r="B952" t="s">
        <v>1766</v>
      </c>
      <c r="C952" s="2">
        <v>42732</v>
      </c>
      <c r="D952" s="2">
        <v>43465</v>
      </c>
      <c r="E952" s="3">
        <v>19568</v>
      </c>
      <c r="F952" t="s">
        <v>1775</v>
      </c>
      <c r="G952" t="s">
        <v>758</v>
      </c>
      <c r="H952" t="s">
        <v>45</v>
      </c>
      <c r="I952" s="3">
        <v>10029</v>
      </c>
      <c r="J952" s="3">
        <v>1017090007</v>
      </c>
      <c r="K952" s="3">
        <v>1053044</v>
      </c>
      <c r="L952" t="s">
        <v>153</v>
      </c>
      <c r="M952" s="4">
        <v>8</v>
      </c>
      <c r="N952" t="s">
        <v>364</v>
      </c>
      <c r="O952" t="s">
        <v>155</v>
      </c>
      <c r="P952" s="4">
        <v>40.795087000000002</v>
      </c>
      <c r="Q952" s="4">
        <v>-73.935340999999994</v>
      </c>
      <c r="R952" s="4">
        <v>40.795209999999997</v>
      </c>
      <c r="S952" s="4">
        <v>-73.935038000000006</v>
      </c>
      <c r="T952" s="2">
        <v>43343</v>
      </c>
      <c r="U952" t="s">
        <v>49</v>
      </c>
      <c r="V952" t="s">
        <v>71</v>
      </c>
      <c r="W952" t="s">
        <v>51</v>
      </c>
      <c r="Y952" s="4">
        <v>16</v>
      </c>
      <c r="Z952" s="4">
        <v>14</v>
      </c>
      <c r="AD952" s="4">
        <v>13</v>
      </c>
      <c r="AE952" s="4">
        <v>3</v>
      </c>
      <c r="AF952" s="4">
        <v>11</v>
      </c>
      <c r="AG952" s="4">
        <v>3</v>
      </c>
      <c r="AL952" s="4">
        <v>30</v>
      </c>
      <c r="AN952" s="4">
        <v>30</v>
      </c>
      <c r="AO952" s="4">
        <v>30</v>
      </c>
    </row>
    <row r="953" spans="1:41" hidden="1" x14ac:dyDescent="0.2">
      <c r="A953" t="s">
        <v>1765</v>
      </c>
      <c r="B953" t="s">
        <v>1766</v>
      </c>
      <c r="C953" s="2">
        <v>42732</v>
      </c>
      <c r="D953" s="2">
        <v>43465</v>
      </c>
      <c r="E953" s="3">
        <v>19572</v>
      </c>
      <c r="F953" t="s">
        <v>1776</v>
      </c>
      <c r="G953" t="s">
        <v>758</v>
      </c>
      <c r="H953" t="s">
        <v>45</v>
      </c>
      <c r="I953" s="3">
        <v>10029</v>
      </c>
      <c r="J953" s="3">
        <v>1017080039</v>
      </c>
      <c r="K953" s="3">
        <v>1053028</v>
      </c>
      <c r="L953" t="s">
        <v>153</v>
      </c>
      <c r="M953" s="4">
        <v>8</v>
      </c>
      <c r="N953" t="s">
        <v>364</v>
      </c>
      <c r="O953" t="s">
        <v>155</v>
      </c>
      <c r="P953" s="4">
        <v>40.795017999999999</v>
      </c>
      <c r="Q953" s="4">
        <v>-73.935221999999996</v>
      </c>
      <c r="R953" s="4">
        <v>40.794766000000003</v>
      </c>
      <c r="S953" s="4">
        <v>-73.935147000000001</v>
      </c>
      <c r="T953" s="2">
        <v>43404</v>
      </c>
      <c r="U953" t="s">
        <v>49</v>
      </c>
      <c r="V953" t="s">
        <v>71</v>
      </c>
      <c r="W953" t="s">
        <v>51</v>
      </c>
      <c r="Y953" s="4">
        <v>5</v>
      </c>
      <c r="Z953" s="4">
        <v>3</v>
      </c>
      <c r="AD953" s="4">
        <v>4</v>
      </c>
      <c r="AE953" s="4">
        <v>1</v>
      </c>
      <c r="AF953" s="4">
        <v>3</v>
      </c>
      <c r="AL953" s="4">
        <v>8</v>
      </c>
      <c r="AN953" s="4">
        <v>8</v>
      </c>
      <c r="AO953" s="4">
        <v>8</v>
      </c>
    </row>
    <row r="954" spans="1:41" hidden="1" x14ac:dyDescent="0.2">
      <c r="A954" t="s">
        <v>1765</v>
      </c>
      <c r="B954" t="s">
        <v>1766</v>
      </c>
      <c r="C954" s="2">
        <v>42732</v>
      </c>
      <c r="D954" s="2">
        <v>43465</v>
      </c>
      <c r="E954" s="3">
        <v>19573</v>
      </c>
      <c r="F954" t="s">
        <v>1777</v>
      </c>
      <c r="G954" t="s">
        <v>758</v>
      </c>
      <c r="H954" t="s">
        <v>45</v>
      </c>
      <c r="I954" s="3">
        <v>10029</v>
      </c>
      <c r="J954" s="3">
        <v>1017090010</v>
      </c>
      <c r="K954" s="3">
        <v>1053046</v>
      </c>
      <c r="L954" t="s">
        <v>153</v>
      </c>
      <c r="M954" s="4">
        <v>8</v>
      </c>
      <c r="N954" t="s">
        <v>364</v>
      </c>
      <c r="O954" t="s">
        <v>155</v>
      </c>
      <c r="P954" s="4">
        <v>40.795031999999999</v>
      </c>
      <c r="Q954" s="4">
        <v>-73.935210999999995</v>
      </c>
      <c r="R954" s="4">
        <v>40.795119</v>
      </c>
      <c r="S954" s="4">
        <v>-73.934856999999994</v>
      </c>
      <c r="T954" s="2">
        <v>43373</v>
      </c>
      <c r="U954" t="s">
        <v>49</v>
      </c>
      <c r="V954" t="s">
        <v>71</v>
      </c>
      <c r="W954" t="s">
        <v>51</v>
      </c>
      <c r="Y954" s="4">
        <v>15</v>
      </c>
      <c r="Z954" s="4">
        <v>3</v>
      </c>
      <c r="AD954" s="4">
        <v>12</v>
      </c>
      <c r="AF954" s="4">
        <v>6</v>
      </c>
      <c r="AL954" s="4">
        <v>18</v>
      </c>
      <c r="AN954" s="4">
        <v>18</v>
      </c>
      <c r="AO954" s="4">
        <v>18</v>
      </c>
    </row>
    <row r="955" spans="1:41" hidden="1" x14ac:dyDescent="0.2">
      <c r="A955" t="s">
        <v>1765</v>
      </c>
      <c r="B955" t="s">
        <v>1766</v>
      </c>
      <c r="C955" s="2">
        <v>42732</v>
      </c>
      <c r="D955" s="2">
        <v>43465</v>
      </c>
      <c r="E955" s="3">
        <v>19576</v>
      </c>
      <c r="F955" t="s">
        <v>1217</v>
      </c>
      <c r="G955" t="s">
        <v>758</v>
      </c>
      <c r="H955" t="s">
        <v>45</v>
      </c>
      <c r="I955" s="3">
        <v>10029</v>
      </c>
      <c r="J955" s="3">
        <v>1017080036</v>
      </c>
      <c r="K955" s="3">
        <v>1053026</v>
      </c>
      <c r="L955" t="s">
        <v>153</v>
      </c>
      <c r="M955" s="4">
        <v>8</v>
      </c>
      <c r="N955" t="s">
        <v>364</v>
      </c>
      <c r="O955" t="s">
        <v>155</v>
      </c>
      <c r="P955" s="4">
        <v>40.794991000000003</v>
      </c>
      <c r="Q955" s="4">
        <v>-73.935157000000004</v>
      </c>
      <c r="R955" s="4">
        <v>40.79468</v>
      </c>
      <c r="S955" s="4">
        <v>-73.934948000000006</v>
      </c>
      <c r="T955" s="2">
        <v>43465</v>
      </c>
      <c r="U955" t="s">
        <v>49</v>
      </c>
      <c r="V955" t="s">
        <v>71</v>
      </c>
      <c r="W955" t="s">
        <v>51</v>
      </c>
      <c r="Y955" s="4">
        <v>13</v>
      </c>
      <c r="Z955" s="4">
        <v>10</v>
      </c>
      <c r="AC955" s="4">
        <v>1</v>
      </c>
      <c r="AE955" s="4">
        <v>6</v>
      </c>
      <c r="AF955" s="4">
        <v>18</v>
      </c>
      <c r="AL955" s="4">
        <v>24</v>
      </c>
      <c r="AN955" s="4">
        <v>24</v>
      </c>
      <c r="AO955" s="4">
        <v>24</v>
      </c>
    </row>
    <row r="956" spans="1:41" hidden="1" x14ac:dyDescent="0.2">
      <c r="A956" t="s">
        <v>1765</v>
      </c>
      <c r="B956" t="s">
        <v>1766</v>
      </c>
      <c r="C956" s="2">
        <v>42732</v>
      </c>
      <c r="D956" s="2">
        <v>43465</v>
      </c>
      <c r="E956" s="3">
        <v>19578</v>
      </c>
      <c r="F956" t="s">
        <v>1778</v>
      </c>
      <c r="G956" t="s">
        <v>758</v>
      </c>
      <c r="H956" t="s">
        <v>45</v>
      </c>
      <c r="I956" s="3">
        <v>10029</v>
      </c>
      <c r="J956" s="3">
        <v>1017090013</v>
      </c>
      <c r="K956" s="3">
        <v>1053048</v>
      </c>
      <c r="L956" t="s">
        <v>153</v>
      </c>
      <c r="M956" s="4">
        <v>8</v>
      </c>
      <c r="N956" t="s">
        <v>364</v>
      </c>
      <c r="O956" t="s">
        <v>155</v>
      </c>
      <c r="P956" s="4">
        <v>40.794992999999998</v>
      </c>
      <c r="Q956" s="4">
        <v>-73.935113999999999</v>
      </c>
      <c r="R956" s="4">
        <v>40.795077999999997</v>
      </c>
      <c r="S956" s="4">
        <v>-73.934647999999996</v>
      </c>
      <c r="T956" s="2">
        <v>43343</v>
      </c>
      <c r="U956" t="s">
        <v>49</v>
      </c>
      <c r="V956" t="s">
        <v>71</v>
      </c>
      <c r="W956" t="s">
        <v>51</v>
      </c>
      <c r="Y956" s="4">
        <v>11</v>
      </c>
      <c r="Z956" s="4">
        <v>13</v>
      </c>
      <c r="AD956" s="4">
        <v>7</v>
      </c>
      <c r="AF956" s="4">
        <v>17</v>
      </c>
      <c r="AL956" s="4">
        <v>24</v>
      </c>
      <c r="AN956" s="4">
        <v>24</v>
      </c>
      <c r="AO956" s="4">
        <v>24</v>
      </c>
    </row>
    <row r="957" spans="1:41" hidden="1" x14ac:dyDescent="0.2">
      <c r="A957" t="s">
        <v>1765</v>
      </c>
      <c r="B957" t="s">
        <v>1766</v>
      </c>
      <c r="C957" s="2">
        <v>42732</v>
      </c>
      <c r="D957" s="2">
        <v>43465</v>
      </c>
      <c r="E957" s="3">
        <v>19638</v>
      </c>
      <c r="F957" t="s">
        <v>470</v>
      </c>
      <c r="G957" t="s">
        <v>1410</v>
      </c>
      <c r="H957" t="s">
        <v>45</v>
      </c>
      <c r="I957" s="3">
        <v>10029</v>
      </c>
      <c r="J957" s="3">
        <v>1016440026</v>
      </c>
      <c r="K957" s="3">
        <v>1052293</v>
      </c>
      <c r="L957" t="s">
        <v>153</v>
      </c>
      <c r="M957" s="4">
        <v>8</v>
      </c>
      <c r="N957" t="s">
        <v>335</v>
      </c>
      <c r="O957" t="s">
        <v>155</v>
      </c>
      <c r="P957" s="4">
        <v>40.798375</v>
      </c>
      <c r="Q957" s="4">
        <v>-73.941016000000005</v>
      </c>
      <c r="R957" s="4">
        <v>40.798617</v>
      </c>
      <c r="S957" s="4">
        <v>-73.940864000000005</v>
      </c>
      <c r="T957" s="2">
        <v>43373</v>
      </c>
      <c r="U957" t="s">
        <v>49</v>
      </c>
      <c r="V957" t="s">
        <v>71</v>
      </c>
      <c r="W957" t="s">
        <v>51</v>
      </c>
      <c r="Y957" s="4">
        <v>1</v>
      </c>
      <c r="Z957" s="4">
        <v>2</v>
      </c>
      <c r="AE957" s="4">
        <v>3</v>
      </c>
      <c r="AL957" s="4">
        <v>3</v>
      </c>
      <c r="AN957" s="4">
        <v>3</v>
      </c>
      <c r="AO957" s="4">
        <v>3</v>
      </c>
    </row>
    <row r="958" spans="1:41" hidden="1" x14ac:dyDescent="0.2">
      <c r="A958" t="s">
        <v>1765</v>
      </c>
      <c r="B958" t="s">
        <v>1766</v>
      </c>
      <c r="C958" s="2">
        <v>42732</v>
      </c>
      <c r="D958" s="2">
        <v>43465</v>
      </c>
      <c r="E958" s="3">
        <v>19698</v>
      </c>
      <c r="F958" t="s">
        <v>1779</v>
      </c>
      <c r="G958" t="s">
        <v>1410</v>
      </c>
      <c r="H958" t="s">
        <v>45</v>
      </c>
      <c r="I958" s="3">
        <v>10029</v>
      </c>
      <c r="J958" s="3">
        <v>1016870043</v>
      </c>
      <c r="K958" s="3">
        <v>1052926</v>
      </c>
      <c r="L958" t="s">
        <v>153</v>
      </c>
      <c r="M958" s="4">
        <v>8</v>
      </c>
      <c r="N958" t="s">
        <v>290</v>
      </c>
      <c r="O958" t="s">
        <v>155</v>
      </c>
      <c r="P958" s="4">
        <v>40.796712999999997</v>
      </c>
      <c r="Q958" s="4">
        <v>-73.937101999999996</v>
      </c>
      <c r="R958" s="4">
        <v>40.796374999999998</v>
      </c>
      <c r="S958" s="4">
        <v>-73.937022999999996</v>
      </c>
      <c r="T958" s="2">
        <v>43434</v>
      </c>
      <c r="U958" t="s">
        <v>49</v>
      </c>
      <c r="V958" t="s">
        <v>71</v>
      </c>
      <c r="W958" t="s">
        <v>51</v>
      </c>
      <c r="Y958" s="4">
        <v>7</v>
      </c>
      <c r="Z958" s="4">
        <v>2</v>
      </c>
      <c r="AD958" s="4">
        <v>3</v>
      </c>
      <c r="AF958" s="4">
        <v>6</v>
      </c>
      <c r="AL958" s="4">
        <v>9</v>
      </c>
      <c r="AN958" s="4">
        <v>9</v>
      </c>
      <c r="AO958" s="4">
        <v>9</v>
      </c>
    </row>
    <row r="959" spans="1:41" hidden="1" x14ac:dyDescent="0.2">
      <c r="A959" t="s">
        <v>1765</v>
      </c>
      <c r="B959" t="s">
        <v>1766</v>
      </c>
      <c r="C959" s="2">
        <v>42732</v>
      </c>
      <c r="D959" s="2">
        <v>43465</v>
      </c>
      <c r="E959" s="3">
        <v>19787</v>
      </c>
      <c r="F959" t="s">
        <v>524</v>
      </c>
      <c r="G959" t="s">
        <v>289</v>
      </c>
      <c r="H959" t="s">
        <v>45</v>
      </c>
      <c r="I959" s="3">
        <v>10035</v>
      </c>
      <c r="J959" s="3">
        <v>1016440068</v>
      </c>
      <c r="K959" s="3">
        <v>1052319</v>
      </c>
      <c r="L959" t="s">
        <v>153</v>
      </c>
      <c r="M959" s="4">
        <v>8</v>
      </c>
      <c r="N959" t="s">
        <v>335</v>
      </c>
      <c r="O959" t="s">
        <v>155</v>
      </c>
      <c r="P959" s="4">
        <v>40.799717999999999</v>
      </c>
      <c r="Q959" s="4">
        <v>-73.942133999999996</v>
      </c>
      <c r="R959" s="4">
        <v>40.799562000000002</v>
      </c>
      <c r="S959" s="4">
        <v>-73.942329999999998</v>
      </c>
      <c r="T959" s="2">
        <v>43251</v>
      </c>
      <c r="U959" t="s">
        <v>49</v>
      </c>
      <c r="V959" t="s">
        <v>71</v>
      </c>
      <c r="W959" t="s">
        <v>51</v>
      </c>
      <c r="Y959" s="4">
        <v>9</v>
      </c>
      <c r="Z959" s="4">
        <v>1</v>
      </c>
      <c r="AD959" s="4">
        <v>1</v>
      </c>
      <c r="AE959" s="4">
        <v>9</v>
      </c>
      <c r="AL959" s="4">
        <v>10</v>
      </c>
      <c r="AN959" s="4">
        <v>10</v>
      </c>
      <c r="AO959" s="4">
        <v>10</v>
      </c>
    </row>
    <row r="960" spans="1:41" hidden="1" x14ac:dyDescent="0.2">
      <c r="A960" t="s">
        <v>1765</v>
      </c>
      <c r="B960" t="s">
        <v>1766</v>
      </c>
      <c r="C960" s="2">
        <v>42732</v>
      </c>
      <c r="D960" s="2">
        <v>43465</v>
      </c>
      <c r="E960" s="3">
        <v>19793</v>
      </c>
      <c r="F960" t="s">
        <v>94</v>
      </c>
      <c r="G960" t="s">
        <v>289</v>
      </c>
      <c r="H960" t="s">
        <v>45</v>
      </c>
      <c r="I960" s="3">
        <v>10035</v>
      </c>
      <c r="J960" s="3">
        <v>1016440164</v>
      </c>
      <c r="K960" s="3">
        <v>1052331</v>
      </c>
      <c r="L960" t="s">
        <v>153</v>
      </c>
      <c r="M960" s="4">
        <v>8</v>
      </c>
      <c r="N960" t="s">
        <v>335</v>
      </c>
      <c r="O960" t="s">
        <v>155</v>
      </c>
      <c r="P960" s="4">
        <v>40.799644000000001</v>
      </c>
      <c r="Q960" s="4">
        <v>-73.941961000000006</v>
      </c>
      <c r="R960" s="4">
        <v>40.799441000000002</v>
      </c>
      <c r="S960" s="4">
        <v>-73.942048</v>
      </c>
      <c r="T960" s="2">
        <v>43251</v>
      </c>
      <c r="U960" t="s">
        <v>49</v>
      </c>
      <c r="V960" t="s">
        <v>71</v>
      </c>
      <c r="W960" t="s">
        <v>51</v>
      </c>
      <c r="Y960" s="4">
        <v>4</v>
      </c>
      <c r="Z960" s="4">
        <v>1</v>
      </c>
      <c r="AF960" s="4">
        <v>5</v>
      </c>
      <c r="AL960" s="4">
        <v>5</v>
      </c>
      <c r="AN960" s="4">
        <v>5</v>
      </c>
      <c r="AO960" s="4">
        <v>5</v>
      </c>
    </row>
    <row r="961" spans="1:41" hidden="1" x14ac:dyDescent="0.2">
      <c r="A961" t="s">
        <v>1765</v>
      </c>
      <c r="B961" t="s">
        <v>1766</v>
      </c>
      <c r="C961" s="2">
        <v>42732</v>
      </c>
      <c r="D961" s="2">
        <v>43465</v>
      </c>
      <c r="E961" s="3">
        <v>19799</v>
      </c>
      <c r="F961" t="s">
        <v>128</v>
      </c>
      <c r="G961" t="s">
        <v>289</v>
      </c>
      <c r="H961" t="s">
        <v>45</v>
      </c>
      <c r="I961" s="3">
        <v>10035</v>
      </c>
      <c r="J961" s="3">
        <v>1016440057</v>
      </c>
      <c r="K961" s="3">
        <v>1052313</v>
      </c>
      <c r="L961" t="s">
        <v>153</v>
      </c>
      <c r="M961" s="4">
        <v>8</v>
      </c>
      <c r="N961" t="s">
        <v>335</v>
      </c>
      <c r="O961" t="s">
        <v>155</v>
      </c>
      <c r="P961" s="4">
        <v>40.799460000000003</v>
      </c>
      <c r="Q961" s="4">
        <v>-73.941528000000005</v>
      </c>
      <c r="R961" s="4">
        <v>40.799204000000003</v>
      </c>
      <c r="S961" s="4">
        <v>-73.941485</v>
      </c>
      <c r="T961" s="2">
        <v>43251</v>
      </c>
      <c r="U961" t="s">
        <v>49</v>
      </c>
      <c r="V961" t="s">
        <v>71</v>
      </c>
      <c r="W961" t="s">
        <v>51</v>
      </c>
      <c r="Y961" s="4">
        <v>4</v>
      </c>
      <c r="AD961" s="4">
        <v>1</v>
      </c>
      <c r="AE961" s="4">
        <v>3</v>
      </c>
      <c r="AL961" s="4">
        <v>4</v>
      </c>
      <c r="AN961" s="4">
        <v>4</v>
      </c>
      <c r="AO961" s="4">
        <v>4</v>
      </c>
    </row>
    <row r="962" spans="1:41" hidden="1" x14ac:dyDescent="0.2">
      <c r="A962" t="s">
        <v>1765</v>
      </c>
      <c r="B962" t="s">
        <v>1766</v>
      </c>
      <c r="C962" s="2">
        <v>42732</v>
      </c>
      <c r="D962" s="2">
        <v>43465</v>
      </c>
      <c r="E962" s="3">
        <v>19808</v>
      </c>
      <c r="F962" t="s">
        <v>658</v>
      </c>
      <c r="G962" t="s">
        <v>289</v>
      </c>
      <c r="H962" t="s">
        <v>45</v>
      </c>
      <c r="I962" s="3">
        <v>10035</v>
      </c>
      <c r="J962" s="3">
        <v>1016450124</v>
      </c>
      <c r="K962" s="3">
        <v>1052360</v>
      </c>
      <c r="L962" t="s">
        <v>153</v>
      </c>
      <c r="M962" s="4">
        <v>8</v>
      </c>
      <c r="N962" t="s">
        <v>335</v>
      </c>
      <c r="O962" t="s">
        <v>155</v>
      </c>
      <c r="P962" s="4">
        <v>40.799104999999997</v>
      </c>
      <c r="Q962" s="4">
        <v>-73.940640000000002</v>
      </c>
      <c r="R962" s="4">
        <v>40.799278000000001</v>
      </c>
      <c r="S962" s="4">
        <v>-73.940483999999998</v>
      </c>
      <c r="T962" s="2">
        <v>43251</v>
      </c>
      <c r="U962" t="s">
        <v>49</v>
      </c>
      <c r="V962" t="s">
        <v>71</v>
      </c>
      <c r="W962" t="s">
        <v>51</v>
      </c>
      <c r="Y962" s="4">
        <v>3</v>
      </c>
      <c r="AE962" s="4">
        <v>2</v>
      </c>
      <c r="AG962" s="4">
        <v>1</v>
      </c>
      <c r="AL962" s="4">
        <v>3</v>
      </c>
      <c r="AN962" s="4">
        <v>3</v>
      </c>
      <c r="AO962" s="4">
        <v>3</v>
      </c>
    </row>
    <row r="963" spans="1:41" hidden="1" x14ac:dyDescent="0.2">
      <c r="A963" t="s">
        <v>1765</v>
      </c>
      <c r="B963" t="s">
        <v>1766</v>
      </c>
      <c r="C963" s="2">
        <v>42732</v>
      </c>
      <c r="D963" s="2">
        <v>43465</v>
      </c>
      <c r="E963" s="3">
        <v>19843</v>
      </c>
      <c r="F963" t="s">
        <v>313</v>
      </c>
      <c r="G963" t="s">
        <v>289</v>
      </c>
      <c r="H963" t="s">
        <v>45</v>
      </c>
      <c r="I963" s="3">
        <v>10035</v>
      </c>
      <c r="J963" s="3">
        <v>1016660041</v>
      </c>
      <c r="K963" s="3">
        <v>1052594</v>
      </c>
      <c r="L963" t="s">
        <v>153</v>
      </c>
      <c r="M963" s="4">
        <v>8</v>
      </c>
      <c r="N963" t="s">
        <v>290</v>
      </c>
      <c r="O963" t="s">
        <v>155</v>
      </c>
      <c r="P963" s="4">
        <v>40.798395999999997</v>
      </c>
      <c r="Q963" s="4">
        <v>-73.938997000000001</v>
      </c>
      <c r="R963" s="4">
        <v>40.798155000000001</v>
      </c>
      <c r="S963" s="4">
        <v>-73.939001000000005</v>
      </c>
      <c r="T963" s="2">
        <v>43131</v>
      </c>
      <c r="U963" t="s">
        <v>49</v>
      </c>
      <c r="V963" t="s">
        <v>71</v>
      </c>
      <c r="W963" t="s">
        <v>51</v>
      </c>
      <c r="X963" s="4">
        <v>1</v>
      </c>
      <c r="Y963" s="4">
        <v>3</v>
      </c>
      <c r="Z963" s="4">
        <v>10</v>
      </c>
      <c r="AE963" s="4">
        <v>3</v>
      </c>
      <c r="AF963" s="4">
        <v>1</v>
      </c>
      <c r="AG963" s="4">
        <v>8</v>
      </c>
      <c r="AH963" s="4">
        <v>2</v>
      </c>
      <c r="AL963" s="4">
        <v>14</v>
      </c>
      <c r="AN963" s="4">
        <v>14</v>
      </c>
      <c r="AO963" s="4">
        <v>14</v>
      </c>
    </row>
    <row r="964" spans="1:41" hidden="1" x14ac:dyDescent="0.2">
      <c r="A964" t="s">
        <v>1765</v>
      </c>
      <c r="B964" t="s">
        <v>1766</v>
      </c>
      <c r="C964" s="2">
        <v>42732</v>
      </c>
      <c r="D964" s="2">
        <v>43465</v>
      </c>
      <c r="E964" s="3">
        <v>20135</v>
      </c>
      <c r="F964" t="s">
        <v>62</v>
      </c>
      <c r="G964" t="s">
        <v>1296</v>
      </c>
      <c r="H964" t="s">
        <v>45</v>
      </c>
      <c r="I964" s="3">
        <v>10035</v>
      </c>
      <c r="J964" s="3">
        <v>1017830042</v>
      </c>
      <c r="K964" s="3">
        <v>1054541</v>
      </c>
      <c r="L964" t="s">
        <v>153</v>
      </c>
      <c r="M964" s="4">
        <v>8</v>
      </c>
      <c r="N964" t="s">
        <v>290</v>
      </c>
      <c r="O964" t="s">
        <v>155</v>
      </c>
      <c r="P964" s="4">
        <v>40.799672000000001</v>
      </c>
      <c r="Q964" s="4">
        <v>-73.938092999999995</v>
      </c>
      <c r="R964" s="4">
        <v>40.799408</v>
      </c>
      <c r="S964" s="4">
        <v>-73.938074999999998</v>
      </c>
      <c r="T964" s="2">
        <v>43434</v>
      </c>
      <c r="U964" t="s">
        <v>49</v>
      </c>
      <c r="V964" t="s">
        <v>71</v>
      </c>
      <c r="W964" t="s">
        <v>51</v>
      </c>
      <c r="Y964" s="4">
        <v>10</v>
      </c>
      <c r="Z964" s="4">
        <v>3</v>
      </c>
      <c r="AD964" s="4">
        <v>8</v>
      </c>
      <c r="AE964" s="4">
        <v>4</v>
      </c>
      <c r="AF964" s="4">
        <v>1</v>
      </c>
      <c r="AL964" s="4">
        <v>13</v>
      </c>
      <c r="AN964" s="4">
        <v>13</v>
      </c>
      <c r="AO964" s="4">
        <v>13</v>
      </c>
    </row>
    <row r="965" spans="1:41" hidden="1" x14ac:dyDescent="0.2">
      <c r="A965" t="s">
        <v>1765</v>
      </c>
      <c r="B965" t="s">
        <v>1766</v>
      </c>
      <c r="C965" s="2">
        <v>42732</v>
      </c>
      <c r="D965" s="2">
        <v>43465</v>
      </c>
      <c r="E965" s="3">
        <v>20397</v>
      </c>
      <c r="F965" t="s">
        <v>244</v>
      </c>
      <c r="G965" t="s">
        <v>677</v>
      </c>
      <c r="H965" t="s">
        <v>45</v>
      </c>
      <c r="I965" s="3">
        <v>10035</v>
      </c>
      <c r="J965" s="3">
        <v>1017860039</v>
      </c>
      <c r="K965" s="3">
        <v>1079434</v>
      </c>
      <c r="L965" t="s">
        <v>153</v>
      </c>
      <c r="M965" s="4">
        <v>8</v>
      </c>
      <c r="N965" t="s">
        <v>374</v>
      </c>
      <c r="O965" t="s">
        <v>155</v>
      </c>
      <c r="P965" s="4">
        <v>40.801454999999997</v>
      </c>
      <c r="Q965" s="4">
        <v>-73.936513000000005</v>
      </c>
      <c r="R965" s="4">
        <v>40.801158999999998</v>
      </c>
      <c r="S965" s="4">
        <v>-73.936368999999999</v>
      </c>
      <c r="T965" s="2">
        <v>43434</v>
      </c>
      <c r="U965" t="s">
        <v>49</v>
      </c>
      <c r="V965" t="s">
        <v>71</v>
      </c>
      <c r="W965" t="s">
        <v>51</v>
      </c>
      <c r="Y965" s="4">
        <v>4</v>
      </c>
      <c r="AF965" s="4">
        <v>4</v>
      </c>
      <c r="AL965" s="4">
        <v>4</v>
      </c>
      <c r="AN965" s="4">
        <v>4</v>
      </c>
      <c r="AO965" s="4">
        <v>4</v>
      </c>
    </row>
    <row r="966" spans="1:41" hidden="1" x14ac:dyDescent="0.2">
      <c r="A966" t="s">
        <v>1765</v>
      </c>
      <c r="B966" t="s">
        <v>1766</v>
      </c>
      <c r="C966" s="2">
        <v>42732</v>
      </c>
      <c r="D966" s="2">
        <v>43465</v>
      </c>
      <c r="E966" s="3">
        <v>20430</v>
      </c>
      <c r="F966" t="s">
        <v>1452</v>
      </c>
      <c r="G966" t="s">
        <v>494</v>
      </c>
      <c r="H966" t="s">
        <v>45</v>
      </c>
      <c r="I966" s="3">
        <v>10035</v>
      </c>
      <c r="J966" s="3">
        <v>1017720013</v>
      </c>
      <c r="K966" s="3">
        <v>1054430</v>
      </c>
      <c r="L966" t="s">
        <v>153</v>
      </c>
      <c r="M966" s="4">
        <v>9</v>
      </c>
      <c r="N966" t="s">
        <v>154</v>
      </c>
      <c r="O966" t="s">
        <v>155</v>
      </c>
      <c r="P966" s="4">
        <v>40.803286999999997</v>
      </c>
      <c r="Q966" s="4">
        <v>-73.938858999999994</v>
      </c>
      <c r="R966" s="4">
        <v>40.803435</v>
      </c>
      <c r="S966" s="4">
        <v>-73.938648999999998</v>
      </c>
      <c r="T966" s="2">
        <v>43343</v>
      </c>
      <c r="U966" t="s">
        <v>49</v>
      </c>
      <c r="V966" t="s">
        <v>71</v>
      </c>
      <c r="W966" t="s">
        <v>51</v>
      </c>
      <c r="Y966" s="4">
        <v>12</v>
      </c>
      <c r="Z966" s="4">
        <v>5</v>
      </c>
      <c r="AC966" s="4">
        <v>1</v>
      </c>
      <c r="AD966" s="4">
        <v>6</v>
      </c>
      <c r="AE966" s="4">
        <v>1</v>
      </c>
      <c r="AF966" s="4">
        <v>11</v>
      </c>
      <c r="AL966" s="4">
        <v>18</v>
      </c>
      <c r="AN966" s="4">
        <v>18</v>
      </c>
      <c r="AO966" s="4">
        <v>18</v>
      </c>
    </row>
    <row r="967" spans="1:41" hidden="1" x14ac:dyDescent="0.2">
      <c r="A967" t="s">
        <v>1765</v>
      </c>
      <c r="B967" t="s">
        <v>1766</v>
      </c>
      <c r="C967" s="2">
        <v>42732</v>
      </c>
      <c r="D967" s="2">
        <v>43465</v>
      </c>
      <c r="E967" s="3">
        <v>20493</v>
      </c>
      <c r="F967" t="s">
        <v>1780</v>
      </c>
      <c r="G967" t="s">
        <v>373</v>
      </c>
      <c r="H967" t="s">
        <v>45</v>
      </c>
      <c r="I967" s="3">
        <v>10035</v>
      </c>
      <c r="J967" s="3">
        <v>1017720150</v>
      </c>
      <c r="K967" s="3">
        <v>1054457</v>
      </c>
      <c r="L967" t="s">
        <v>153</v>
      </c>
      <c r="M967" s="4">
        <v>8</v>
      </c>
      <c r="N967" t="s">
        <v>154</v>
      </c>
      <c r="O967" t="s">
        <v>155</v>
      </c>
      <c r="P967" s="4">
        <v>40.803502999999999</v>
      </c>
      <c r="Q967" s="4">
        <v>-73.937467999999996</v>
      </c>
      <c r="R967" s="4">
        <v>40.803365999999997</v>
      </c>
      <c r="S967" s="4">
        <v>-73.937714</v>
      </c>
      <c r="T967" s="2">
        <v>43343</v>
      </c>
      <c r="U967" t="s">
        <v>49</v>
      </c>
      <c r="V967" t="s">
        <v>71</v>
      </c>
      <c r="W967" t="s">
        <v>51</v>
      </c>
      <c r="Z967" s="4">
        <v>8</v>
      </c>
      <c r="AD967" s="4">
        <v>8</v>
      </c>
      <c r="AL967" s="4">
        <v>8</v>
      </c>
      <c r="AN967" s="4">
        <v>8</v>
      </c>
      <c r="AO967" s="4">
        <v>8</v>
      </c>
    </row>
    <row r="968" spans="1:41" hidden="1" x14ac:dyDescent="0.2">
      <c r="A968" t="s">
        <v>1765</v>
      </c>
      <c r="B968" t="s">
        <v>1766</v>
      </c>
      <c r="C968" s="2">
        <v>42732</v>
      </c>
      <c r="D968" s="2">
        <v>43465</v>
      </c>
      <c r="E968" s="3">
        <v>20495</v>
      </c>
      <c r="F968" t="s">
        <v>1006</v>
      </c>
      <c r="G968" t="s">
        <v>373</v>
      </c>
      <c r="H968" t="s">
        <v>45</v>
      </c>
      <c r="I968" s="3">
        <v>10035</v>
      </c>
      <c r="J968" s="3">
        <v>1017720050</v>
      </c>
      <c r="K968" s="3">
        <v>1054446</v>
      </c>
      <c r="L968" t="s">
        <v>153</v>
      </c>
      <c r="M968" s="4">
        <v>8</v>
      </c>
      <c r="N968" t="s">
        <v>154</v>
      </c>
      <c r="O968" t="s">
        <v>155</v>
      </c>
      <c r="P968" s="4">
        <v>40.803483999999997</v>
      </c>
      <c r="Q968" s="4">
        <v>-73.937427999999997</v>
      </c>
      <c r="R968" s="4">
        <v>40.803339000000001</v>
      </c>
      <c r="S968" s="4">
        <v>-73.937648999999993</v>
      </c>
      <c r="T968" s="2">
        <v>43404</v>
      </c>
      <c r="U968" t="s">
        <v>49</v>
      </c>
      <c r="V968" t="s">
        <v>71</v>
      </c>
      <c r="W968" t="s">
        <v>51</v>
      </c>
      <c r="Z968" s="4">
        <v>4</v>
      </c>
      <c r="AE968" s="4">
        <v>4</v>
      </c>
      <c r="AL968" s="4">
        <v>4</v>
      </c>
      <c r="AN968" s="4">
        <v>4</v>
      </c>
      <c r="AO968" s="4">
        <v>4</v>
      </c>
    </row>
    <row r="969" spans="1:41" hidden="1" x14ac:dyDescent="0.2">
      <c r="A969" t="s">
        <v>1765</v>
      </c>
      <c r="B969" t="s">
        <v>1766</v>
      </c>
      <c r="C969" s="2">
        <v>42732</v>
      </c>
      <c r="D969" s="2">
        <v>43465</v>
      </c>
      <c r="E969" s="3">
        <v>24002</v>
      </c>
      <c r="F969" t="s">
        <v>1781</v>
      </c>
      <c r="G969" t="s">
        <v>334</v>
      </c>
      <c r="H969" t="s">
        <v>45</v>
      </c>
      <c r="I969" s="3">
        <v>10029</v>
      </c>
      <c r="J969" s="3">
        <v>1016340024</v>
      </c>
      <c r="K969" s="3">
        <v>1052025</v>
      </c>
      <c r="L969" t="s">
        <v>153</v>
      </c>
      <c r="M969" s="4">
        <v>8</v>
      </c>
      <c r="N969" t="s">
        <v>600</v>
      </c>
      <c r="O969" t="s">
        <v>267</v>
      </c>
      <c r="P969" s="4">
        <v>40.792397000000001</v>
      </c>
      <c r="Q969" s="4">
        <v>-73.946156999999999</v>
      </c>
      <c r="R969" s="4">
        <v>40.792284000000002</v>
      </c>
      <c r="S969" s="4">
        <v>-73.945937000000001</v>
      </c>
      <c r="T969" s="2">
        <v>43404</v>
      </c>
      <c r="U969" t="s">
        <v>49</v>
      </c>
      <c r="V969" t="s">
        <v>71</v>
      </c>
      <c r="W969" t="s">
        <v>51</v>
      </c>
      <c r="Y969" s="4">
        <v>5</v>
      </c>
      <c r="Z969" s="4">
        <v>1</v>
      </c>
      <c r="AD969" s="4">
        <v>1</v>
      </c>
      <c r="AE969" s="4">
        <v>5</v>
      </c>
      <c r="AL969" s="4">
        <v>6</v>
      </c>
      <c r="AN969" s="4">
        <v>6</v>
      </c>
      <c r="AO969" s="4">
        <v>6</v>
      </c>
    </row>
    <row r="970" spans="1:41" hidden="1" x14ac:dyDescent="0.2">
      <c r="A970" t="s">
        <v>1765</v>
      </c>
      <c r="B970" t="s">
        <v>1766</v>
      </c>
      <c r="C970" s="2">
        <v>42732</v>
      </c>
      <c r="D970" s="2">
        <v>43465</v>
      </c>
      <c r="E970" s="3">
        <v>24098</v>
      </c>
      <c r="F970" t="s">
        <v>1782</v>
      </c>
      <c r="G970" t="s">
        <v>334</v>
      </c>
      <c r="H970" t="s">
        <v>45</v>
      </c>
      <c r="I970" s="3">
        <v>10035</v>
      </c>
      <c r="J970" s="3">
        <v>1017720055</v>
      </c>
      <c r="K970" s="3">
        <v>1054448</v>
      </c>
      <c r="L970" t="s">
        <v>153</v>
      </c>
      <c r="M970" s="4">
        <v>9</v>
      </c>
      <c r="N970" t="s">
        <v>154</v>
      </c>
      <c r="O970" t="s">
        <v>155</v>
      </c>
      <c r="P970" s="4">
        <v>40.803258999999997</v>
      </c>
      <c r="Q970" s="4">
        <v>-73.938248000000002</v>
      </c>
      <c r="R970" s="4">
        <v>40.803468000000002</v>
      </c>
      <c r="S970" s="4">
        <v>-73.938400000000001</v>
      </c>
      <c r="T970" s="2">
        <v>43465</v>
      </c>
      <c r="U970" t="s">
        <v>49</v>
      </c>
      <c r="V970" t="s">
        <v>71</v>
      </c>
      <c r="W970" t="s">
        <v>51</v>
      </c>
      <c r="X970" s="4">
        <v>1</v>
      </c>
      <c r="Y970" s="4">
        <v>13</v>
      </c>
      <c r="Z970" s="4">
        <v>2</v>
      </c>
      <c r="AE970" s="4">
        <v>4</v>
      </c>
      <c r="AF970" s="4">
        <v>12</v>
      </c>
      <c r="AL970" s="4">
        <v>16</v>
      </c>
      <c r="AN970" s="4">
        <v>16</v>
      </c>
      <c r="AO970" s="4">
        <v>16</v>
      </c>
    </row>
    <row r="971" spans="1:41" hidden="1" x14ac:dyDescent="0.2">
      <c r="A971" t="s">
        <v>1765</v>
      </c>
      <c r="B971" t="s">
        <v>1766</v>
      </c>
      <c r="C971" s="2">
        <v>42732</v>
      </c>
      <c r="D971" s="2">
        <v>43465</v>
      </c>
      <c r="E971" s="3">
        <v>24685</v>
      </c>
      <c r="F971" t="s">
        <v>1783</v>
      </c>
      <c r="G971" t="s">
        <v>191</v>
      </c>
      <c r="H971" t="s">
        <v>45</v>
      </c>
      <c r="I971" s="3">
        <v>10029</v>
      </c>
      <c r="J971" s="3">
        <v>1016140014</v>
      </c>
      <c r="K971" s="3">
        <v>1051581</v>
      </c>
      <c r="L971" t="s">
        <v>153</v>
      </c>
      <c r="M971" s="4">
        <v>9</v>
      </c>
      <c r="N971" t="s">
        <v>578</v>
      </c>
      <c r="O971" t="s">
        <v>267</v>
      </c>
      <c r="P971" s="4">
        <v>40.795008000000003</v>
      </c>
      <c r="Q971" s="4">
        <v>-73.948494999999994</v>
      </c>
      <c r="R971" s="4">
        <v>40.795121000000002</v>
      </c>
      <c r="S971" s="4">
        <v>-73.948736999999994</v>
      </c>
      <c r="T971" s="2">
        <v>43373</v>
      </c>
      <c r="U971" t="s">
        <v>49</v>
      </c>
      <c r="V971" t="s">
        <v>71</v>
      </c>
      <c r="W971" t="s">
        <v>51</v>
      </c>
      <c r="Y971" s="4">
        <v>6</v>
      </c>
      <c r="Z971" s="4">
        <v>2</v>
      </c>
      <c r="AF971" s="4">
        <v>4</v>
      </c>
      <c r="AG971" s="4">
        <v>4</v>
      </c>
      <c r="AL971" s="4">
        <v>8</v>
      </c>
      <c r="AN971" s="4">
        <v>8</v>
      </c>
      <c r="AO971" s="4">
        <v>8</v>
      </c>
    </row>
    <row r="972" spans="1:41" hidden="1" x14ac:dyDescent="0.2">
      <c r="A972" t="s">
        <v>1784</v>
      </c>
      <c r="B972" t="s">
        <v>1785</v>
      </c>
      <c r="C972" s="2">
        <v>42717</v>
      </c>
      <c r="E972" s="3">
        <v>33225</v>
      </c>
      <c r="F972" t="s">
        <v>1620</v>
      </c>
      <c r="G972" t="s">
        <v>77</v>
      </c>
      <c r="H972" t="s">
        <v>45</v>
      </c>
      <c r="I972" s="3">
        <v>10036</v>
      </c>
      <c r="J972" s="3">
        <v>1010740018</v>
      </c>
      <c r="K972" s="3">
        <v>1083791</v>
      </c>
      <c r="L972" t="s">
        <v>78</v>
      </c>
      <c r="M972" s="4">
        <v>3</v>
      </c>
      <c r="N972" t="s">
        <v>202</v>
      </c>
      <c r="O972" t="s">
        <v>80</v>
      </c>
      <c r="P972" s="4">
        <v>40.762107999999998</v>
      </c>
      <c r="Q972" s="4">
        <v>-73.995372000000003</v>
      </c>
      <c r="R972" s="4">
        <v>40.762228</v>
      </c>
      <c r="S972" s="4">
        <v>-73.995097999999999</v>
      </c>
      <c r="U972" t="s">
        <v>49</v>
      </c>
      <c r="V972" t="s">
        <v>71</v>
      </c>
      <c r="W972" t="s">
        <v>51</v>
      </c>
      <c r="X972" s="4">
        <v>3</v>
      </c>
      <c r="Y972" s="4">
        <v>1</v>
      </c>
      <c r="AD972" s="4">
        <v>1</v>
      </c>
      <c r="AE972" s="4">
        <v>1</v>
      </c>
      <c r="AF972" s="4">
        <v>2</v>
      </c>
      <c r="AL972" s="4">
        <v>4</v>
      </c>
      <c r="AN972" s="4">
        <v>4</v>
      </c>
      <c r="AO972" s="4">
        <v>29</v>
      </c>
    </row>
    <row r="973" spans="1:41" hidden="1" x14ac:dyDescent="0.2">
      <c r="A973" t="s">
        <v>1786</v>
      </c>
      <c r="B973" t="s">
        <v>1787</v>
      </c>
      <c r="C973" s="2">
        <v>42690</v>
      </c>
      <c r="D973" s="2">
        <v>43767</v>
      </c>
      <c r="E973" s="3">
        <v>974125</v>
      </c>
      <c r="F973" t="s">
        <v>1788</v>
      </c>
      <c r="G973" t="s">
        <v>1789</v>
      </c>
      <c r="H973" t="s">
        <v>45</v>
      </c>
      <c r="I973" s="3">
        <v>10019</v>
      </c>
      <c r="L973" t="s">
        <v>114</v>
      </c>
      <c r="M973" s="4">
        <v>6</v>
      </c>
      <c r="N973" t="s">
        <v>1790</v>
      </c>
      <c r="O973" t="s">
        <v>770</v>
      </c>
      <c r="P973" s="4">
        <v>40.772461</v>
      </c>
      <c r="Q973" s="4">
        <v>-73.992429000000001</v>
      </c>
      <c r="T973" s="2">
        <v>43767</v>
      </c>
      <c r="U973" t="s">
        <v>117</v>
      </c>
      <c r="V973" t="s">
        <v>71</v>
      </c>
      <c r="W973" t="s">
        <v>51</v>
      </c>
      <c r="Z973" s="4">
        <v>49</v>
      </c>
      <c r="AE973" s="4">
        <v>18</v>
      </c>
      <c r="AF973" s="4">
        <v>28</v>
      </c>
      <c r="AG973" s="4">
        <v>3</v>
      </c>
      <c r="AL973" s="4">
        <v>49</v>
      </c>
      <c r="AN973" s="4">
        <v>49</v>
      </c>
      <c r="AO973" s="4">
        <v>214</v>
      </c>
    </row>
    <row r="974" spans="1:41" hidden="1" x14ac:dyDescent="0.2">
      <c r="A974" t="s">
        <v>1791</v>
      </c>
      <c r="B974" t="s">
        <v>1792</v>
      </c>
      <c r="C974" s="2">
        <v>42690</v>
      </c>
      <c r="D974" s="2">
        <v>43767</v>
      </c>
      <c r="E974" s="3">
        <v>974124</v>
      </c>
      <c r="F974" t="s">
        <v>1793</v>
      </c>
      <c r="G974" t="s">
        <v>1794</v>
      </c>
      <c r="H974" t="s">
        <v>45</v>
      </c>
      <c r="I974" s="3">
        <v>10023</v>
      </c>
      <c r="J974" s="3">
        <v>1011717513</v>
      </c>
      <c r="K974" s="3">
        <v>1089723</v>
      </c>
      <c r="L974" t="s">
        <v>46</v>
      </c>
      <c r="M974" s="4">
        <v>6</v>
      </c>
      <c r="N974" t="s">
        <v>1790</v>
      </c>
      <c r="O974" t="s">
        <v>770</v>
      </c>
      <c r="P974" s="4">
        <v>40.773501000000003</v>
      </c>
      <c r="Q974" s="4">
        <v>-73.991085999999996</v>
      </c>
      <c r="R974" s="4">
        <v>40.773291999999998</v>
      </c>
      <c r="S974" s="4">
        <v>-73.991584000000003</v>
      </c>
      <c r="T974" s="2">
        <v>43767</v>
      </c>
      <c r="U974" t="s">
        <v>117</v>
      </c>
      <c r="V974" t="s">
        <v>71</v>
      </c>
      <c r="W974" t="s">
        <v>51</v>
      </c>
      <c r="Z974" s="4">
        <v>156</v>
      </c>
      <c r="AD974" s="4">
        <v>32</v>
      </c>
      <c r="AE974" s="4">
        <v>31</v>
      </c>
      <c r="AF974" s="4">
        <v>93</v>
      </c>
      <c r="AL974" s="4">
        <v>156</v>
      </c>
      <c r="AN974" s="4">
        <v>156</v>
      </c>
      <c r="AO974" s="4">
        <v>646</v>
      </c>
    </row>
    <row r="975" spans="1:41" hidden="1" x14ac:dyDescent="0.2">
      <c r="A975" t="s">
        <v>1795</v>
      </c>
      <c r="B975" t="s">
        <v>1796</v>
      </c>
      <c r="C975" s="2">
        <v>42690</v>
      </c>
      <c r="D975" s="2">
        <v>43767</v>
      </c>
      <c r="E975" s="3">
        <v>974109</v>
      </c>
      <c r="F975" t="s">
        <v>990</v>
      </c>
      <c r="G975" t="s">
        <v>1789</v>
      </c>
      <c r="H975" t="s">
        <v>45</v>
      </c>
      <c r="I975" s="3">
        <v>10019</v>
      </c>
      <c r="J975" s="3">
        <v>1011717512</v>
      </c>
      <c r="K975" s="3">
        <v>1089741</v>
      </c>
      <c r="L975" t="s">
        <v>46</v>
      </c>
      <c r="M975" s="4">
        <v>6</v>
      </c>
      <c r="N975" t="s">
        <v>1790</v>
      </c>
      <c r="O975" t="s">
        <v>770</v>
      </c>
      <c r="P975" s="4">
        <v>40.772537</v>
      </c>
      <c r="Q975" s="4">
        <v>-73.992613000000006</v>
      </c>
      <c r="R975" s="4">
        <v>40.772955000000003</v>
      </c>
      <c r="S975" s="4">
        <v>-73.992504999999994</v>
      </c>
      <c r="T975" s="2">
        <v>43767</v>
      </c>
      <c r="U975" t="s">
        <v>117</v>
      </c>
      <c r="V975" t="s">
        <v>71</v>
      </c>
      <c r="W975" t="s">
        <v>51</v>
      </c>
      <c r="Z975" s="4">
        <v>64</v>
      </c>
      <c r="AD975" s="4">
        <v>11</v>
      </c>
      <c r="AE975" s="4">
        <v>10</v>
      </c>
      <c r="AF975" s="4">
        <v>41</v>
      </c>
      <c r="AG975" s="4">
        <v>2</v>
      </c>
      <c r="AL975" s="4">
        <v>64</v>
      </c>
      <c r="AN975" s="4">
        <v>64</v>
      </c>
      <c r="AO975" s="4">
        <v>272</v>
      </c>
    </row>
    <row r="976" spans="1:41" hidden="1" x14ac:dyDescent="0.2">
      <c r="A976" t="s">
        <v>1797</v>
      </c>
      <c r="B976" t="s">
        <v>1798</v>
      </c>
      <c r="C976" s="2">
        <v>42677</v>
      </c>
      <c r="E976" s="3">
        <v>525</v>
      </c>
      <c r="F976" t="s">
        <v>1799</v>
      </c>
      <c r="G976" t="s">
        <v>339</v>
      </c>
      <c r="H976" t="s">
        <v>45</v>
      </c>
      <c r="I976" s="3">
        <v>10035</v>
      </c>
      <c r="J976" s="3">
        <v>1018070047</v>
      </c>
      <c r="K976" s="3">
        <v>1054881</v>
      </c>
      <c r="L976" t="s">
        <v>153</v>
      </c>
      <c r="M976" s="4">
        <v>8</v>
      </c>
      <c r="N976" t="s">
        <v>1800</v>
      </c>
      <c r="O976" t="s">
        <v>155</v>
      </c>
      <c r="P976" s="4">
        <v>40.798380000000002</v>
      </c>
      <c r="Q976" s="4">
        <v>-73.933659000000006</v>
      </c>
      <c r="R976" s="4">
        <v>40.798274999999997</v>
      </c>
      <c r="S976" s="4">
        <v>-73.933345000000003</v>
      </c>
      <c r="U976" t="s">
        <v>49</v>
      </c>
      <c r="V976" t="s">
        <v>71</v>
      </c>
      <c r="W976" t="s">
        <v>51</v>
      </c>
      <c r="X976" s="4">
        <v>6</v>
      </c>
      <c r="Y976" s="4">
        <v>3</v>
      </c>
      <c r="AF976" s="4">
        <v>1</v>
      </c>
      <c r="AG976" s="4">
        <v>4</v>
      </c>
      <c r="AJ976" s="4">
        <v>4</v>
      </c>
      <c r="AL976" s="4">
        <v>9</v>
      </c>
      <c r="AN976" s="4">
        <v>9</v>
      </c>
      <c r="AO976" s="4">
        <v>9</v>
      </c>
    </row>
    <row r="977" spans="1:41" hidden="1" x14ac:dyDescent="0.2">
      <c r="A977" t="s">
        <v>1797</v>
      </c>
      <c r="B977" t="s">
        <v>1798</v>
      </c>
      <c r="C977" s="2">
        <v>42677</v>
      </c>
      <c r="E977" s="3">
        <v>2544</v>
      </c>
      <c r="F977" t="s">
        <v>1801</v>
      </c>
      <c r="G977" t="s">
        <v>832</v>
      </c>
      <c r="H977" t="s">
        <v>45</v>
      </c>
      <c r="I977" s="3">
        <v>10029</v>
      </c>
      <c r="J977" s="3">
        <v>1016210071</v>
      </c>
      <c r="K977" s="3">
        <v>1051662</v>
      </c>
      <c r="L977" t="s">
        <v>153</v>
      </c>
      <c r="M977" s="4">
        <v>8</v>
      </c>
      <c r="N977" t="s">
        <v>789</v>
      </c>
      <c r="O977" t="s">
        <v>155</v>
      </c>
      <c r="P977" s="4">
        <v>40.800370999999998</v>
      </c>
      <c r="Q977" s="4">
        <v>-73.946663000000001</v>
      </c>
      <c r="R977" s="4">
        <v>40.800263999999999</v>
      </c>
      <c r="S977" s="4">
        <v>-73.946364000000003</v>
      </c>
      <c r="U977" t="s">
        <v>49</v>
      </c>
      <c r="V977" t="s">
        <v>71</v>
      </c>
      <c r="W977" t="s">
        <v>51</v>
      </c>
      <c r="X977" s="4">
        <v>4</v>
      </c>
      <c r="Y977" s="4">
        <v>4</v>
      </c>
      <c r="AE977" s="4">
        <v>1</v>
      </c>
      <c r="AG977" s="4">
        <v>4</v>
      </c>
      <c r="AH977" s="4">
        <v>3</v>
      </c>
      <c r="AL977" s="4">
        <v>8</v>
      </c>
      <c r="AN977" s="4">
        <v>8</v>
      </c>
      <c r="AO977" s="4">
        <v>8</v>
      </c>
    </row>
    <row r="978" spans="1:41" hidden="1" x14ac:dyDescent="0.2">
      <c r="A978" t="s">
        <v>1797</v>
      </c>
      <c r="B978" t="s">
        <v>1798</v>
      </c>
      <c r="C978" s="2">
        <v>42677</v>
      </c>
      <c r="E978" s="3">
        <v>18802</v>
      </c>
      <c r="F978" t="s">
        <v>59</v>
      </c>
      <c r="G978" t="s">
        <v>1139</v>
      </c>
      <c r="H978" t="s">
        <v>45</v>
      </c>
      <c r="I978" s="3">
        <v>10029</v>
      </c>
      <c r="J978" s="3">
        <v>1016280032</v>
      </c>
      <c r="K978" s="3">
        <v>1051802</v>
      </c>
      <c r="L978" t="s">
        <v>153</v>
      </c>
      <c r="M978" s="4">
        <v>8</v>
      </c>
      <c r="N978" t="s">
        <v>468</v>
      </c>
      <c r="O978" t="s">
        <v>267</v>
      </c>
      <c r="P978" s="4">
        <v>40.787902000000003</v>
      </c>
      <c r="Q978" s="4">
        <v>-73.947789</v>
      </c>
      <c r="R978" s="4">
        <v>40.788156999999998</v>
      </c>
      <c r="S978" s="4">
        <v>-73.947832000000005</v>
      </c>
      <c r="U978" t="s">
        <v>49</v>
      </c>
      <c r="V978" t="s">
        <v>71</v>
      </c>
      <c r="W978" t="s">
        <v>51</v>
      </c>
      <c r="X978" s="4">
        <v>6</v>
      </c>
      <c r="Y978" s="4">
        <v>2</v>
      </c>
      <c r="AF978" s="4">
        <v>1</v>
      </c>
      <c r="AH978" s="4">
        <v>7</v>
      </c>
      <c r="AL978" s="4">
        <v>8</v>
      </c>
      <c r="AN978" s="4">
        <v>8</v>
      </c>
      <c r="AO978" s="4">
        <v>8</v>
      </c>
    </row>
    <row r="979" spans="1:41" hidden="1" x14ac:dyDescent="0.2">
      <c r="A979" t="s">
        <v>1797</v>
      </c>
      <c r="B979" t="s">
        <v>1798</v>
      </c>
      <c r="C979" s="2">
        <v>42677</v>
      </c>
      <c r="E979" s="3">
        <v>19358</v>
      </c>
      <c r="F979" t="s">
        <v>1251</v>
      </c>
      <c r="G979" t="s">
        <v>1308</v>
      </c>
      <c r="H979" t="s">
        <v>45</v>
      </c>
      <c r="I979" s="3">
        <v>10029</v>
      </c>
      <c r="J979" s="3">
        <v>1016380048</v>
      </c>
      <c r="K979" s="3">
        <v>1052187</v>
      </c>
      <c r="L979" t="s">
        <v>153</v>
      </c>
      <c r="M979" s="4">
        <v>8</v>
      </c>
      <c r="N979" t="s">
        <v>600</v>
      </c>
      <c r="O979" t="s">
        <v>267</v>
      </c>
      <c r="P979" s="4">
        <v>40.795209</v>
      </c>
      <c r="Q979" s="4">
        <v>-73.943434999999994</v>
      </c>
      <c r="R979" s="4">
        <v>40.795042000000002</v>
      </c>
      <c r="S979" s="4">
        <v>-73.943605000000005</v>
      </c>
      <c r="U979" t="s">
        <v>49</v>
      </c>
      <c r="V979" t="s">
        <v>71</v>
      </c>
      <c r="W979" t="s">
        <v>51</v>
      </c>
      <c r="X979" s="4">
        <v>2</v>
      </c>
      <c r="Y979" s="4">
        <v>5</v>
      </c>
      <c r="AF979" s="4">
        <v>6</v>
      </c>
      <c r="AH979" s="4">
        <v>1</v>
      </c>
      <c r="AL979" s="4">
        <v>7</v>
      </c>
      <c r="AN979" s="4">
        <v>7</v>
      </c>
      <c r="AO979" s="4">
        <v>7</v>
      </c>
    </row>
    <row r="980" spans="1:41" hidden="1" x14ac:dyDescent="0.2">
      <c r="A980" t="s">
        <v>1797</v>
      </c>
      <c r="B980" t="s">
        <v>1798</v>
      </c>
      <c r="C980" s="2">
        <v>42677</v>
      </c>
      <c r="E980" s="3">
        <v>19615</v>
      </c>
      <c r="F980" t="s">
        <v>869</v>
      </c>
      <c r="G980" t="s">
        <v>1410</v>
      </c>
      <c r="H980" t="s">
        <v>45</v>
      </c>
      <c r="I980" s="3">
        <v>10029</v>
      </c>
      <c r="J980" s="3">
        <v>1016210065</v>
      </c>
      <c r="K980" s="3">
        <v>1051658</v>
      </c>
      <c r="L980" t="s">
        <v>153</v>
      </c>
      <c r="M980" s="4">
        <v>8</v>
      </c>
      <c r="N980" t="s">
        <v>789</v>
      </c>
      <c r="O980" t="s">
        <v>155</v>
      </c>
      <c r="P980" s="4">
        <v>40.800328999999998</v>
      </c>
      <c r="Q980" s="4">
        <v>-73.945684</v>
      </c>
      <c r="R980" s="4">
        <v>40.800099000000003</v>
      </c>
      <c r="S980" s="4">
        <v>-73.945853999999997</v>
      </c>
      <c r="U980" t="s">
        <v>49</v>
      </c>
      <c r="V980" t="s">
        <v>71</v>
      </c>
      <c r="W980" t="s">
        <v>51</v>
      </c>
      <c r="X980" s="4">
        <v>4</v>
      </c>
      <c r="Y980" s="4">
        <v>6</v>
      </c>
      <c r="AF980" s="4">
        <v>1</v>
      </c>
      <c r="AG980" s="4">
        <v>1</v>
      </c>
      <c r="AH980" s="4">
        <v>8</v>
      </c>
      <c r="AL980" s="4">
        <v>10</v>
      </c>
      <c r="AN980" s="4">
        <v>10</v>
      </c>
      <c r="AO980" s="4">
        <v>10</v>
      </c>
    </row>
    <row r="981" spans="1:41" hidden="1" x14ac:dyDescent="0.2">
      <c r="A981" t="s">
        <v>1802</v>
      </c>
      <c r="B981" t="s">
        <v>1803</v>
      </c>
      <c r="C981" s="2">
        <v>42674</v>
      </c>
      <c r="D981" s="2">
        <v>42674</v>
      </c>
      <c r="E981" s="3">
        <v>11231</v>
      </c>
      <c r="F981" t="s">
        <v>908</v>
      </c>
      <c r="G981" t="s">
        <v>1343</v>
      </c>
      <c r="H981" t="s">
        <v>45</v>
      </c>
      <c r="I981" s="3">
        <v>10009</v>
      </c>
      <c r="J981" s="3">
        <v>1003900009</v>
      </c>
      <c r="K981" s="3">
        <v>1004704</v>
      </c>
      <c r="L981" t="s">
        <v>64</v>
      </c>
      <c r="M981" s="4">
        <v>2</v>
      </c>
      <c r="N981" t="s">
        <v>603</v>
      </c>
      <c r="O981" t="s">
        <v>197</v>
      </c>
      <c r="P981" s="4">
        <v>40.725472000000003</v>
      </c>
      <c r="Q981" s="4">
        <v>-73.980279999999993</v>
      </c>
      <c r="R981" s="4">
        <v>40.725236000000002</v>
      </c>
      <c r="S981" s="4">
        <v>-73.980289999999997</v>
      </c>
      <c r="T981" s="2">
        <v>42674</v>
      </c>
      <c r="U981" t="s">
        <v>49</v>
      </c>
      <c r="V981" t="s">
        <v>50</v>
      </c>
      <c r="W981" t="s">
        <v>51</v>
      </c>
      <c r="X981" s="4">
        <v>16</v>
      </c>
      <c r="AF981" s="4">
        <v>9</v>
      </c>
      <c r="AG981" s="4">
        <v>6</v>
      </c>
      <c r="AH981" s="4">
        <v>1</v>
      </c>
      <c r="AL981" s="4">
        <v>16</v>
      </c>
      <c r="AN981" s="4">
        <v>16</v>
      </c>
      <c r="AO981" s="4">
        <v>16</v>
      </c>
    </row>
    <row r="982" spans="1:41" hidden="1" x14ac:dyDescent="0.2">
      <c r="A982" t="s">
        <v>1804</v>
      </c>
      <c r="B982" t="s">
        <v>1805</v>
      </c>
      <c r="C982" s="2">
        <v>42669</v>
      </c>
      <c r="D982" s="2">
        <v>43593</v>
      </c>
      <c r="E982" s="3">
        <v>18219</v>
      </c>
      <c r="F982" t="s">
        <v>1779</v>
      </c>
      <c r="G982" t="s">
        <v>1806</v>
      </c>
      <c r="H982" t="s">
        <v>45</v>
      </c>
      <c r="I982" s="3">
        <v>10128</v>
      </c>
      <c r="J982" s="3">
        <v>1015537501</v>
      </c>
      <c r="K982" s="3">
        <v>1050195</v>
      </c>
      <c r="L982" t="s">
        <v>107</v>
      </c>
      <c r="M982" s="4">
        <v>5</v>
      </c>
      <c r="N982" t="s">
        <v>1807</v>
      </c>
      <c r="O982" t="s">
        <v>109</v>
      </c>
      <c r="P982" s="4">
        <v>40.780791000000001</v>
      </c>
      <c r="Q982" s="4">
        <v>-73.948802000000001</v>
      </c>
      <c r="R982" s="4">
        <v>40.780439000000001</v>
      </c>
      <c r="S982" s="4">
        <v>-73.948532</v>
      </c>
      <c r="T982" s="2">
        <v>43593</v>
      </c>
      <c r="U982" t="s">
        <v>117</v>
      </c>
      <c r="V982" t="s">
        <v>71</v>
      </c>
      <c r="W982" t="s">
        <v>51</v>
      </c>
      <c r="Z982" s="4">
        <v>17</v>
      </c>
      <c r="AE982" s="4">
        <v>1</v>
      </c>
      <c r="AF982" s="4">
        <v>16</v>
      </c>
      <c r="AL982" s="4">
        <v>17</v>
      </c>
      <c r="AN982" s="4">
        <v>17</v>
      </c>
      <c r="AO982" s="4">
        <v>18</v>
      </c>
    </row>
    <row r="983" spans="1:41" hidden="1" x14ac:dyDescent="0.2">
      <c r="A983" t="s">
        <v>1808</v>
      </c>
      <c r="B983" t="s">
        <v>1809</v>
      </c>
      <c r="C983" s="2">
        <v>42664</v>
      </c>
      <c r="D983" s="2">
        <v>42664</v>
      </c>
      <c r="E983" s="3">
        <v>967819</v>
      </c>
      <c r="F983" t="s">
        <v>1326</v>
      </c>
      <c r="G983" t="s">
        <v>389</v>
      </c>
      <c r="H983" t="s">
        <v>45</v>
      </c>
      <c r="I983" s="3">
        <v>10031</v>
      </c>
      <c r="J983" s="3">
        <v>1020947503</v>
      </c>
      <c r="K983" s="3">
        <v>1083034</v>
      </c>
      <c r="L983" t="s">
        <v>169</v>
      </c>
      <c r="M983" s="4">
        <v>7</v>
      </c>
      <c r="N983" t="s">
        <v>1062</v>
      </c>
      <c r="O983" t="s">
        <v>232</v>
      </c>
      <c r="P983" s="4">
        <v>40.828164999999998</v>
      </c>
      <c r="Q983" s="4">
        <v>-73.949198999999993</v>
      </c>
      <c r="R983" s="4">
        <v>40.828308</v>
      </c>
      <c r="S983" s="4">
        <v>-73.949528000000001</v>
      </c>
      <c r="T983" s="2">
        <v>42664</v>
      </c>
      <c r="U983" t="s">
        <v>49</v>
      </c>
      <c r="V983" t="s">
        <v>50</v>
      </c>
      <c r="W983" t="s">
        <v>51</v>
      </c>
      <c r="Z983" s="4">
        <v>20</v>
      </c>
      <c r="AF983" s="4">
        <v>16</v>
      </c>
      <c r="AG983" s="4">
        <v>4</v>
      </c>
      <c r="AM983" s="4">
        <v>20</v>
      </c>
      <c r="AN983" s="4">
        <v>20</v>
      </c>
      <c r="AO983" s="4">
        <v>43</v>
      </c>
    </row>
    <row r="984" spans="1:41" hidden="1" x14ac:dyDescent="0.2">
      <c r="A984" t="s">
        <v>1810</v>
      </c>
      <c r="B984" t="s">
        <v>1811</v>
      </c>
      <c r="C984" s="2">
        <v>42634</v>
      </c>
      <c r="D984" s="2">
        <v>43599</v>
      </c>
      <c r="E984" s="3">
        <v>686</v>
      </c>
      <c r="F984" t="s">
        <v>1110</v>
      </c>
      <c r="G984" t="s">
        <v>339</v>
      </c>
      <c r="H984" t="s">
        <v>45</v>
      </c>
      <c r="I984" s="3">
        <v>10022</v>
      </c>
      <c r="J984" s="3">
        <v>1013450030</v>
      </c>
      <c r="K984" s="3">
        <v>1039803</v>
      </c>
      <c r="L984" t="s">
        <v>165</v>
      </c>
      <c r="M984" s="4">
        <v>4</v>
      </c>
      <c r="N984" t="s">
        <v>584</v>
      </c>
      <c r="O984" t="s">
        <v>554</v>
      </c>
      <c r="P984" s="4">
        <v>40.755665999999998</v>
      </c>
      <c r="Q984" s="4">
        <v>-73.964865000000003</v>
      </c>
      <c r="R984" s="4">
        <v>40.755783999999998</v>
      </c>
      <c r="S984" s="4">
        <v>-73.965164999999999</v>
      </c>
      <c r="T984" s="2">
        <v>43599</v>
      </c>
      <c r="U984" t="s">
        <v>117</v>
      </c>
      <c r="V984" t="s">
        <v>71</v>
      </c>
      <c r="W984" t="s">
        <v>51</v>
      </c>
      <c r="AB984" s="4">
        <v>23</v>
      </c>
      <c r="AD984" s="4">
        <v>2</v>
      </c>
      <c r="AE984" s="4">
        <v>8</v>
      </c>
      <c r="AF984" s="4">
        <v>13</v>
      </c>
      <c r="AL984" s="4">
        <v>23</v>
      </c>
      <c r="AN984" s="4">
        <v>23</v>
      </c>
      <c r="AO984" s="4">
        <v>114</v>
      </c>
    </row>
    <row r="985" spans="1:41" hidden="1" x14ac:dyDescent="0.2">
      <c r="A985" t="s">
        <v>1812</v>
      </c>
      <c r="B985" t="s">
        <v>1813</v>
      </c>
      <c r="C985" s="2">
        <v>42622</v>
      </c>
      <c r="D985" s="2">
        <v>44741</v>
      </c>
      <c r="E985" s="3">
        <v>999853</v>
      </c>
      <c r="F985" t="s">
        <v>432</v>
      </c>
      <c r="G985" t="s">
        <v>892</v>
      </c>
      <c r="H985" t="s">
        <v>45</v>
      </c>
      <c r="I985" s="3">
        <v>10035</v>
      </c>
      <c r="J985" s="3">
        <v>1017747501</v>
      </c>
      <c r="K985" s="3">
        <v>1090966</v>
      </c>
      <c r="L985" t="s">
        <v>153</v>
      </c>
      <c r="M985" s="4">
        <v>8</v>
      </c>
      <c r="N985" t="s">
        <v>154</v>
      </c>
      <c r="O985" t="s">
        <v>155</v>
      </c>
      <c r="P985" s="4">
        <v>40.804779000000003</v>
      </c>
      <c r="Q985" s="4">
        <v>-73.936314999999993</v>
      </c>
      <c r="R985" s="4">
        <v>40.804419000000003</v>
      </c>
      <c r="S985" s="4">
        <v>-73.936426999999995</v>
      </c>
      <c r="T985" s="2">
        <v>44741</v>
      </c>
      <c r="U985" t="s">
        <v>117</v>
      </c>
      <c r="V985" t="s">
        <v>71</v>
      </c>
      <c r="W985" t="s">
        <v>51</v>
      </c>
      <c r="Z985" s="4">
        <v>47</v>
      </c>
      <c r="AB985" s="4">
        <v>23</v>
      </c>
      <c r="AD985" s="4">
        <v>21</v>
      </c>
      <c r="AE985" s="4">
        <v>42</v>
      </c>
      <c r="AF985" s="4">
        <v>7</v>
      </c>
      <c r="AL985" s="4">
        <v>70</v>
      </c>
      <c r="AN985" s="4">
        <v>70</v>
      </c>
      <c r="AO985" s="4">
        <v>233</v>
      </c>
    </row>
    <row r="986" spans="1:41" hidden="1" x14ac:dyDescent="0.2">
      <c r="A986" t="s">
        <v>1814</v>
      </c>
      <c r="B986" t="s">
        <v>1815</v>
      </c>
      <c r="C986" s="2">
        <v>42606</v>
      </c>
      <c r="D986" s="2">
        <v>43397</v>
      </c>
      <c r="E986" s="3">
        <v>43662</v>
      </c>
      <c r="F986" t="s">
        <v>1816</v>
      </c>
      <c r="G986" t="s">
        <v>1817</v>
      </c>
      <c r="H986" t="s">
        <v>45</v>
      </c>
      <c r="I986" s="3">
        <v>10034</v>
      </c>
      <c r="J986" s="3">
        <v>1022000009</v>
      </c>
      <c r="K986" s="3">
        <v>1079983</v>
      </c>
      <c r="L986" t="s">
        <v>114</v>
      </c>
      <c r="M986" s="4">
        <v>10</v>
      </c>
      <c r="N986" t="s">
        <v>612</v>
      </c>
      <c r="O986" t="s">
        <v>391</v>
      </c>
      <c r="P986" s="4">
        <v>40.862067000000003</v>
      </c>
      <c r="Q986" s="4">
        <v>-73.919189000000003</v>
      </c>
      <c r="R986" s="4">
        <v>40.862067000000003</v>
      </c>
      <c r="S986" s="4">
        <v>-73.919766999999993</v>
      </c>
      <c r="T986" s="2">
        <v>43284</v>
      </c>
      <c r="U986" t="s">
        <v>49</v>
      </c>
      <c r="V986" t="s">
        <v>71</v>
      </c>
      <c r="W986" t="s">
        <v>51</v>
      </c>
      <c r="X986" s="4">
        <v>7</v>
      </c>
      <c r="Y986" s="4">
        <v>9</v>
      </c>
      <c r="Z986" s="4">
        <v>9</v>
      </c>
      <c r="AC986" s="4">
        <v>1</v>
      </c>
      <c r="AE986" s="4">
        <v>11</v>
      </c>
      <c r="AF986" s="4">
        <v>10</v>
      </c>
      <c r="AG986" s="4">
        <v>5</v>
      </c>
      <c r="AL986" s="4">
        <v>26</v>
      </c>
      <c r="AN986" s="4">
        <v>26</v>
      </c>
      <c r="AO986" s="4">
        <v>26</v>
      </c>
    </row>
    <row r="987" spans="1:41" hidden="1" x14ac:dyDescent="0.2">
      <c r="A987" t="s">
        <v>1814</v>
      </c>
      <c r="B987" t="s">
        <v>1815</v>
      </c>
      <c r="C987" s="2">
        <v>42606</v>
      </c>
      <c r="D987" s="2">
        <v>43397</v>
      </c>
      <c r="E987" s="3">
        <v>806009</v>
      </c>
      <c r="F987" t="s">
        <v>1712</v>
      </c>
      <c r="G987" t="s">
        <v>1817</v>
      </c>
      <c r="H987" t="s">
        <v>45</v>
      </c>
      <c r="I987" s="3">
        <v>10034</v>
      </c>
      <c r="J987" s="3">
        <v>1022000009</v>
      </c>
      <c r="K987" s="3">
        <v>1079981</v>
      </c>
      <c r="L987" t="s">
        <v>114</v>
      </c>
      <c r="M987" s="4">
        <v>10</v>
      </c>
      <c r="N987" t="s">
        <v>612</v>
      </c>
      <c r="O987" t="s">
        <v>391</v>
      </c>
      <c r="P987" s="4">
        <v>40.862026</v>
      </c>
      <c r="Q987" s="4">
        <v>-73.919087000000005</v>
      </c>
      <c r="R987" s="4">
        <v>40.862067000000003</v>
      </c>
      <c r="S987" s="4">
        <v>-73.919766999999993</v>
      </c>
      <c r="T987" s="2">
        <v>43284</v>
      </c>
      <c r="U987" t="s">
        <v>49</v>
      </c>
      <c r="V987" t="s">
        <v>71</v>
      </c>
      <c r="W987" t="s">
        <v>51</v>
      </c>
      <c r="X987" s="4">
        <v>6</v>
      </c>
      <c r="Y987" s="4">
        <v>11</v>
      </c>
      <c r="Z987" s="4">
        <v>8</v>
      </c>
      <c r="AA987" s="4">
        <v>1</v>
      </c>
      <c r="AE987" s="4">
        <v>11</v>
      </c>
      <c r="AF987" s="4">
        <v>10</v>
      </c>
      <c r="AG987" s="4">
        <v>5</v>
      </c>
      <c r="AL987" s="4">
        <v>26</v>
      </c>
      <c r="AN987" s="4">
        <v>26</v>
      </c>
      <c r="AO987" s="4">
        <v>26</v>
      </c>
    </row>
    <row r="988" spans="1:41" hidden="1" x14ac:dyDescent="0.2">
      <c r="A988" t="s">
        <v>1814</v>
      </c>
      <c r="B988" t="s">
        <v>1815</v>
      </c>
      <c r="C988" s="2">
        <v>42606</v>
      </c>
      <c r="D988" s="2">
        <v>43397</v>
      </c>
      <c r="E988" s="3">
        <v>806010</v>
      </c>
      <c r="F988" t="s">
        <v>1218</v>
      </c>
      <c r="G988" t="s">
        <v>1817</v>
      </c>
      <c r="H988" t="s">
        <v>45</v>
      </c>
      <c r="I988" s="3">
        <v>10034</v>
      </c>
      <c r="J988" s="3">
        <v>1022000009</v>
      </c>
      <c r="K988" s="3">
        <v>1079982</v>
      </c>
      <c r="L988" t="s">
        <v>114</v>
      </c>
      <c r="M988" s="4">
        <v>10</v>
      </c>
      <c r="N988" t="s">
        <v>612</v>
      </c>
      <c r="O988" t="s">
        <v>391</v>
      </c>
      <c r="P988" s="4">
        <v>40.862045000000002</v>
      </c>
      <c r="Q988" s="4">
        <v>-73.919138000000004</v>
      </c>
      <c r="R988" s="4">
        <v>40.862067000000003</v>
      </c>
      <c r="S988" s="4">
        <v>-73.919766999999993</v>
      </c>
      <c r="T988" s="2">
        <v>43397</v>
      </c>
      <c r="U988" t="s">
        <v>49</v>
      </c>
      <c r="V988" t="s">
        <v>71</v>
      </c>
      <c r="W988" t="s">
        <v>51</v>
      </c>
      <c r="X988" s="4">
        <v>2</v>
      </c>
      <c r="Y988" s="4">
        <v>14</v>
      </c>
      <c r="Z988" s="4">
        <v>10</v>
      </c>
      <c r="AA988" s="4">
        <v>5</v>
      </c>
      <c r="AD988" s="4">
        <v>5</v>
      </c>
      <c r="AE988" s="4">
        <v>16</v>
      </c>
      <c r="AF988" s="4">
        <v>9</v>
      </c>
      <c r="AG988" s="4">
        <v>1</v>
      </c>
      <c r="AL988" s="4">
        <v>31</v>
      </c>
      <c r="AN988" s="4">
        <v>31</v>
      </c>
      <c r="AO988" s="4">
        <v>31</v>
      </c>
    </row>
    <row r="989" spans="1:41" hidden="1" x14ac:dyDescent="0.2">
      <c r="A989" t="s">
        <v>1818</v>
      </c>
      <c r="B989" t="s">
        <v>1819</v>
      </c>
      <c r="C989" s="2">
        <v>42605</v>
      </c>
      <c r="D989" s="2">
        <v>43068</v>
      </c>
      <c r="E989" s="3">
        <v>3491</v>
      </c>
      <c r="F989" t="s">
        <v>1820</v>
      </c>
      <c r="G989" t="s">
        <v>255</v>
      </c>
      <c r="H989" t="s">
        <v>45</v>
      </c>
      <c r="I989" s="3">
        <v>10027</v>
      </c>
      <c r="J989" s="3">
        <v>1019167503</v>
      </c>
      <c r="K989" s="3">
        <v>1089304</v>
      </c>
      <c r="L989" t="s">
        <v>146</v>
      </c>
      <c r="M989" s="4">
        <v>9</v>
      </c>
      <c r="N989" t="s">
        <v>309</v>
      </c>
      <c r="O989" t="s">
        <v>177</v>
      </c>
      <c r="P989" s="4">
        <v>40.813212999999998</v>
      </c>
      <c r="Q989" s="4">
        <v>-73.945218999999994</v>
      </c>
      <c r="R989" s="4">
        <v>40.812891</v>
      </c>
      <c r="S989" s="4">
        <v>-73.944905000000006</v>
      </c>
      <c r="T989" s="2">
        <v>43068</v>
      </c>
      <c r="U989" t="s">
        <v>117</v>
      </c>
      <c r="V989" t="s">
        <v>71</v>
      </c>
      <c r="W989" t="s">
        <v>51</v>
      </c>
      <c r="AB989" s="4">
        <v>23</v>
      </c>
      <c r="AE989" s="4">
        <v>11</v>
      </c>
      <c r="AF989" s="4">
        <v>12</v>
      </c>
      <c r="AL989" s="4">
        <v>23</v>
      </c>
      <c r="AN989" s="4">
        <v>23</v>
      </c>
      <c r="AO989" s="4">
        <v>115</v>
      </c>
    </row>
    <row r="990" spans="1:41" hidden="1" x14ac:dyDescent="0.2">
      <c r="A990" t="s">
        <v>1821</v>
      </c>
      <c r="B990" t="s">
        <v>1822</v>
      </c>
      <c r="C990" s="2">
        <v>42599</v>
      </c>
      <c r="D990" s="2">
        <v>44391</v>
      </c>
      <c r="E990" s="3">
        <v>25115</v>
      </c>
      <c r="F990" t="s">
        <v>653</v>
      </c>
      <c r="G990" t="s">
        <v>1823</v>
      </c>
      <c r="H990" t="s">
        <v>45</v>
      </c>
      <c r="I990" s="3">
        <v>10002</v>
      </c>
      <c r="J990" s="3">
        <v>1002770004</v>
      </c>
      <c r="K990" s="3">
        <v>1079222</v>
      </c>
      <c r="L990" t="s">
        <v>64</v>
      </c>
      <c r="M990" s="4">
        <v>1</v>
      </c>
      <c r="N990" t="s">
        <v>711</v>
      </c>
      <c r="O990" t="s">
        <v>485</v>
      </c>
      <c r="P990" s="4">
        <v>40.712156</v>
      </c>
      <c r="Q990" s="4">
        <v>-73.996108000000007</v>
      </c>
      <c r="R990" s="4">
        <v>40.71237</v>
      </c>
      <c r="S990" s="4">
        <v>-73.996219999999994</v>
      </c>
      <c r="T990" s="2">
        <v>44391</v>
      </c>
      <c r="U990" t="s">
        <v>49</v>
      </c>
      <c r="V990" t="s">
        <v>71</v>
      </c>
      <c r="W990" t="s">
        <v>51</v>
      </c>
      <c r="X990" s="4">
        <v>2</v>
      </c>
      <c r="Y990" s="4">
        <v>2</v>
      </c>
      <c r="Z990" s="4">
        <v>16</v>
      </c>
      <c r="AE990" s="4">
        <v>20</v>
      </c>
      <c r="AL990" s="4">
        <v>20</v>
      </c>
      <c r="AN990" s="4">
        <v>20</v>
      </c>
      <c r="AO990" s="4">
        <v>20</v>
      </c>
    </row>
    <row r="991" spans="1:41" hidden="1" x14ac:dyDescent="0.2">
      <c r="A991" t="s">
        <v>1824</v>
      </c>
      <c r="B991" t="s">
        <v>1825</v>
      </c>
      <c r="C991" s="2">
        <v>42584</v>
      </c>
      <c r="D991" s="2">
        <v>43116</v>
      </c>
      <c r="E991" s="3">
        <v>959023</v>
      </c>
      <c r="F991" t="s">
        <v>1089</v>
      </c>
      <c r="G991" t="s">
        <v>1556</v>
      </c>
      <c r="H991" t="s">
        <v>45</v>
      </c>
      <c r="I991" s="3">
        <v>10023</v>
      </c>
      <c r="J991" s="3">
        <v>1011710063</v>
      </c>
      <c r="K991" s="3">
        <v>1087719</v>
      </c>
      <c r="L991" t="s">
        <v>46</v>
      </c>
      <c r="M991" s="4">
        <v>6</v>
      </c>
      <c r="N991" t="s">
        <v>1790</v>
      </c>
      <c r="O991" t="s">
        <v>770</v>
      </c>
      <c r="P991" s="4">
        <v>40.773426999999998</v>
      </c>
      <c r="Q991" s="4">
        <v>-73.989142999999999</v>
      </c>
      <c r="R991" s="4">
        <v>40.773792</v>
      </c>
      <c r="S991" s="4">
        <v>-73.989402999999996</v>
      </c>
      <c r="T991" s="2">
        <v>43116</v>
      </c>
      <c r="U991" t="s">
        <v>49</v>
      </c>
      <c r="V991" t="s">
        <v>50</v>
      </c>
      <c r="W991" t="s">
        <v>51</v>
      </c>
      <c r="AB991" s="4">
        <v>50</v>
      </c>
      <c r="AD991" s="4">
        <v>32</v>
      </c>
      <c r="AE991" s="4">
        <v>15</v>
      </c>
      <c r="AF991" s="4">
        <v>3</v>
      </c>
      <c r="AL991" s="4">
        <v>50</v>
      </c>
      <c r="AN991" s="4">
        <v>50</v>
      </c>
      <c r="AO991" s="4">
        <v>1000</v>
      </c>
    </row>
    <row r="992" spans="1:41" hidden="1" x14ac:dyDescent="0.2">
      <c r="A992" t="s">
        <v>1826</v>
      </c>
      <c r="B992" t="s">
        <v>1827</v>
      </c>
      <c r="C992" s="2">
        <v>42583</v>
      </c>
      <c r="D992" s="2">
        <v>43399</v>
      </c>
      <c r="E992" s="3">
        <v>968963</v>
      </c>
      <c r="F992" t="s">
        <v>120</v>
      </c>
      <c r="G992" t="s">
        <v>191</v>
      </c>
      <c r="H992" t="s">
        <v>45</v>
      </c>
      <c r="I992" s="3">
        <v>10016</v>
      </c>
      <c r="J992" s="3">
        <v>1008610059</v>
      </c>
      <c r="K992" s="3">
        <v>1090760</v>
      </c>
      <c r="L992" t="s">
        <v>655</v>
      </c>
      <c r="M992" s="4">
        <v>4</v>
      </c>
      <c r="N992" t="s">
        <v>1400</v>
      </c>
      <c r="O992" t="s">
        <v>1127</v>
      </c>
      <c r="P992" s="4">
        <v>40.746236000000003</v>
      </c>
      <c r="Q992" s="4">
        <v>-73.984059000000002</v>
      </c>
      <c r="R992" s="4">
        <v>40.746116000000001</v>
      </c>
      <c r="S992" s="4">
        <v>-73.983813999999995</v>
      </c>
      <c r="T992" s="2">
        <v>43399</v>
      </c>
      <c r="U992" t="s">
        <v>117</v>
      </c>
      <c r="V992" t="s">
        <v>71</v>
      </c>
      <c r="W992" t="s">
        <v>51</v>
      </c>
      <c r="Y992" s="4">
        <v>7</v>
      </c>
      <c r="Z992" s="4">
        <v>7</v>
      </c>
      <c r="AB992" s="4">
        <v>4</v>
      </c>
      <c r="AD992" s="4">
        <v>8</v>
      </c>
      <c r="AE992" s="4">
        <v>10</v>
      </c>
      <c r="AL992" s="4">
        <v>18</v>
      </c>
      <c r="AN992" s="4">
        <v>18</v>
      </c>
      <c r="AO992" s="4">
        <v>70</v>
      </c>
    </row>
    <row r="993" spans="1:41" hidden="1" x14ac:dyDescent="0.2">
      <c r="A993" t="s">
        <v>1828</v>
      </c>
      <c r="B993" t="s">
        <v>1829</v>
      </c>
      <c r="C993" s="2">
        <v>42578</v>
      </c>
      <c r="D993" s="2">
        <v>43173</v>
      </c>
      <c r="E993" s="3">
        <v>12812</v>
      </c>
      <c r="F993" t="s">
        <v>1235</v>
      </c>
      <c r="G993" t="s">
        <v>681</v>
      </c>
      <c r="H993" t="s">
        <v>45</v>
      </c>
      <c r="I993" s="3">
        <v>10016</v>
      </c>
      <c r="J993" s="3">
        <v>1008570066</v>
      </c>
      <c r="K993" s="3">
        <v>1016894</v>
      </c>
      <c r="L993" t="s">
        <v>655</v>
      </c>
      <c r="M993" s="4">
        <v>3</v>
      </c>
      <c r="N993" t="s">
        <v>1174</v>
      </c>
      <c r="O993" t="s">
        <v>1127</v>
      </c>
      <c r="P993" s="4">
        <v>40.744383999999997</v>
      </c>
      <c r="Q993" s="4">
        <v>-73.986615</v>
      </c>
      <c r="R993" s="4">
        <v>40.743994000000001</v>
      </c>
      <c r="S993" s="4">
        <v>-73.986571999999995</v>
      </c>
      <c r="T993" s="2">
        <v>43173</v>
      </c>
      <c r="U993" t="s">
        <v>49</v>
      </c>
      <c r="V993" t="s">
        <v>71</v>
      </c>
      <c r="W993" t="s">
        <v>51</v>
      </c>
      <c r="Z993" s="4">
        <v>415</v>
      </c>
      <c r="AD993" s="4">
        <v>415</v>
      </c>
      <c r="AL993" s="4">
        <v>415</v>
      </c>
      <c r="AN993" s="4">
        <v>415</v>
      </c>
      <c r="AO993" s="4">
        <v>416</v>
      </c>
    </row>
    <row r="994" spans="1:41" hidden="1" x14ac:dyDescent="0.2">
      <c r="A994" t="s">
        <v>1830</v>
      </c>
      <c r="B994" t="s">
        <v>1831</v>
      </c>
      <c r="C994" s="2">
        <v>42577</v>
      </c>
      <c r="D994" s="2">
        <v>43091</v>
      </c>
      <c r="E994" s="3">
        <v>965539</v>
      </c>
      <c r="F994" t="s">
        <v>1832</v>
      </c>
      <c r="G994" t="s">
        <v>1551</v>
      </c>
      <c r="H994" t="s">
        <v>45</v>
      </c>
      <c r="I994" s="3">
        <v>10032</v>
      </c>
      <c r="J994" s="3">
        <v>1021370021</v>
      </c>
      <c r="K994" s="3">
        <v>1090118</v>
      </c>
      <c r="L994" t="s">
        <v>114</v>
      </c>
      <c r="M994" s="4">
        <v>7</v>
      </c>
      <c r="N994" t="s">
        <v>762</v>
      </c>
      <c r="O994" t="s">
        <v>134</v>
      </c>
      <c r="P994" s="4">
        <v>40.836748</v>
      </c>
      <c r="Q994" s="4">
        <v>-73.943478999999996</v>
      </c>
      <c r="R994" s="4">
        <v>40.837027999999997</v>
      </c>
      <c r="S994" s="4">
        <v>-73.943584000000001</v>
      </c>
      <c r="T994" s="2">
        <v>43091</v>
      </c>
      <c r="U994" t="s">
        <v>117</v>
      </c>
      <c r="V994" t="s">
        <v>71</v>
      </c>
      <c r="W994" t="s">
        <v>51</v>
      </c>
      <c r="Z994" s="4">
        <v>13</v>
      </c>
      <c r="AD994" s="4">
        <v>6</v>
      </c>
      <c r="AE994" s="4">
        <v>6</v>
      </c>
      <c r="AF994" s="4">
        <v>1</v>
      </c>
      <c r="AL994" s="4">
        <v>13</v>
      </c>
      <c r="AN994" s="4">
        <v>13</v>
      </c>
      <c r="AO994" s="4">
        <v>62</v>
      </c>
    </row>
    <row r="995" spans="1:41" hidden="1" x14ac:dyDescent="0.2">
      <c r="A995" t="s">
        <v>1833</v>
      </c>
      <c r="B995" t="s">
        <v>1834</v>
      </c>
      <c r="C995" s="2">
        <v>42552</v>
      </c>
      <c r="E995" s="3">
        <v>28287</v>
      </c>
      <c r="F995" t="s">
        <v>1835</v>
      </c>
      <c r="G995" t="s">
        <v>345</v>
      </c>
      <c r="H995" t="s">
        <v>45</v>
      </c>
      <c r="I995" s="3">
        <v>10026</v>
      </c>
      <c r="J995" s="3">
        <v>1018240055</v>
      </c>
      <c r="K995" s="3">
        <v>1055039</v>
      </c>
      <c r="L995" t="s">
        <v>146</v>
      </c>
      <c r="M995" s="4">
        <v>9</v>
      </c>
      <c r="N995" t="s">
        <v>318</v>
      </c>
      <c r="O995" t="s">
        <v>148</v>
      </c>
      <c r="P995" s="4">
        <v>40.802101999999998</v>
      </c>
      <c r="Q995" s="4">
        <v>-73.952567000000002</v>
      </c>
      <c r="R995" s="4">
        <v>40.801979000000003</v>
      </c>
      <c r="S995" s="4">
        <v>-73.952231999999995</v>
      </c>
      <c r="U995" t="s">
        <v>49</v>
      </c>
      <c r="V995" t="s">
        <v>71</v>
      </c>
      <c r="W995" t="s">
        <v>51</v>
      </c>
      <c r="X995" s="4">
        <v>7</v>
      </c>
      <c r="Y995" s="4">
        <v>36</v>
      </c>
      <c r="Z995" s="4">
        <v>12</v>
      </c>
      <c r="AC995" s="4">
        <v>1</v>
      </c>
      <c r="AE995" s="4">
        <v>1</v>
      </c>
      <c r="AG995" s="4">
        <v>6</v>
      </c>
      <c r="AH995" s="4">
        <v>49</v>
      </c>
      <c r="AL995" s="4">
        <v>13</v>
      </c>
      <c r="AM995" s="4">
        <v>43</v>
      </c>
      <c r="AN995" s="4">
        <v>56</v>
      </c>
      <c r="AO995" s="4">
        <v>56</v>
      </c>
    </row>
    <row r="996" spans="1:41" hidden="1" x14ac:dyDescent="0.2">
      <c r="A996" t="s">
        <v>1836</v>
      </c>
      <c r="B996" t="s">
        <v>1837</v>
      </c>
      <c r="C996" s="2">
        <v>42552</v>
      </c>
      <c r="D996" s="2">
        <v>44377</v>
      </c>
      <c r="E996" s="3">
        <v>43339</v>
      </c>
      <c r="F996" t="s">
        <v>1838</v>
      </c>
      <c r="G996" t="s">
        <v>532</v>
      </c>
      <c r="H996" t="s">
        <v>45</v>
      </c>
      <c r="I996" s="3">
        <v>10033</v>
      </c>
      <c r="J996" s="3">
        <v>1021440038</v>
      </c>
      <c r="K996" s="3">
        <v>1063548</v>
      </c>
      <c r="L996" t="s">
        <v>114</v>
      </c>
      <c r="M996" s="4">
        <v>10</v>
      </c>
      <c r="N996" t="s">
        <v>349</v>
      </c>
      <c r="O996" t="s">
        <v>134</v>
      </c>
      <c r="P996" s="4">
        <v>40.847507999999998</v>
      </c>
      <c r="Q996" s="4">
        <v>-73.935553999999996</v>
      </c>
      <c r="R996" s="4">
        <v>40.847439999999999</v>
      </c>
      <c r="S996" s="4">
        <v>-73.936042</v>
      </c>
      <c r="T996" s="2">
        <v>44377</v>
      </c>
      <c r="U996" t="s">
        <v>49</v>
      </c>
      <c r="V996" t="s">
        <v>71</v>
      </c>
      <c r="W996" t="s">
        <v>51</v>
      </c>
      <c r="X996" s="4">
        <v>2</v>
      </c>
      <c r="Y996" s="4">
        <v>15</v>
      </c>
      <c r="Z996" s="4">
        <v>5</v>
      </c>
      <c r="AF996" s="4">
        <v>7</v>
      </c>
      <c r="AG996" s="4">
        <v>11</v>
      </c>
      <c r="AH996" s="4">
        <v>4</v>
      </c>
      <c r="AL996" s="4">
        <v>22</v>
      </c>
      <c r="AN996" s="4">
        <v>22</v>
      </c>
      <c r="AO996" s="4">
        <v>22</v>
      </c>
    </row>
    <row r="997" spans="1:41" hidden="1" x14ac:dyDescent="0.2">
      <c r="A997" t="s">
        <v>1839</v>
      </c>
      <c r="B997" t="s">
        <v>1840</v>
      </c>
      <c r="C997" s="2">
        <v>42552</v>
      </c>
      <c r="D997" s="2">
        <v>42552</v>
      </c>
      <c r="E997" s="3">
        <v>25515</v>
      </c>
      <c r="F997" t="s">
        <v>811</v>
      </c>
      <c r="G997" t="s">
        <v>297</v>
      </c>
      <c r="H997" t="s">
        <v>45</v>
      </c>
      <c r="I997" s="3">
        <v>10027</v>
      </c>
      <c r="J997" s="3">
        <v>1019500064</v>
      </c>
      <c r="K997" s="3">
        <v>1059285</v>
      </c>
      <c r="L997" t="s">
        <v>169</v>
      </c>
      <c r="M997" s="4">
        <v>9</v>
      </c>
      <c r="N997" t="s">
        <v>250</v>
      </c>
      <c r="O997" t="s">
        <v>251</v>
      </c>
      <c r="P997" s="4">
        <v>40.810423</v>
      </c>
      <c r="Q997" s="4">
        <v>-73.954693000000006</v>
      </c>
      <c r="R997" s="4">
        <v>40.810282000000001</v>
      </c>
      <c r="S997" s="4">
        <v>-73.954425999999998</v>
      </c>
      <c r="T997" s="2">
        <v>42552</v>
      </c>
      <c r="U997" t="s">
        <v>49</v>
      </c>
      <c r="V997" t="s">
        <v>50</v>
      </c>
      <c r="W997" t="s">
        <v>51</v>
      </c>
      <c r="Z997" s="4">
        <v>10</v>
      </c>
      <c r="AD997" s="4">
        <v>1</v>
      </c>
      <c r="AF997" s="4">
        <v>9</v>
      </c>
      <c r="AL997" s="4">
        <v>10</v>
      </c>
      <c r="AN997" s="4">
        <v>10</v>
      </c>
      <c r="AO997" s="4">
        <v>10</v>
      </c>
    </row>
    <row r="998" spans="1:41" hidden="1" x14ac:dyDescent="0.2">
      <c r="A998" t="s">
        <v>1839</v>
      </c>
      <c r="B998" t="s">
        <v>1840</v>
      </c>
      <c r="C998" s="2">
        <v>42552</v>
      </c>
      <c r="D998" s="2">
        <v>42552</v>
      </c>
      <c r="E998" s="3">
        <v>25516</v>
      </c>
      <c r="F998" t="s">
        <v>812</v>
      </c>
      <c r="G998" t="s">
        <v>297</v>
      </c>
      <c r="H998" t="s">
        <v>45</v>
      </c>
      <c r="I998" s="3">
        <v>10027</v>
      </c>
      <c r="J998" s="3">
        <v>1019500063</v>
      </c>
      <c r="K998" s="3">
        <v>1059284</v>
      </c>
      <c r="L998" t="s">
        <v>169</v>
      </c>
      <c r="M998" s="4">
        <v>9</v>
      </c>
      <c r="N998" t="s">
        <v>250</v>
      </c>
      <c r="O998" t="s">
        <v>251</v>
      </c>
      <c r="P998" s="4">
        <v>40.810460999999997</v>
      </c>
      <c r="Q998" s="4">
        <v>-73.954663999999994</v>
      </c>
      <c r="R998" s="4">
        <v>40.810343000000003</v>
      </c>
      <c r="S998" s="4">
        <v>-73.954381999999995</v>
      </c>
      <c r="T998" s="2">
        <v>42552</v>
      </c>
      <c r="U998" t="s">
        <v>49</v>
      </c>
      <c r="V998" t="s">
        <v>50</v>
      </c>
      <c r="W998" t="s">
        <v>51</v>
      </c>
      <c r="Z998" s="4">
        <v>10</v>
      </c>
      <c r="AD998" s="4">
        <v>1</v>
      </c>
      <c r="AF998" s="4">
        <v>9</v>
      </c>
      <c r="AL998" s="4">
        <v>10</v>
      </c>
      <c r="AN998" s="4">
        <v>10</v>
      </c>
      <c r="AO998" s="4">
        <v>10</v>
      </c>
    </row>
    <row r="999" spans="1:41" hidden="1" x14ac:dyDescent="0.2">
      <c r="A999" t="s">
        <v>1839</v>
      </c>
      <c r="B999" t="s">
        <v>1840</v>
      </c>
      <c r="C999" s="2">
        <v>42552</v>
      </c>
      <c r="D999" s="2">
        <v>42552</v>
      </c>
      <c r="E999" s="3">
        <v>25517</v>
      </c>
      <c r="F999" t="s">
        <v>813</v>
      </c>
      <c r="G999" t="s">
        <v>297</v>
      </c>
      <c r="H999" t="s">
        <v>45</v>
      </c>
      <c r="I999" s="3">
        <v>10027</v>
      </c>
      <c r="J999" s="3">
        <v>1019500062</v>
      </c>
      <c r="K999" s="3">
        <v>1059283</v>
      </c>
      <c r="L999" t="s">
        <v>169</v>
      </c>
      <c r="M999" s="4">
        <v>9</v>
      </c>
      <c r="N999" t="s">
        <v>250</v>
      </c>
      <c r="O999" t="s">
        <v>251</v>
      </c>
      <c r="P999" s="4">
        <v>40.810499</v>
      </c>
      <c r="Q999" s="4">
        <v>-73.954634999999996</v>
      </c>
      <c r="R999" s="4">
        <v>40.810400000000001</v>
      </c>
      <c r="S999" s="4">
        <v>-73.954341999999997</v>
      </c>
      <c r="T999" s="2">
        <v>42552</v>
      </c>
      <c r="U999" t="s">
        <v>49</v>
      </c>
      <c r="V999" t="s">
        <v>50</v>
      </c>
      <c r="W999" t="s">
        <v>51</v>
      </c>
      <c r="Z999" s="4">
        <v>10</v>
      </c>
      <c r="AD999" s="4">
        <v>1</v>
      </c>
      <c r="AF999" s="4">
        <v>9</v>
      </c>
      <c r="AL999" s="4">
        <v>10</v>
      </c>
      <c r="AN999" s="4">
        <v>10</v>
      </c>
      <c r="AO999" s="4">
        <v>10</v>
      </c>
    </row>
    <row r="1000" spans="1:41" hidden="1" x14ac:dyDescent="0.2">
      <c r="A1000" t="s">
        <v>1839</v>
      </c>
      <c r="B1000" t="s">
        <v>1840</v>
      </c>
      <c r="C1000" s="2">
        <v>42552</v>
      </c>
      <c r="D1000" s="2">
        <v>42552</v>
      </c>
      <c r="E1000" s="3">
        <v>28159</v>
      </c>
      <c r="F1000" t="s">
        <v>1841</v>
      </c>
      <c r="G1000" t="s">
        <v>345</v>
      </c>
      <c r="H1000" t="s">
        <v>45</v>
      </c>
      <c r="I1000" s="3">
        <v>10030</v>
      </c>
      <c r="J1000" s="3">
        <v>1020510029</v>
      </c>
      <c r="K1000" s="3">
        <v>1061048</v>
      </c>
      <c r="L1000" t="s">
        <v>169</v>
      </c>
      <c r="M1000" s="4">
        <v>9</v>
      </c>
      <c r="N1000" t="s">
        <v>420</v>
      </c>
      <c r="O1000" t="s">
        <v>232</v>
      </c>
      <c r="P1000" s="4">
        <v>40.822555999999999</v>
      </c>
      <c r="Q1000" s="4">
        <v>-73.945449999999994</v>
      </c>
      <c r="R1000" s="4">
        <v>40.822155000000002</v>
      </c>
      <c r="S1000" s="4">
        <v>-73.945284000000001</v>
      </c>
      <c r="T1000" s="2">
        <v>42552</v>
      </c>
      <c r="U1000" t="s">
        <v>49</v>
      </c>
      <c r="V1000" t="s">
        <v>50</v>
      </c>
      <c r="W1000" t="s">
        <v>51</v>
      </c>
      <c r="Z1000" s="4">
        <v>18</v>
      </c>
      <c r="AB1000" s="4">
        <v>6</v>
      </c>
      <c r="AE1000" s="4">
        <v>7</v>
      </c>
      <c r="AF1000" s="4">
        <v>7</v>
      </c>
      <c r="AG1000" s="4">
        <v>10</v>
      </c>
      <c r="AL1000" s="4">
        <v>24</v>
      </c>
      <c r="AN1000" s="4">
        <v>24</v>
      </c>
      <c r="AO1000" s="4">
        <v>24</v>
      </c>
    </row>
    <row r="1001" spans="1:41" hidden="1" x14ac:dyDescent="0.2">
      <c r="A1001" t="s">
        <v>1839</v>
      </c>
      <c r="B1001" t="s">
        <v>1840</v>
      </c>
      <c r="C1001" s="2">
        <v>42552</v>
      </c>
      <c r="D1001" s="2">
        <v>42552</v>
      </c>
      <c r="E1001" s="3">
        <v>28324</v>
      </c>
      <c r="F1001" t="s">
        <v>1239</v>
      </c>
      <c r="G1001" t="s">
        <v>1842</v>
      </c>
      <c r="H1001" t="s">
        <v>45</v>
      </c>
      <c r="I1001" s="3">
        <v>10031</v>
      </c>
      <c r="J1001" s="3">
        <v>1020540025</v>
      </c>
      <c r="K1001" s="3">
        <v>1061171</v>
      </c>
      <c r="L1001" t="s">
        <v>169</v>
      </c>
      <c r="M1001" s="4">
        <v>9</v>
      </c>
      <c r="N1001" t="s">
        <v>897</v>
      </c>
      <c r="O1001" t="s">
        <v>232</v>
      </c>
      <c r="P1001" s="4">
        <v>40.828350999999998</v>
      </c>
      <c r="Q1001" s="4">
        <v>-73.941599999999994</v>
      </c>
      <c r="R1001" s="4">
        <v>40.828296000000002</v>
      </c>
      <c r="S1001" s="4">
        <v>-73.941235000000006</v>
      </c>
      <c r="T1001" s="2">
        <v>42552</v>
      </c>
      <c r="U1001" t="s">
        <v>49</v>
      </c>
      <c r="V1001" t="s">
        <v>50</v>
      </c>
      <c r="W1001" t="s">
        <v>51</v>
      </c>
      <c r="Y1001" s="4">
        <v>14</v>
      </c>
      <c r="Z1001" s="4">
        <v>1</v>
      </c>
      <c r="AD1001" s="4">
        <v>6</v>
      </c>
      <c r="AE1001" s="4">
        <v>1</v>
      </c>
      <c r="AF1001" s="4">
        <v>8</v>
      </c>
      <c r="AL1001" s="4">
        <v>15</v>
      </c>
      <c r="AN1001" s="4">
        <v>15</v>
      </c>
      <c r="AO1001" s="4">
        <v>15</v>
      </c>
    </row>
    <row r="1002" spans="1:41" hidden="1" x14ac:dyDescent="0.2">
      <c r="A1002" t="s">
        <v>1839</v>
      </c>
      <c r="B1002" t="s">
        <v>1840</v>
      </c>
      <c r="C1002" s="2">
        <v>42552</v>
      </c>
      <c r="D1002" s="2">
        <v>42552</v>
      </c>
      <c r="E1002" s="3">
        <v>38644</v>
      </c>
      <c r="F1002" t="s">
        <v>587</v>
      </c>
      <c r="G1002" t="s">
        <v>504</v>
      </c>
      <c r="H1002" t="s">
        <v>45</v>
      </c>
      <c r="I1002" s="3">
        <v>10026</v>
      </c>
      <c r="J1002" s="3">
        <v>1019030045</v>
      </c>
      <c r="K1002" s="3">
        <v>1057502</v>
      </c>
      <c r="L1002" t="s">
        <v>146</v>
      </c>
      <c r="M1002" s="4">
        <v>9</v>
      </c>
      <c r="N1002" t="s">
        <v>256</v>
      </c>
      <c r="O1002" t="s">
        <v>148</v>
      </c>
      <c r="P1002" s="4">
        <v>40.804327000000001</v>
      </c>
      <c r="Q1002" s="4">
        <v>-73.949173999999999</v>
      </c>
      <c r="R1002" s="4">
        <v>40.804260999999997</v>
      </c>
      <c r="S1002" s="4">
        <v>-73.949590000000001</v>
      </c>
      <c r="T1002" s="2">
        <v>42552</v>
      </c>
      <c r="U1002" t="s">
        <v>49</v>
      </c>
      <c r="V1002" t="s">
        <v>50</v>
      </c>
      <c r="W1002" t="s">
        <v>51</v>
      </c>
      <c r="Y1002" s="4">
        <v>4</v>
      </c>
      <c r="AE1002" s="4">
        <v>1</v>
      </c>
      <c r="AF1002" s="4">
        <v>3</v>
      </c>
      <c r="AL1002" s="4">
        <v>4</v>
      </c>
      <c r="AN1002" s="4">
        <v>4</v>
      </c>
      <c r="AO1002" s="4">
        <v>4</v>
      </c>
    </row>
    <row r="1003" spans="1:41" hidden="1" x14ac:dyDescent="0.2">
      <c r="A1003" t="s">
        <v>1839</v>
      </c>
      <c r="B1003" t="s">
        <v>1840</v>
      </c>
      <c r="C1003" s="2">
        <v>42552</v>
      </c>
      <c r="D1003" s="2">
        <v>42552</v>
      </c>
      <c r="E1003" s="3">
        <v>39531</v>
      </c>
      <c r="F1003" t="s">
        <v>1843</v>
      </c>
      <c r="G1003" t="s">
        <v>260</v>
      </c>
      <c r="H1003" t="s">
        <v>45</v>
      </c>
      <c r="I1003" s="3">
        <v>10027</v>
      </c>
      <c r="J1003" s="3">
        <v>1019660042</v>
      </c>
      <c r="K1003" s="3">
        <v>1059533</v>
      </c>
      <c r="L1003" t="s">
        <v>169</v>
      </c>
      <c r="M1003" s="4">
        <v>7</v>
      </c>
      <c r="N1003" t="s">
        <v>250</v>
      </c>
      <c r="O1003" t="s">
        <v>251</v>
      </c>
      <c r="P1003" s="4">
        <v>40.812804999999997</v>
      </c>
      <c r="Q1003" s="4">
        <v>-73.955749999999995</v>
      </c>
      <c r="R1003" s="4">
        <v>40.813025000000003</v>
      </c>
      <c r="S1003" s="4">
        <v>-73.955544000000003</v>
      </c>
      <c r="T1003" s="2">
        <v>42552</v>
      </c>
      <c r="U1003" t="s">
        <v>49</v>
      </c>
      <c r="V1003" t="s">
        <v>50</v>
      </c>
      <c r="W1003" t="s">
        <v>51</v>
      </c>
      <c r="Z1003" s="4">
        <v>16</v>
      </c>
      <c r="AD1003" s="4">
        <v>5</v>
      </c>
      <c r="AE1003" s="4">
        <v>5</v>
      </c>
      <c r="AG1003" s="4">
        <v>6</v>
      </c>
      <c r="AL1003" s="4">
        <v>16</v>
      </c>
      <c r="AN1003" s="4">
        <v>16</v>
      </c>
      <c r="AO1003" s="4">
        <v>16</v>
      </c>
    </row>
    <row r="1004" spans="1:41" hidden="1" x14ac:dyDescent="0.2">
      <c r="A1004" t="s">
        <v>1839</v>
      </c>
      <c r="B1004" t="s">
        <v>1840</v>
      </c>
      <c r="C1004" s="2">
        <v>42552</v>
      </c>
      <c r="D1004" s="2">
        <v>42552</v>
      </c>
      <c r="E1004" s="3">
        <v>39663</v>
      </c>
      <c r="F1004" t="s">
        <v>1844</v>
      </c>
      <c r="G1004" t="s">
        <v>249</v>
      </c>
      <c r="H1004" t="s">
        <v>45</v>
      </c>
      <c r="I1004" s="3">
        <v>10027</v>
      </c>
      <c r="J1004" s="3">
        <v>1019530010</v>
      </c>
      <c r="K1004" s="3">
        <v>1059330</v>
      </c>
      <c r="L1004" t="s">
        <v>169</v>
      </c>
      <c r="M1004" s="4">
        <v>9</v>
      </c>
      <c r="N1004" t="s">
        <v>187</v>
      </c>
      <c r="O1004" t="s">
        <v>171</v>
      </c>
      <c r="P1004" s="4">
        <v>40.811629000000003</v>
      </c>
      <c r="Q1004" s="4">
        <v>-73.952524999999994</v>
      </c>
      <c r="R1004" s="4">
        <v>40.811878999999998</v>
      </c>
      <c r="S1004" s="4">
        <v>-73.952556999999999</v>
      </c>
      <c r="T1004" s="2">
        <v>42552</v>
      </c>
      <c r="U1004" t="s">
        <v>49</v>
      </c>
      <c r="V1004" t="s">
        <v>50</v>
      </c>
      <c r="W1004" t="s">
        <v>51</v>
      </c>
      <c r="Y1004" s="4">
        <v>19</v>
      </c>
      <c r="AB1004" s="4">
        <v>1</v>
      </c>
      <c r="AD1004" s="4">
        <v>10</v>
      </c>
      <c r="AE1004" s="4">
        <v>10</v>
      </c>
      <c r="AL1004" s="4">
        <v>20</v>
      </c>
      <c r="AN1004" s="4">
        <v>20</v>
      </c>
      <c r="AO1004" s="4">
        <v>20</v>
      </c>
    </row>
    <row r="1005" spans="1:41" hidden="1" x14ac:dyDescent="0.2">
      <c r="A1005" t="s">
        <v>1839</v>
      </c>
      <c r="B1005" t="s">
        <v>1840</v>
      </c>
      <c r="C1005" s="2">
        <v>42552</v>
      </c>
      <c r="D1005" s="2">
        <v>42552</v>
      </c>
      <c r="E1005" s="3">
        <v>39664</v>
      </c>
      <c r="F1005" t="s">
        <v>1093</v>
      </c>
      <c r="G1005" t="s">
        <v>249</v>
      </c>
      <c r="H1005" t="s">
        <v>45</v>
      </c>
      <c r="I1005" s="3">
        <v>10027</v>
      </c>
      <c r="J1005" s="3">
        <v>1019530009</v>
      </c>
      <c r="K1005" s="3">
        <v>1059329</v>
      </c>
      <c r="L1005" t="s">
        <v>169</v>
      </c>
      <c r="M1005" s="4">
        <v>9</v>
      </c>
      <c r="N1005" t="s">
        <v>187</v>
      </c>
      <c r="O1005" t="s">
        <v>171</v>
      </c>
      <c r="P1005" s="4">
        <v>40.811649000000003</v>
      </c>
      <c r="Q1005" s="4">
        <v>-73.952563999999995</v>
      </c>
      <c r="R1005" s="4">
        <v>40.811912</v>
      </c>
      <c r="S1005" s="4">
        <v>-73.952635999999998</v>
      </c>
      <c r="T1005" s="2">
        <v>42552</v>
      </c>
      <c r="U1005" t="s">
        <v>49</v>
      </c>
      <c r="V1005" t="s">
        <v>50</v>
      </c>
      <c r="W1005" t="s">
        <v>51</v>
      </c>
      <c r="Y1005" s="4">
        <v>20</v>
      </c>
      <c r="AD1005" s="4">
        <v>11</v>
      </c>
      <c r="AE1005" s="4">
        <v>9</v>
      </c>
      <c r="AL1005" s="4">
        <v>20</v>
      </c>
      <c r="AN1005" s="4">
        <v>20</v>
      </c>
      <c r="AO1005" s="4">
        <v>20</v>
      </c>
    </row>
    <row r="1006" spans="1:41" hidden="1" x14ac:dyDescent="0.2">
      <c r="A1006" t="s">
        <v>1839</v>
      </c>
      <c r="B1006" t="s">
        <v>1840</v>
      </c>
      <c r="C1006" s="2">
        <v>42552</v>
      </c>
      <c r="D1006" s="2">
        <v>42552</v>
      </c>
      <c r="E1006" s="3">
        <v>39666</v>
      </c>
      <c r="F1006" t="s">
        <v>1095</v>
      </c>
      <c r="G1006" t="s">
        <v>249</v>
      </c>
      <c r="H1006" t="s">
        <v>45</v>
      </c>
      <c r="I1006" s="3">
        <v>10027</v>
      </c>
      <c r="J1006" s="3">
        <v>1019530007</v>
      </c>
      <c r="K1006" s="3">
        <v>1059327</v>
      </c>
      <c r="L1006" t="s">
        <v>169</v>
      </c>
      <c r="M1006" s="4">
        <v>9</v>
      </c>
      <c r="N1006" t="s">
        <v>187</v>
      </c>
      <c r="O1006" t="s">
        <v>171</v>
      </c>
      <c r="P1006" s="4">
        <v>40.811684</v>
      </c>
      <c r="Q1006" s="4">
        <v>-73.952651000000003</v>
      </c>
      <c r="R1006" s="4">
        <v>40.811978000000003</v>
      </c>
      <c r="S1006" s="4">
        <v>-73.952794999999995</v>
      </c>
      <c r="T1006" s="2">
        <v>42552</v>
      </c>
      <c r="U1006" t="s">
        <v>49</v>
      </c>
      <c r="V1006" t="s">
        <v>50</v>
      </c>
      <c r="W1006" t="s">
        <v>51</v>
      </c>
      <c r="Y1006" s="4">
        <v>9</v>
      </c>
      <c r="AE1006" s="4">
        <v>9</v>
      </c>
      <c r="AL1006" s="4">
        <v>9</v>
      </c>
      <c r="AN1006" s="4">
        <v>9</v>
      </c>
      <c r="AO1006" s="4">
        <v>9</v>
      </c>
    </row>
    <row r="1007" spans="1:41" hidden="1" x14ac:dyDescent="0.2">
      <c r="A1007" t="s">
        <v>1839</v>
      </c>
      <c r="B1007" t="s">
        <v>1840</v>
      </c>
      <c r="C1007" s="2">
        <v>42552</v>
      </c>
      <c r="D1007" s="2">
        <v>42552</v>
      </c>
      <c r="E1007" s="3">
        <v>39672</v>
      </c>
      <c r="F1007" t="s">
        <v>1746</v>
      </c>
      <c r="G1007" t="s">
        <v>249</v>
      </c>
      <c r="H1007" t="s">
        <v>45</v>
      </c>
      <c r="I1007" s="3">
        <v>10027</v>
      </c>
      <c r="J1007" s="3">
        <v>1017240019</v>
      </c>
      <c r="K1007" s="3">
        <v>1053554</v>
      </c>
      <c r="L1007" t="s">
        <v>146</v>
      </c>
      <c r="M1007" s="4">
        <v>9</v>
      </c>
      <c r="N1007" t="s">
        <v>305</v>
      </c>
      <c r="O1007" t="s">
        <v>177</v>
      </c>
      <c r="P1007" s="4">
        <v>40.807656000000001</v>
      </c>
      <c r="Q1007" s="4">
        <v>-73.943088000000003</v>
      </c>
      <c r="R1007" s="4">
        <v>40.807934000000003</v>
      </c>
      <c r="S1007" s="4">
        <v>-73.943185999999997</v>
      </c>
      <c r="T1007" s="2">
        <v>42552</v>
      </c>
      <c r="U1007" t="s">
        <v>49</v>
      </c>
      <c r="V1007" t="s">
        <v>50</v>
      </c>
      <c r="W1007" t="s">
        <v>51</v>
      </c>
      <c r="Y1007" s="4">
        <v>4</v>
      </c>
      <c r="AE1007" s="4">
        <v>4</v>
      </c>
      <c r="AL1007" s="4">
        <v>4</v>
      </c>
      <c r="AN1007" s="4">
        <v>4</v>
      </c>
      <c r="AO1007" s="4">
        <v>4</v>
      </c>
    </row>
    <row r="1008" spans="1:41" hidden="1" x14ac:dyDescent="0.2">
      <c r="A1008" t="s">
        <v>1839</v>
      </c>
      <c r="B1008" t="s">
        <v>1840</v>
      </c>
      <c r="C1008" s="2">
        <v>42552</v>
      </c>
      <c r="D1008" s="2">
        <v>42552</v>
      </c>
      <c r="E1008" s="3">
        <v>39694</v>
      </c>
      <c r="F1008" t="s">
        <v>1845</v>
      </c>
      <c r="G1008" t="s">
        <v>249</v>
      </c>
      <c r="H1008" t="s">
        <v>45</v>
      </c>
      <c r="I1008" s="3">
        <v>10027</v>
      </c>
      <c r="J1008" s="3">
        <v>1019670006</v>
      </c>
      <c r="K1008" s="3">
        <v>1059564</v>
      </c>
      <c r="L1008" t="s">
        <v>169</v>
      </c>
      <c r="M1008" s="4">
        <v>7</v>
      </c>
      <c r="N1008" t="s">
        <v>187</v>
      </c>
      <c r="O1008" t="s">
        <v>171</v>
      </c>
      <c r="P1008" s="4">
        <v>40.812922999999998</v>
      </c>
      <c r="Q1008" s="4">
        <v>-73.954633000000001</v>
      </c>
      <c r="R1008" s="4">
        <v>40.813057000000001</v>
      </c>
      <c r="S1008" s="4">
        <v>-73.954466999999994</v>
      </c>
      <c r="T1008" s="2">
        <v>42552</v>
      </c>
      <c r="U1008" t="s">
        <v>49</v>
      </c>
      <c r="V1008" t="s">
        <v>50</v>
      </c>
      <c r="W1008" t="s">
        <v>51</v>
      </c>
      <c r="Y1008" s="4">
        <v>8</v>
      </c>
      <c r="Z1008" s="4">
        <v>7</v>
      </c>
      <c r="AD1008" s="4">
        <v>1</v>
      </c>
      <c r="AE1008" s="4">
        <v>1</v>
      </c>
      <c r="AF1008" s="4">
        <v>13</v>
      </c>
      <c r="AL1008" s="4">
        <v>15</v>
      </c>
      <c r="AN1008" s="4">
        <v>15</v>
      </c>
      <c r="AO1008" s="4">
        <v>15</v>
      </c>
    </row>
    <row r="1009" spans="1:41" hidden="1" x14ac:dyDescent="0.2">
      <c r="A1009" t="s">
        <v>1839</v>
      </c>
      <c r="B1009" t="s">
        <v>1840</v>
      </c>
      <c r="C1009" s="2">
        <v>42552</v>
      </c>
      <c r="D1009" s="2">
        <v>42552</v>
      </c>
      <c r="E1009" s="3">
        <v>39697</v>
      </c>
      <c r="F1009" t="s">
        <v>966</v>
      </c>
      <c r="G1009" t="s">
        <v>249</v>
      </c>
      <c r="H1009" t="s">
        <v>45</v>
      </c>
      <c r="I1009" s="3">
        <v>10027</v>
      </c>
      <c r="J1009" s="3">
        <v>1017230055</v>
      </c>
      <c r="K1009" s="3">
        <v>1053518</v>
      </c>
      <c r="L1009" t="s">
        <v>146</v>
      </c>
      <c r="M1009" s="4">
        <v>9</v>
      </c>
      <c r="N1009" t="s">
        <v>1472</v>
      </c>
      <c r="O1009" t="s">
        <v>148</v>
      </c>
      <c r="P1009" s="4">
        <v>40.807685999999997</v>
      </c>
      <c r="Q1009" s="4">
        <v>-73.943211000000005</v>
      </c>
      <c r="R1009" s="4">
        <v>40.807602000000003</v>
      </c>
      <c r="S1009" s="4">
        <v>-73.943590999999998</v>
      </c>
      <c r="T1009" s="2">
        <v>42552</v>
      </c>
      <c r="U1009" t="s">
        <v>49</v>
      </c>
      <c r="V1009" t="s">
        <v>50</v>
      </c>
      <c r="W1009" t="s">
        <v>51</v>
      </c>
      <c r="Y1009" s="4">
        <v>4</v>
      </c>
      <c r="AE1009" s="4">
        <v>4</v>
      </c>
      <c r="AL1009" s="4">
        <v>4</v>
      </c>
      <c r="AN1009" s="4">
        <v>4</v>
      </c>
      <c r="AO1009" s="4">
        <v>4</v>
      </c>
    </row>
    <row r="1010" spans="1:41" hidden="1" x14ac:dyDescent="0.2">
      <c r="A1010" t="s">
        <v>1839</v>
      </c>
      <c r="B1010" t="s">
        <v>1840</v>
      </c>
      <c r="C1010" s="2">
        <v>42552</v>
      </c>
      <c r="D1010" s="2">
        <v>42552</v>
      </c>
      <c r="E1010" s="3">
        <v>39702</v>
      </c>
      <c r="F1010" t="s">
        <v>1425</v>
      </c>
      <c r="G1010" t="s">
        <v>249</v>
      </c>
      <c r="H1010" t="s">
        <v>45</v>
      </c>
      <c r="I1010" s="3">
        <v>10027</v>
      </c>
      <c r="J1010" s="3">
        <v>1019660104</v>
      </c>
      <c r="K1010" s="3">
        <v>1059558</v>
      </c>
      <c r="L1010" t="s">
        <v>169</v>
      </c>
      <c r="M1010" s="4">
        <v>7</v>
      </c>
      <c r="N1010" t="s">
        <v>250</v>
      </c>
      <c r="O1010" t="s">
        <v>251</v>
      </c>
      <c r="P1010" s="4">
        <v>40.813662000000001</v>
      </c>
      <c r="Q1010" s="4">
        <v>-73.955308000000002</v>
      </c>
      <c r="R1010" s="4">
        <v>40.813516</v>
      </c>
      <c r="S1010" s="4">
        <v>-73.955528999999999</v>
      </c>
      <c r="T1010" s="2">
        <v>42552</v>
      </c>
      <c r="U1010" t="s">
        <v>49</v>
      </c>
      <c r="V1010" t="s">
        <v>50</v>
      </c>
      <c r="W1010" t="s">
        <v>51</v>
      </c>
      <c r="Y1010" s="4">
        <v>3</v>
      </c>
      <c r="Z1010" s="4">
        <v>16</v>
      </c>
      <c r="AD1010" s="4">
        <v>2</v>
      </c>
      <c r="AF1010" s="4">
        <v>6</v>
      </c>
      <c r="AG1010" s="4">
        <v>6</v>
      </c>
      <c r="AH1010" s="4">
        <v>5</v>
      </c>
      <c r="AL1010" s="4">
        <v>19</v>
      </c>
      <c r="AN1010" s="4">
        <v>19</v>
      </c>
      <c r="AO1010" s="4">
        <v>19</v>
      </c>
    </row>
    <row r="1011" spans="1:41" hidden="1" x14ac:dyDescent="0.2">
      <c r="A1011" t="s">
        <v>1839</v>
      </c>
      <c r="B1011" t="s">
        <v>1840</v>
      </c>
      <c r="C1011" s="2">
        <v>42552</v>
      </c>
      <c r="D1011" s="2">
        <v>42552</v>
      </c>
      <c r="E1011" s="3">
        <v>39830</v>
      </c>
      <c r="F1011" t="s">
        <v>488</v>
      </c>
      <c r="G1011" t="s">
        <v>1547</v>
      </c>
      <c r="H1011" t="s">
        <v>45</v>
      </c>
      <c r="I1011" s="3">
        <v>10027</v>
      </c>
      <c r="J1011" s="3">
        <v>1019530055</v>
      </c>
      <c r="K1011" s="3">
        <v>1059357</v>
      </c>
      <c r="L1011" t="s">
        <v>169</v>
      </c>
      <c r="M1011" s="4">
        <v>9</v>
      </c>
      <c r="N1011" t="s">
        <v>187</v>
      </c>
      <c r="O1011" t="s">
        <v>171</v>
      </c>
      <c r="P1011" s="4">
        <v>40.812379</v>
      </c>
      <c r="Q1011" s="4">
        <v>-73.952400999999995</v>
      </c>
      <c r="R1011" s="4">
        <v>40.812156000000002</v>
      </c>
      <c r="S1011" s="4">
        <v>-73.952455</v>
      </c>
      <c r="T1011" s="2">
        <v>42552</v>
      </c>
      <c r="U1011" t="s">
        <v>49</v>
      </c>
      <c r="V1011" t="s">
        <v>50</v>
      </c>
      <c r="W1011" t="s">
        <v>51</v>
      </c>
      <c r="Y1011" s="4">
        <v>4</v>
      </c>
      <c r="AB1011" s="4">
        <v>4</v>
      </c>
      <c r="AE1011" s="4">
        <v>3</v>
      </c>
      <c r="AF1011" s="4">
        <v>3</v>
      </c>
      <c r="AH1011" s="4">
        <v>2</v>
      </c>
      <c r="AL1011" s="4">
        <v>8</v>
      </c>
      <c r="AN1011" s="4">
        <v>8</v>
      </c>
      <c r="AO1011" s="4">
        <v>8</v>
      </c>
    </row>
    <row r="1012" spans="1:41" hidden="1" x14ac:dyDescent="0.2">
      <c r="A1012" t="s">
        <v>1839</v>
      </c>
      <c r="B1012" t="s">
        <v>1840</v>
      </c>
      <c r="C1012" s="2">
        <v>42552</v>
      </c>
      <c r="D1012" s="2">
        <v>42552</v>
      </c>
      <c r="E1012" s="3">
        <v>39831</v>
      </c>
      <c r="F1012" t="s">
        <v>1846</v>
      </c>
      <c r="G1012" t="s">
        <v>1547</v>
      </c>
      <c r="H1012" t="s">
        <v>45</v>
      </c>
      <c r="I1012" s="3">
        <v>10027</v>
      </c>
      <c r="J1012" s="3">
        <v>1019530056</v>
      </c>
      <c r="K1012" s="3">
        <v>1059358</v>
      </c>
      <c r="L1012" t="s">
        <v>169</v>
      </c>
      <c r="M1012" s="4">
        <v>9</v>
      </c>
      <c r="N1012" t="s">
        <v>187</v>
      </c>
      <c r="O1012" t="s">
        <v>171</v>
      </c>
      <c r="P1012" s="4">
        <v>40.812395000000002</v>
      </c>
      <c r="Q1012" s="4">
        <v>-73.952437000000003</v>
      </c>
      <c r="R1012" s="4">
        <v>40.812192000000003</v>
      </c>
      <c r="S1012" s="4">
        <v>-73.952534999999997</v>
      </c>
      <c r="T1012" s="2">
        <v>42552</v>
      </c>
      <c r="U1012" t="s">
        <v>49</v>
      </c>
      <c r="V1012" t="s">
        <v>50</v>
      </c>
      <c r="W1012" t="s">
        <v>51</v>
      </c>
      <c r="Y1012" s="4">
        <v>2</v>
      </c>
      <c r="AB1012" s="4">
        <v>6</v>
      </c>
      <c r="AE1012" s="4">
        <v>3</v>
      </c>
      <c r="AF1012" s="4">
        <v>3</v>
      </c>
      <c r="AH1012" s="4">
        <v>2</v>
      </c>
      <c r="AL1012" s="4">
        <v>8</v>
      </c>
      <c r="AN1012" s="4">
        <v>8</v>
      </c>
      <c r="AO1012" s="4">
        <v>8</v>
      </c>
    </row>
    <row r="1013" spans="1:41" hidden="1" x14ac:dyDescent="0.2">
      <c r="A1013" t="s">
        <v>1839</v>
      </c>
      <c r="B1013" t="s">
        <v>1840</v>
      </c>
      <c r="C1013" s="2">
        <v>42552</v>
      </c>
      <c r="D1013" s="2">
        <v>42552</v>
      </c>
      <c r="E1013" s="3">
        <v>838109</v>
      </c>
      <c r="F1013" t="s">
        <v>1847</v>
      </c>
      <c r="G1013" t="s">
        <v>345</v>
      </c>
      <c r="H1013" t="s">
        <v>45</v>
      </c>
      <c r="I1013" s="3">
        <v>10027</v>
      </c>
      <c r="J1013" s="3">
        <v>1019580041</v>
      </c>
      <c r="K1013" s="3">
        <v>1059432</v>
      </c>
      <c r="L1013" t="s">
        <v>146</v>
      </c>
      <c r="M1013" s="4">
        <v>9</v>
      </c>
      <c r="N1013" t="s">
        <v>379</v>
      </c>
      <c r="O1013" t="s">
        <v>177</v>
      </c>
      <c r="P1013" s="4">
        <v>40.815215000000002</v>
      </c>
      <c r="Q1013" s="4">
        <v>-73.948905999999994</v>
      </c>
      <c r="R1013" s="4">
        <v>40.815294999999999</v>
      </c>
      <c r="S1013" s="4">
        <v>-73.948532999999998</v>
      </c>
      <c r="T1013" s="2">
        <v>42552</v>
      </c>
      <c r="U1013" t="s">
        <v>49</v>
      </c>
      <c r="V1013" t="s">
        <v>50</v>
      </c>
      <c r="W1013" t="s">
        <v>51</v>
      </c>
      <c r="Y1013" s="4">
        <v>10</v>
      </c>
      <c r="AF1013" s="4">
        <v>6</v>
      </c>
      <c r="AG1013" s="4">
        <v>4</v>
      </c>
      <c r="AL1013" s="4">
        <v>10</v>
      </c>
      <c r="AN1013" s="4">
        <v>10</v>
      </c>
      <c r="AO1013" s="4">
        <v>10</v>
      </c>
    </row>
    <row r="1014" spans="1:41" hidden="1" x14ac:dyDescent="0.2">
      <c r="A1014" t="s">
        <v>1839</v>
      </c>
      <c r="B1014" t="s">
        <v>1840</v>
      </c>
      <c r="C1014" s="2">
        <v>42552</v>
      </c>
      <c r="D1014" s="2">
        <v>42552</v>
      </c>
      <c r="E1014" s="3">
        <v>973005</v>
      </c>
      <c r="F1014" t="s">
        <v>633</v>
      </c>
      <c r="G1014" t="s">
        <v>539</v>
      </c>
      <c r="H1014" t="s">
        <v>45</v>
      </c>
      <c r="I1014" s="3">
        <v>10031</v>
      </c>
      <c r="J1014" s="3">
        <v>1020760021</v>
      </c>
      <c r="K1014" s="3">
        <v>1079491</v>
      </c>
      <c r="L1014" t="s">
        <v>169</v>
      </c>
      <c r="M1014" s="4">
        <v>7</v>
      </c>
      <c r="N1014" t="s">
        <v>440</v>
      </c>
      <c r="O1014" t="s">
        <v>232</v>
      </c>
      <c r="P1014" s="4">
        <v>40.824907000000003</v>
      </c>
      <c r="Q1014" s="4">
        <v>-73.948898</v>
      </c>
      <c r="R1014" s="4">
        <v>40.825184</v>
      </c>
      <c r="S1014" s="4">
        <v>-73.948988</v>
      </c>
      <c r="T1014" s="2">
        <v>42552</v>
      </c>
      <c r="U1014" t="s">
        <v>49</v>
      </c>
      <c r="V1014" t="s">
        <v>50</v>
      </c>
      <c r="W1014" t="s">
        <v>51</v>
      </c>
      <c r="Z1014" s="4">
        <v>14</v>
      </c>
      <c r="AB1014" s="4">
        <v>1</v>
      </c>
      <c r="AE1014" s="4">
        <v>2</v>
      </c>
      <c r="AF1014" s="4">
        <v>8</v>
      </c>
      <c r="AH1014" s="4">
        <v>5</v>
      </c>
      <c r="AL1014" s="4">
        <v>15</v>
      </c>
      <c r="AN1014" s="4">
        <v>15</v>
      </c>
      <c r="AO1014" s="4">
        <v>15</v>
      </c>
    </row>
    <row r="1015" spans="1:41" hidden="1" x14ac:dyDescent="0.2">
      <c r="A1015" t="s">
        <v>1848</v>
      </c>
      <c r="B1015" t="s">
        <v>1849</v>
      </c>
      <c r="C1015" s="2">
        <v>42551</v>
      </c>
      <c r="D1015" s="2">
        <v>43173</v>
      </c>
      <c r="E1015" s="3">
        <v>28109</v>
      </c>
      <c r="F1015" t="s">
        <v>1793</v>
      </c>
      <c r="G1015" t="s">
        <v>345</v>
      </c>
      <c r="H1015" t="s">
        <v>45</v>
      </c>
      <c r="I1015" s="3">
        <v>10027</v>
      </c>
      <c r="J1015" s="3">
        <v>1019550026</v>
      </c>
      <c r="K1015" s="3">
        <v>1084066</v>
      </c>
      <c r="L1015" t="s">
        <v>146</v>
      </c>
      <c r="M1015" s="4">
        <v>9</v>
      </c>
      <c r="N1015" t="s">
        <v>379</v>
      </c>
      <c r="O1015" t="s">
        <v>177</v>
      </c>
      <c r="P1015" s="4">
        <v>40.813701000000002</v>
      </c>
      <c r="Q1015" s="4">
        <v>-73.949922000000001</v>
      </c>
      <c r="R1015" s="4">
        <v>40.813242000000002</v>
      </c>
      <c r="S1015" s="4">
        <v>-73.949601000000001</v>
      </c>
      <c r="T1015" s="2">
        <v>43173</v>
      </c>
      <c r="U1015" t="s">
        <v>49</v>
      </c>
      <c r="V1015" t="s">
        <v>71</v>
      </c>
      <c r="W1015" t="s">
        <v>51</v>
      </c>
      <c r="X1015" s="4">
        <v>108</v>
      </c>
      <c r="AE1015" s="4">
        <v>108</v>
      </c>
      <c r="AL1015" s="4">
        <v>108</v>
      </c>
      <c r="AN1015" s="4">
        <v>108</v>
      </c>
      <c r="AO1015" s="4">
        <v>108</v>
      </c>
    </row>
    <row r="1016" spans="1:41" hidden="1" x14ac:dyDescent="0.2">
      <c r="A1016" t="s">
        <v>1848</v>
      </c>
      <c r="B1016" t="s">
        <v>1849</v>
      </c>
      <c r="C1016" s="2">
        <v>42551</v>
      </c>
      <c r="D1016" s="2">
        <v>43173</v>
      </c>
      <c r="E1016" s="3">
        <v>37876</v>
      </c>
      <c r="F1016" t="s">
        <v>1010</v>
      </c>
      <c r="G1016" t="s">
        <v>314</v>
      </c>
      <c r="H1016" t="s">
        <v>45</v>
      </c>
      <c r="I1016" s="3">
        <v>10026</v>
      </c>
      <c r="J1016" s="3">
        <v>1015940050</v>
      </c>
      <c r="K1016" s="3">
        <v>1051401</v>
      </c>
      <c r="L1016" t="s">
        <v>146</v>
      </c>
      <c r="M1016" s="4">
        <v>9</v>
      </c>
      <c r="N1016" t="s">
        <v>456</v>
      </c>
      <c r="O1016" t="s">
        <v>148</v>
      </c>
      <c r="P1016" s="4">
        <v>40.797885000000001</v>
      </c>
      <c r="Q1016" s="4">
        <v>-73.949764000000002</v>
      </c>
      <c r="R1016" s="4">
        <v>40.797916000000001</v>
      </c>
      <c r="S1016" s="4">
        <v>-73.950312999999994</v>
      </c>
      <c r="T1016" s="2">
        <v>43154</v>
      </c>
      <c r="U1016" t="s">
        <v>49</v>
      </c>
      <c r="V1016" t="s">
        <v>71</v>
      </c>
      <c r="W1016" t="s">
        <v>51</v>
      </c>
      <c r="Y1016" s="4">
        <v>24</v>
      </c>
      <c r="AE1016" s="4">
        <v>24</v>
      </c>
      <c r="AL1016" s="4">
        <v>24</v>
      </c>
      <c r="AN1016" s="4">
        <v>24</v>
      </c>
      <c r="AO1016" s="4">
        <v>24</v>
      </c>
    </row>
    <row r="1017" spans="1:41" hidden="1" x14ac:dyDescent="0.2">
      <c r="A1017" t="s">
        <v>1848</v>
      </c>
      <c r="B1017" t="s">
        <v>1849</v>
      </c>
      <c r="C1017" s="2">
        <v>42551</v>
      </c>
      <c r="D1017" s="2">
        <v>43173</v>
      </c>
      <c r="E1017" s="3">
        <v>37884</v>
      </c>
      <c r="F1017" t="s">
        <v>1238</v>
      </c>
      <c r="G1017" t="s">
        <v>314</v>
      </c>
      <c r="H1017" t="s">
        <v>45</v>
      </c>
      <c r="I1017" s="3">
        <v>10026</v>
      </c>
      <c r="J1017" s="3">
        <v>1015940054</v>
      </c>
      <c r="K1017" s="3">
        <v>1051402</v>
      </c>
      <c r="L1017" t="s">
        <v>146</v>
      </c>
      <c r="M1017" s="4">
        <v>9</v>
      </c>
      <c r="N1017" t="s">
        <v>456</v>
      </c>
      <c r="O1017" t="s">
        <v>148</v>
      </c>
      <c r="P1017" s="4">
        <v>40.797960000000003</v>
      </c>
      <c r="Q1017" s="4">
        <v>-73.949948000000006</v>
      </c>
      <c r="R1017" s="4">
        <v>40.798039000000003</v>
      </c>
      <c r="S1017" s="4">
        <v>-73.950609</v>
      </c>
      <c r="T1017" s="2">
        <v>43154</v>
      </c>
      <c r="U1017" t="s">
        <v>49</v>
      </c>
      <c r="V1017" t="s">
        <v>71</v>
      </c>
      <c r="W1017" t="s">
        <v>51</v>
      </c>
      <c r="Y1017" s="4">
        <v>24</v>
      </c>
      <c r="AE1017" s="4">
        <v>12</v>
      </c>
      <c r="AG1017" s="4">
        <v>12</v>
      </c>
      <c r="AL1017" s="4">
        <v>24</v>
      </c>
      <c r="AN1017" s="4">
        <v>24</v>
      </c>
      <c r="AO1017" s="4">
        <v>24</v>
      </c>
    </row>
    <row r="1018" spans="1:41" hidden="1" x14ac:dyDescent="0.2">
      <c r="A1018" t="s">
        <v>1848</v>
      </c>
      <c r="B1018" t="s">
        <v>1849</v>
      </c>
      <c r="C1018" s="2">
        <v>42551</v>
      </c>
      <c r="D1018" s="2">
        <v>43173</v>
      </c>
      <c r="E1018" s="3">
        <v>37885</v>
      </c>
      <c r="F1018" t="s">
        <v>1240</v>
      </c>
      <c r="G1018" t="s">
        <v>314</v>
      </c>
      <c r="H1018" t="s">
        <v>45</v>
      </c>
      <c r="I1018" s="3">
        <v>10026</v>
      </c>
      <c r="J1018" s="3">
        <v>1015940058</v>
      </c>
      <c r="K1018" s="3">
        <v>1051403</v>
      </c>
      <c r="L1018" t="s">
        <v>146</v>
      </c>
      <c r="M1018" s="4">
        <v>9</v>
      </c>
      <c r="N1018" t="s">
        <v>456</v>
      </c>
      <c r="O1018" t="s">
        <v>148</v>
      </c>
      <c r="P1018" s="4">
        <v>40.798036000000003</v>
      </c>
      <c r="Q1018" s="4">
        <v>-73.950131999999996</v>
      </c>
      <c r="R1018" s="4">
        <v>40.798155000000001</v>
      </c>
      <c r="S1018" s="4">
        <v>-73.950884000000002</v>
      </c>
      <c r="T1018" s="2">
        <v>43154</v>
      </c>
      <c r="U1018" t="s">
        <v>49</v>
      </c>
      <c r="V1018" t="s">
        <v>71</v>
      </c>
      <c r="W1018" t="s">
        <v>51</v>
      </c>
      <c r="Y1018" s="4">
        <v>25</v>
      </c>
      <c r="AE1018" s="4">
        <v>25</v>
      </c>
      <c r="AL1018" s="4">
        <v>25</v>
      </c>
      <c r="AN1018" s="4">
        <v>25</v>
      </c>
      <c r="AO1018" s="4">
        <v>25</v>
      </c>
    </row>
    <row r="1019" spans="1:41" hidden="1" x14ac:dyDescent="0.2">
      <c r="A1019" t="s">
        <v>1848</v>
      </c>
      <c r="B1019" t="s">
        <v>1849</v>
      </c>
      <c r="C1019" s="2">
        <v>42551</v>
      </c>
      <c r="D1019" s="2">
        <v>43173</v>
      </c>
      <c r="E1019" s="3">
        <v>37886</v>
      </c>
      <c r="F1019" t="s">
        <v>1850</v>
      </c>
      <c r="G1019" t="s">
        <v>314</v>
      </c>
      <c r="H1019" t="s">
        <v>45</v>
      </c>
      <c r="I1019" s="3">
        <v>10026</v>
      </c>
      <c r="J1019" s="3">
        <v>1015940061</v>
      </c>
      <c r="K1019" s="3">
        <v>1051404</v>
      </c>
      <c r="L1019" t="s">
        <v>146</v>
      </c>
      <c r="M1019" s="4">
        <v>9</v>
      </c>
      <c r="N1019" t="s">
        <v>456</v>
      </c>
      <c r="O1019" t="s">
        <v>148</v>
      </c>
      <c r="P1019" s="4">
        <v>40.798093999999999</v>
      </c>
      <c r="Q1019" s="4">
        <v>-73.950270000000003</v>
      </c>
      <c r="R1019" s="4">
        <v>40.798273000000002</v>
      </c>
      <c r="S1019" s="4">
        <v>-73.951161999999997</v>
      </c>
      <c r="T1019" s="2">
        <v>43154</v>
      </c>
      <c r="U1019" t="s">
        <v>49</v>
      </c>
      <c r="V1019" t="s">
        <v>71</v>
      </c>
      <c r="W1019" t="s">
        <v>51</v>
      </c>
      <c r="X1019" s="4">
        <v>25</v>
      </c>
      <c r="AF1019" s="4">
        <v>25</v>
      </c>
      <c r="AL1019" s="4">
        <v>25</v>
      </c>
      <c r="AN1019" s="4">
        <v>25</v>
      </c>
      <c r="AO1019" s="4">
        <v>25</v>
      </c>
    </row>
    <row r="1020" spans="1:41" hidden="1" x14ac:dyDescent="0.2">
      <c r="A1020" t="s">
        <v>1848</v>
      </c>
      <c r="B1020" t="s">
        <v>1849</v>
      </c>
      <c r="C1020" s="2">
        <v>42551</v>
      </c>
      <c r="D1020" s="2">
        <v>43173</v>
      </c>
      <c r="E1020" s="3">
        <v>37892</v>
      </c>
      <c r="F1020" t="s">
        <v>1851</v>
      </c>
      <c r="G1020" t="s">
        <v>314</v>
      </c>
      <c r="H1020" t="s">
        <v>45</v>
      </c>
      <c r="I1020" s="3">
        <v>10026</v>
      </c>
      <c r="J1020" s="3">
        <v>1015940065</v>
      </c>
      <c r="K1020" s="3">
        <v>1051405</v>
      </c>
      <c r="L1020" t="s">
        <v>146</v>
      </c>
      <c r="M1020" s="4">
        <v>9</v>
      </c>
      <c r="N1020" t="s">
        <v>456</v>
      </c>
      <c r="O1020" t="s">
        <v>148</v>
      </c>
      <c r="P1020" s="4">
        <v>40.798152000000002</v>
      </c>
      <c r="Q1020" s="4">
        <v>-73.950406999999998</v>
      </c>
      <c r="R1020" s="4">
        <v>40.798388000000003</v>
      </c>
      <c r="S1020" s="4">
        <v>-73.951440000000005</v>
      </c>
      <c r="T1020" s="2">
        <v>43154</v>
      </c>
      <c r="U1020" t="s">
        <v>49</v>
      </c>
      <c r="V1020" t="s">
        <v>71</v>
      </c>
      <c r="W1020" t="s">
        <v>51</v>
      </c>
      <c r="X1020" s="4">
        <v>25</v>
      </c>
      <c r="AE1020" s="4">
        <v>25</v>
      </c>
      <c r="AL1020" s="4">
        <v>25</v>
      </c>
      <c r="AN1020" s="4">
        <v>25</v>
      </c>
      <c r="AO1020" s="4">
        <v>25</v>
      </c>
    </row>
    <row r="1021" spans="1:41" hidden="1" x14ac:dyDescent="0.2">
      <c r="A1021" t="s">
        <v>1848</v>
      </c>
      <c r="B1021" t="s">
        <v>1849</v>
      </c>
      <c r="C1021" s="2">
        <v>42551</v>
      </c>
      <c r="D1021" s="2">
        <v>43173</v>
      </c>
      <c r="E1021" s="3">
        <v>37907</v>
      </c>
      <c r="F1021" t="s">
        <v>711</v>
      </c>
      <c r="G1021" t="s">
        <v>314</v>
      </c>
      <c r="H1021" t="s">
        <v>45</v>
      </c>
      <c r="I1021" s="3">
        <v>10026</v>
      </c>
      <c r="J1021" s="3">
        <v>1015940042</v>
      </c>
      <c r="K1021" s="3">
        <v>1078798</v>
      </c>
      <c r="L1021" t="s">
        <v>146</v>
      </c>
      <c r="M1021" s="4">
        <v>9</v>
      </c>
      <c r="N1021" t="s">
        <v>456</v>
      </c>
      <c r="O1021" t="s">
        <v>148</v>
      </c>
      <c r="P1021" s="4">
        <v>40.797732000000003</v>
      </c>
      <c r="Q1021" s="4">
        <v>-73.949399</v>
      </c>
      <c r="R1021" s="4">
        <v>40.797714999999997</v>
      </c>
      <c r="S1021" s="4">
        <v>-73.949836000000005</v>
      </c>
      <c r="T1021" s="2">
        <v>43154</v>
      </c>
      <c r="U1021" t="s">
        <v>49</v>
      </c>
      <c r="V1021" t="s">
        <v>71</v>
      </c>
      <c r="W1021" t="s">
        <v>51</v>
      </c>
      <c r="X1021" s="4">
        <v>50</v>
      </c>
      <c r="AE1021" s="4">
        <v>50</v>
      </c>
      <c r="AL1021" s="4">
        <v>50</v>
      </c>
      <c r="AN1021" s="4">
        <v>50</v>
      </c>
      <c r="AO1021" s="4">
        <v>50</v>
      </c>
    </row>
    <row r="1022" spans="1:41" hidden="1" x14ac:dyDescent="0.2">
      <c r="A1022" t="s">
        <v>1848</v>
      </c>
      <c r="B1022" t="s">
        <v>1849</v>
      </c>
      <c r="C1022" s="2">
        <v>42551</v>
      </c>
      <c r="D1022" s="2">
        <v>43173</v>
      </c>
      <c r="E1022" s="3">
        <v>40784</v>
      </c>
      <c r="F1022" t="s">
        <v>1852</v>
      </c>
      <c r="G1022" t="s">
        <v>324</v>
      </c>
      <c r="H1022" t="s">
        <v>45</v>
      </c>
      <c r="I1022" s="3">
        <v>10031</v>
      </c>
      <c r="J1022" s="3">
        <v>1020010038</v>
      </c>
      <c r="K1022" s="3">
        <v>1079744</v>
      </c>
      <c r="L1022" t="s">
        <v>169</v>
      </c>
      <c r="M1022" s="4">
        <v>7</v>
      </c>
      <c r="N1022" t="s">
        <v>821</v>
      </c>
      <c r="O1022" t="s">
        <v>171</v>
      </c>
      <c r="P1022" s="4">
        <v>40.820304</v>
      </c>
      <c r="Q1022" s="4">
        <v>-73.955582000000007</v>
      </c>
      <c r="R1022" s="4">
        <v>40.820304</v>
      </c>
      <c r="S1022" s="4">
        <v>-73.956287000000003</v>
      </c>
      <c r="T1022" s="2">
        <v>43154</v>
      </c>
      <c r="U1022" t="s">
        <v>49</v>
      </c>
      <c r="V1022" t="s">
        <v>71</v>
      </c>
      <c r="W1022" t="s">
        <v>51</v>
      </c>
      <c r="Z1022" s="4">
        <v>24</v>
      </c>
      <c r="AE1022" s="4">
        <v>24</v>
      </c>
      <c r="AL1022" s="4">
        <v>24</v>
      </c>
      <c r="AN1022" s="4">
        <v>24</v>
      </c>
      <c r="AO1022" s="4">
        <v>24</v>
      </c>
    </row>
    <row r="1023" spans="1:41" hidden="1" x14ac:dyDescent="0.2">
      <c r="A1023" t="s">
        <v>1848</v>
      </c>
      <c r="B1023" t="s">
        <v>1849</v>
      </c>
      <c r="C1023" s="2">
        <v>42551</v>
      </c>
      <c r="D1023" s="2">
        <v>43173</v>
      </c>
      <c r="E1023" s="3">
        <v>40789</v>
      </c>
      <c r="F1023" t="s">
        <v>1417</v>
      </c>
      <c r="G1023" t="s">
        <v>324</v>
      </c>
      <c r="H1023" t="s">
        <v>45</v>
      </c>
      <c r="I1023" s="3">
        <v>10031</v>
      </c>
      <c r="J1023" s="3">
        <v>1020010050</v>
      </c>
      <c r="K1023" s="3">
        <v>1079752</v>
      </c>
      <c r="L1023" t="s">
        <v>169</v>
      </c>
      <c r="M1023" s="4">
        <v>7</v>
      </c>
      <c r="N1023" t="s">
        <v>821</v>
      </c>
      <c r="O1023" t="s">
        <v>171</v>
      </c>
      <c r="P1023" s="4">
        <v>40.820419000000001</v>
      </c>
      <c r="Q1023" s="4">
        <v>-73.955856999999995</v>
      </c>
      <c r="R1023" s="4">
        <v>40.820587000000003</v>
      </c>
      <c r="S1023" s="4">
        <v>-73.956962000000004</v>
      </c>
      <c r="T1023" s="2">
        <v>43173</v>
      </c>
      <c r="U1023" t="s">
        <v>49</v>
      </c>
      <c r="V1023" t="s">
        <v>71</v>
      </c>
      <c r="W1023" t="s">
        <v>51</v>
      </c>
      <c r="X1023" s="4">
        <v>24</v>
      </c>
      <c r="AE1023" s="4">
        <v>24</v>
      </c>
      <c r="AL1023" s="4">
        <v>24</v>
      </c>
      <c r="AN1023" s="4">
        <v>24</v>
      </c>
      <c r="AO1023" s="4">
        <v>24</v>
      </c>
    </row>
    <row r="1024" spans="1:41" hidden="1" x14ac:dyDescent="0.2">
      <c r="A1024" t="s">
        <v>1848</v>
      </c>
      <c r="B1024" t="s">
        <v>1849</v>
      </c>
      <c r="C1024" s="2">
        <v>42551</v>
      </c>
      <c r="D1024" s="2">
        <v>43173</v>
      </c>
      <c r="E1024" s="3">
        <v>803906</v>
      </c>
      <c r="F1024" t="s">
        <v>1853</v>
      </c>
      <c r="G1024" t="s">
        <v>1854</v>
      </c>
      <c r="H1024" t="s">
        <v>45</v>
      </c>
      <c r="I1024" s="3">
        <v>10027</v>
      </c>
      <c r="J1024" s="3">
        <v>1019550026</v>
      </c>
      <c r="K1024" s="3">
        <v>1084065</v>
      </c>
      <c r="L1024" t="s">
        <v>146</v>
      </c>
      <c r="M1024" s="4">
        <v>9</v>
      </c>
      <c r="N1024" t="s">
        <v>379</v>
      </c>
      <c r="O1024" t="s">
        <v>177</v>
      </c>
      <c r="P1024" s="4">
        <v>40.812826999999999</v>
      </c>
      <c r="Q1024" s="4">
        <v>-73.949240000000003</v>
      </c>
      <c r="R1024" s="4">
        <v>40.813242000000002</v>
      </c>
      <c r="S1024" s="4">
        <v>-73.949601000000001</v>
      </c>
      <c r="T1024" s="2">
        <v>43173</v>
      </c>
      <c r="U1024" t="s">
        <v>49</v>
      </c>
      <c r="V1024" t="s">
        <v>71</v>
      </c>
      <c r="W1024" t="s">
        <v>51</v>
      </c>
      <c r="X1024" s="4">
        <v>97</v>
      </c>
      <c r="AE1024" s="4">
        <v>97</v>
      </c>
      <c r="AL1024" s="4">
        <v>97</v>
      </c>
      <c r="AN1024" s="4">
        <v>97</v>
      </c>
      <c r="AO1024" s="4">
        <v>97</v>
      </c>
    </row>
    <row r="1025" spans="1:41" hidden="1" x14ac:dyDescent="0.2">
      <c r="A1025" t="s">
        <v>1848</v>
      </c>
      <c r="B1025" t="s">
        <v>1849</v>
      </c>
      <c r="C1025" s="2">
        <v>42551</v>
      </c>
      <c r="D1025" s="2">
        <v>43173</v>
      </c>
      <c r="E1025" s="3">
        <v>805949</v>
      </c>
      <c r="F1025" t="s">
        <v>1838</v>
      </c>
      <c r="G1025" t="s">
        <v>324</v>
      </c>
      <c r="H1025" t="s">
        <v>45</v>
      </c>
      <c r="I1025" s="3">
        <v>10031</v>
      </c>
      <c r="J1025" s="3">
        <v>1020010038</v>
      </c>
      <c r="K1025" s="3">
        <v>1079747</v>
      </c>
      <c r="L1025" t="s">
        <v>169</v>
      </c>
      <c r="M1025" s="4">
        <v>7</v>
      </c>
      <c r="N1025" t="s">
        <v>821</v>
      </c>
      <c r="O1025" t="s">
        <v>171</v>
      </c>
      <c r="P1025" s="4">
        <v>40.820348000000003</v>
      </c>
      <c r="Q1025" s="4">
        <v>-73.955686999999998</v>
      </c>
      <c r="R1025" s="4">
        <v>40.820304</v>
      </c>
      <c r="S1025" s="4">
        <v>-73.956287000000003</v>
      </c>
      <c r="T1025" s="2">
        <v>43154</v>
      </c>
      <c r="U1025" t="s">
        <v>49</v>
      </c>
      <c r="V1025" t="s">
        <v>71</v>
      </c>
      <c r="W1025" t="s">
        <v>51</v>
      </c>
      <c r="Y1025" s="4">
        <v>1</v>
      </c>
      <c r="AE1025" s="4">
        <v>1</v>
      </c>
      <c r="AL1025" s="4">
        <v>1</v>
      </c>
      <c r="AN1025" s="4">
        <v>1</v>
      </c>
      <c r="AO1025" s="4">
        <v>1</v>
      </c>
    </row>
    <row r="1026" spans="1:41" hidden="1" x14ac:dyDescent="0.2">
      <c r="A1026" t="s">
        <v>1848</v>
      </c>
      <c r="B1026" t="s">
        <v>1849</v>
      </c>
      <c r="C1026" s="2">
        <v>42551</v>
      </c>
      <c r="D1026" s="2">
        <v>43173</v>
      </c>
      <c r="E1026" s="3">
        <v>805950</v>
      </c>
      <c r="F1026" t="s">
        <v>734</v>
      </c>
      <c r="G1026" t="s">
        <v>324</v>
      </c>
      <c r="H1026" t="s">
        <v>45</v>
      </c>
      <c r="I1026" s="3">
        <v>10031</v>
      </c>
      <c r="J1026" s="3">
        <v>1020010038</v>
      </c>
      <c r="K1026" s="3">
        <v>1079750</v>
      </c>
      <c r="L1026" t="s">
        <v>169</v>
      </c>
      <c r="M1026" s="4">
        <v>7</v>
      </c>
      <c r="N1026" t="s">
        <v>821</v>
      </c>
      <c r="O1026" t="s">
        <v>171</v>
      </c>
      <c r="P1026" s="4">
        <v>40.820391999999998</v>
      </c>
      <c r="Q1026" s="4">
        <v>-73.955787999999998</v>
      </c>
      <c r="R1026" s="4">
        <v>40.820304</v>
      </c>
      <c r="S1026" s="4">
        <v>-73.956287000000003</v>
      </c>
      <c r="T1026" s="2">
        <v>43173</v>
      </c>
      <c r="U1026" t="s">
        <v>49</v>
      </c>
      <c r="V1026" t="s">
        <v>71</v>
      </c>
      <c r="W1026" t="s">
        <v>51</v>
      </c>
      <c r="Y1026" s="4">
        <v>24</v>
      </c>
      <c r="AE1026" s="4">
        <v>24</v>
      </c>
      <c r="AL1026" s="4">
        <v>24</v>
      </c>
      <c r="AN1026" s="4">
        <v>24</v>
      </c>
      <c r="AO1026" s="4">
        <v>24</v>
      </c>
    </row>
    <row r="1027" spans="1:41" hidden="1" x14ac:dyDescent="0.2">
      <c r="A1027" t="s">
        <v>1848</v>
      </c>
      <c r="B1027" t="s">
        <v>1849</v>
      </c>
      <c r="C1027" s="2">
        <v>42551</v>
      </c>
      <c r="D1027" s="2">
        <v>43173</v>
      </c>
      <c r="E1027" s="3">
        <v>943790</v>
      </c>
      <c r="F1027" t="s">
        <v>1237</v>
      </c>
      <c r="G1027" t="s">
        <v>314</v>
      </c>
      <c r="H1027" t="s">
        <v>45</v>
      </c>
      <c r="I1027" s="3">
        <v>10026</v>
      </c>
      <c r="J1027" s="3">
        <v>1015940042</v>
      </c>
      <c r="K1027" s="3">
        <v>1078799</v>
      </c>
      <c r="L1027" t="s">
        <v>146</v>
      </c>
      <c r="M1027" s="4">
        <v>9</v>
      </c>
      <c r="N1027" t="s">
        <v>456</v>
      </c>
      <c r="O1027" t="s">
        <v>148</v>
      </c>
      <c r="P1027" s="4">
        <v>40.797808000000003</v>
      </c>
      <c r="Q1027" s="4">
        <v>-73.949584000000002</v>
      </c>
      <c r="R1027" s="4">
        <v>40.797714999999997</v>
      </c>
      <c r="S1027" s="4">
        <v>-73.949836000000005</v>
      </c>
      <c r="T1027" s="2">
        <v>43154</v>
      </c>
      <c r="U1027" t="s">
        <v>49</v>
      </c>
      <c r="V1027" t="s">
        <v>71</v>
      </c>
      <c r="W1027" t="s">
        <v>51</v>
      </c>
      <c r="X1027" s="4">
        <v>25</v>
      </c>
      <c r="AE1027" s="4">
        <v>25</v>
      </c>
      <c r="AL1027" s="4">
        <v>25</v>
      </c>
      <c r="AN1027" s="4">
        <v>25</v>
      </c>
      <c r="AO1027" s="4">
        <v>25</v>
      </c>
    </row>
    <row r="1028" spans="1:41" hidden="1" x14ac:dyDescent="0.2">
      <c r="A1028" t="s">
        <v>1848</v>
      </c>
      <c r="B1028" t="s">
        <v>1849</v>
      </c>
      <c r="C1028" s="2">
        <v>42551</v>
      </c>
      <c r="D1028" s="2">
        <v>43173</v>
      </c>
      <c r="E1028" s="3">
        <v>968803</v>
      </c>
      <c r="F1028" t="s">
        <v>1855</v>
      </c>
      <c r="G1028" t="s">
        <v>324</v>
      </c>
      <c r="H1028" t="s">
        <v>45</v>
      </c>
      <c r="I1028" s="3">
        <v>10031</v>
      </c>
      <c r="J1028" s="3">
        <v>1020010038</v>
      </c>
      <c r="K1028" s="3">
        <v>1079745</v>
      </c>
      <c r="L1028" t="s">
        <v>169</v>
      </c>
      <c r="M1028" s="4">
        <v>7</v>
      </c>
      <c r="N1028" t="s">
        <v>821</v>
      </c>
      <c r="O1028" t="s">
        <v>171</v>
      </c>
      <c r="P1028" s="4">
        <v>40.820318</v>
      </c>
      <c r="Q1028" s="4">
        <v>-73.955618000000001</v>
      </c>
      <c r="R1028" s="4">
        <v>40.820304</v>
      </c>
      <c r="S1028" s="4">
        <v>-73.956287000000003</v>
      </c>
      <c r="T1028" s="2">
        <v>43173</v>
      </c>
      <c r="U1028" t="s">
        <v>49</v>
      </c>
      <c r="V1028" t="s">
        <v>71</v>
      </c>
      <c r="W1028" t="s">
        <v>51</v>
      </c>
      <c r="X1028" s="4">
        <v>23</v>
      </c>
      <c r="AE1028" s="4">
        <v>23</v>
      </c>
      <c r="AL1028" s="4">
        <v>23</v>
      </c>
      <c r="AN1028" s="4">
        <v>23</v>
      </c>
      <c r="AO1028" s="4">
        <v>23</v>
      </c>
    </row>
    <row r="1029" spans="1:41" hidden="1" x14ac:dyDescent="0.2">
      <c r="A1029" t="s">
        <v>1848</v>
      </c>
      <c r="B1029" t="s">
        <v>1849</v>
      </c>
      <c r="C1029" s="2">
        <v>42551</v>
      </c>
      <c r="D1029" s="2">
        <v>43173</v>
      </c>
      <c r="E1029" s="3">
        <v>968804</v>
      </c>
      <c r="F1029" t="s">
        <v>939</v>
      </c>
      <c r="G1029" t="s">
        <v>324</v>
      </c>
      <c r="H1029" t="s">
        <v>45</v>
      </c>
      <c r="I1029" s="3">
        <v>10031</v>
      </c>
      <c r="J1029" s="3">
        <v>1020010038</v>
      </c>
      <c r="K1029" s="3">
        <v>1079746</v>
      </c>
      <c r="L1029" t="s">
        <v>169</v>
      </c>
      <c r="M1029" s="4">
        <v>7</v>
      </c>
      <c r="N1029" t="s">
        <v>821</v>
      </c>
      <c r="O1029" t="s">
        <v>171</v>
      </c>
      <c r="P1029" s="4">
        <v>40.820334000000003</v>
      </c>
      <c r="Q1029" s="4">
        <v>-73.955651000000003</v>
      </c>
      <c r="R1029" s="4">
        <v>40.820304</v>
      </c>
      <c r="S1029" s="4">
        <v>-73.956287000000003</v>
      </c>
      <c r="T1029" s="2">
        <v>43173</v>
      </c>
      <c r="U1029" t="s">
        <v>49</v>
      </c>
      <c r="V1029" t="s">
        <v>71</v>
      </c>
      <c r="W1029" t="s">
        <v>51</v>
      </c>
      <c r="Y1029" s="4">
        <v>24</v>
      </c>
      <c r="AE1029" s="4">
        <v>24</v>
      </c>
      <c r="AL1029" s="4">
        <v>24</v>
      </c>
      <c r="AN1029" s="4">
        <v>24</v>
      </c>
      <c r="AO1029" s="4">
        <v>24</v>
      </c>
    </row>
    <row r="1030" spans="1:41" hidden="1" x14ac:dyDescent="0.2">
      <c r="A1030" t="s">
        <v>1848</v>
      </c>
      <c r="B1030" t="s">
        <v>1849</v>
      </c>
      <c r="C1030" s="2">
        <v>42551</v>
      </c>
      <c r="D1030" s="2">
        <v>43173</v>
      </c>
      <c r="E1030" s="3">
        <v>968805</v>
      </c>
      <c r="F1030" t="s">
        <v>1379</v>
      </c>
      <c r="G1030" t="s">
        <v>324</v>
      </c>
      <c r="H1030" t="s">
        <v>45</v>
      </c>
      <c r="I1030" s="3">
        <v>10031</v>
      </c>
      <c r="J1030" s="3">
        <v>1020010038</v>
      </c>
      <c r="K1030" s="3">
        <v>1079748</v>
      </c>
      <c r="L1030" t="s">
        <v>169</v>
      </c>
      <c r="M1030" s="4">
        <v>7</v>
      </c>
      <c r="N1030" t="s">
        <v>821</v>
      </c>
      <c r="O1030" t="s">
        <v>171</v>
      </c>
      <c r="P1030" s="4">
        <v>40.820362000000003</v>
      </c>
      <c r="Q1030" s="4">
        <v>-73.955719000000002</v>
      </c>
      <c r="R1030" s="4">
        <v>40.820304</v>
      </c>
      <c r="S1030" s="4">
        <v>-73.956287000000003</v>
      </c>
      <c r="T1030" s="2">
        <v>43173</v>
      </c>
      <c r="U1030" t="s">
        <v>49</v>
      </c>
      <c r="V1030" t="s">
        <v>71</v>
      </c>
      <c r="W1030" t="s">
        <v>51</v>
      </c>
      <c r="Y1030" s="4">
        <v>1</v>
      </c>
      <c r="AE1030" s="4">
        <v>1</v>
      </c>
      <c r="AL1030" s="4">
        <v>1</v>
      </c>
      <c r="AN1030" s="4">
        <v>1</v>
      </c>
      <c r="AO1030" s="4">
        <v>1</v>
      </c>
    </row>
    <row r="1031" spans="1:41" hidden="1" x14ac:dyDescent="0.2">
      <c r="A1031" t="s">
        <v>1848</v>
      </c>
      <c r="B1031" t="s">
        <v>1849</v>
      </c>
      <c r="C1031" s="2">
        <v>42551</v>
      </c>
      <c r="D1031" s="2">
        <v>43173</v>
      </c>
      <c r="E1031" s="3">
        <v>968806</v>
      </c>
      <c r="F1031" t="s">
        <v>1856</v>
      </c>
      <c r="G1031" t="s">
        <v>324</v>
      </c>
      <c r="H1031" t="s">
        <v>45</v>
      </c>
      <c r="I1031" s="3">
        <v>10031</v>
      </c>
      <c r="J1031" s="3">
        <v>1020010038</v>
      </c>
      <c r="K1031" s="3">
        <v>1079749</v>
      </c>
      <c r="L1031" t="s">
        <v>169</v>
      </c>
      <c r="M1031" s="4">
        <v>7</v>
      </c>
      <c r="N1031" t="s">
        <v>821</v>
      </c>
      <c r="O1031" t="s">
        <v>171</v>
      </c>
      <c r="P1031" s="4">
        <v>40.820377999999998</v>
      </c>
      <c r="Q1031" s="4">
        <v>-73.955752000000004</v>
      </c>
      <c r="R1031" s="4">
        <v>40.820304</v>
      </c>
      <c r="S1031" s="4">
        <v>-73.956287000000003</v>
      </c>
      <c r="T1031" s="2">
        <v>43173</v>
      </c>
      <c r="U1031" t="s">
        <v>49</v>
      </c>
      <c r="V1031" t="s">
        <v>71</v>
      </c>
      <c r="W1031" t="s">
        <v>51</v>
      </c>
      <c r="Y1031" s="4">
        <v>24</v>
      </c>
      <c r="AE1031" s="4">
        <v>24</v>
      </c>
      <c r="AL1031" s="4">
        <v>24</v>
      </c>
      <c r="AN1031" s="4">
        <v>24</v>
      </c>
      <c r="AO1031" s="4">
        <v>24</v>
      </c>
    </row>
    <row r="1032" spans="1:41" hidden="1" x14ac:dyDescent="0.2">
      <c r="A1032" t="s">
        <v>1848</v>
      </c>
      <c r="B1032" t="s">
        <v>1849</v>
      </c>
      <c r="C1032" s="2">
        <v>42551</v>
      </c>
      <c r="D1032" s="2">
        <v>43173</v>
      </c>
      <c r="E1032" s="3">
        <v>968807</v>
      </c>
      <c r="F1032" t="s">
        <v>210</v>
      </c>
      <c r="G1032" t="s">
        <v>324</v>
      </c>
      <c r="H1032" t="s">
        <v>45</v>
      </c>
      <c r="I1032" s="3">
        <v>10031</v>
      </c>
      <c r="J1032" s="3">
        <v>1020010038</v>
      </c>
      <c r="K1032" s="3">
        <v>1079751</v>
      </c>
      <c r="L1032" t="s">
        <v>169</v>
      </c>
      <c r="M1032" s="4">
        <v>7</v>
      </c>
      <c r="N1032" t="s">
        <v>821</v>
      </c>
      <c r="O1032" t="s">
        <v>171</v>
      </c>
      <c r="P1032" s="4">
        <v>40.820405999999998</v>
      </c>
      <c r="Q1032" s="4">
        <v>-73.955821</v>
      </c>
      <c r="R1032" s="4">
        <v>40.820304</v>
      </c>
      <c r="S1032" s="4">
        <v>-73.956287000000003</v>
      </c>
      <c r="T1032" s="2">
        <v>43173</v>
      </c>
      <c r="U1032" t="s">
        <v>49</v>
      </c>
      <c r="V1032" t="s">
        <v>71</v>
      </c>
      <c r="W1032" t="s">
        <v>51</v>
      </c>
      <c r="Y1032" s="4">
        <v>1</v>
      </c>
      <c r="AE1032" s="4">
        <v>1</v>
      </c>
      <c r="AL1032" s="4">
        <v>1</v>
      </c>
      <c r="AN1032" s="4">
        <v>1</v>
      </c>
      <c r="AO1032" s="4">
        <v>1</v>
      </c>
    </row>
    <row r="1033" spans="1:41" hidden="1" x14ac:dyDescent="0.2">
      <c r="A1033" t="s">
        <v>1857</v>
      </c>
      <c r="B1033" t="s">
        <v>1858</v>
      </c>
      <c r="C1033" s="2">
        <v>42550</v>
      </c>
      <c r="D1033" s="2">
        <v>43271</v>
      </c>
      <c r="E1033" s="3">
        <v>38153</v>
      </c>
      <c r="F1033" t="s">
        <v>1369</v>
      </c>
      <c r="G1033" t="s">
        <v>725</v>
      </c>
      <c r="H1033" t="s">
        <v>45</v>
      </c>
      <c r="I1033" s="3">
        <v>10026</v>
      </c>
      <c r="J1033" s="3">
        <v>1018300011</v>
      </c>
      <c r="K1033" s="3">
        <v>1055196</v>
      </c>
      <c r="L1033" t="s">
        <v>146</v>
      </c>
      <c r="M1033" s="4">
        <v>9</v>
      </c>
      <c r="N1033" t="s">
        <v>318</v>
      </c>
      <c r="O1033" t="s">
        <v>148</v>
      </c>
      <c r="P1033" s="4">
        <v>40.802754</v>
      </c>
      <c r="Q1033" s="4">
        <v>-73.955442000000005</v>
      </c>
      <c r="R1033" s="4">
        <v>40.802886000000001</v>
      </c>
      <c r="S1033" s="4">
        <v>-73.955189000000004</v>
      </c>
      <c r="T1033" s="2">
        <v>43271</v>
      </c>
      <c r="U1033" t="s">
        <v>49</v>
      </c>
      <c r="V1033" t="s">
        <v>71</v>
      </c>
      <c r="W1033" t="s">
        <v>51</v>
      </c>
      <c r="X1033" s="4">
        <v>8</v>
      </c>
      <c r="Y1033" s="4">
        <v>4</v>
      </c>
      <c r="Z1033" s="4">
        <v>102</v>
      </c>
      <c r="AC1033" s="4">
        <v>1</v>
      </c>
      <c r="AD1033" s="4">
        <v>12</v>
      </c>
      <c r="AE1033" s="4">
        <v>65</v>
      </c>
      <c r="AF1033" s="4">
        <v>26</v>
      </c>
      <c r="AG1033" s="4">
        <v>12</v>
      </c>
      <c r="AL1033" s="4">
        <v>115</v>
      </c>
      <c r="AN1033" s="4">
        <v>115</v>
      </c>
      <c r="AO1033" s="4">
        <v>115</v>
      </c>
    </row>
    <row r="1034" spans="1:41" hidden="1" x14ac:dyDescent="0.2">
      <c r="A1034" t="s">
        <v>1859</v>
      </c>
      <c r="B1034" t="s">
        <v>140</v>
      </c>
      <c r="C1034" s="2">
        <v>42550</v>
      </c>
      <c r="D1034" s="2">
        <v>42578</v>
      </c>
      <c r="F1034" t="s">
        <v>141</v>
      </c>
      <c r="G1034" t="s">
        <v>141</v>
      </c>
      <c r="H1034" t="s">
        <v>45</v>
      </c>
      <c r="L1034" t="s">
        <v>114</v>
      </c>
      <c r="M1034" s="4">
        <v>10</v>
      </c>
      <c r="T1034" s="2">
        <v>42578</v>
      </c>
      <c r="U1034" t="s">
        <v>49</v>
      </c>
      <c r="V1034" t="s">
        <v>71</v>
      </c>
      <c r="W1034" t="s">
        <v>51</v>
      </c>
      <c r="AA1034" s="4">
        <v>2</v>
      </c>
      <c r="AK1034" s="4">
        <v>2</v>
      </c>
      <c r="AM1034" s="4">
        <v>2</v>
      </c>
      <c r="AN1034" s="4">
        <v>2</v>
      </c>
      <c r="AO1034" s="4">
        <v>2</v>
      </c>
    </row>
    <row r="1035" spans="1:41" hidden="1" x14ac:dyDescent="0.2">
      <c r="A1035" t="s">
        <v>1860</v>
      </c>
      <c r="B1035" t="s">
        <v>1861</v>
      </c>
      <c r="C1035" s="2">
        <v>42548</v>
      </c>
      <c r="D1035" s="2">
        <v>42908</v>
      </c>
      <c r="E1035" s="3">
        <v>21360</v>
      </c>
      <c r="F1035" t="s">
        <v>1648</v>
      </c>
      <c r="G1035" t="s">
        <v>1862</v>
      </c>
      <c r="H1035" t="s">
        <v>45</v>
      </c>
      <c r="I1035" s="3">
        <v>10002</v>
      </c>
      <c r="J1035" s="3">
        <v>1004150012</v>
      </c>
      <c r="K1035" s="3">
        <v>1077624</v>
      </c>
      <c r="L1035" t="s">
        <v>64</v>
      </c>
      <c r="M1035" s="4">
        <v>1</v>
      </c>
      <c r="N1035" t="s">
        <v>785</v>
      </c>
      <c r="O1035" t="s">
        <v>66</v>
      </c>
      <c r="P1035" s="4">
        <v>40.720405999999997</v>
      </c>
      <c r="Q1035" s="4">
        <v>-73.990803999999997</v>
      </c>
      <c r="R1035" s="4">
        <v>40.720334999999999</v>
      </c>
      <c r="S1035" s="4">
        <v>-73.990583999999998</v>
      </c>
      <c r="T1035" s="2">
        <v>42908</v>
      </c>
      <c r="U1035" t="s">
        <v>49</v>
      </c>
      <c r="V1035" t="s">
        <v>71</v>
      </c>
      <c r="W1035" t="s">
        <v>51</v>
      </c>
      <c r="X1035" s="4">
        <v>4</v>
      </c>
      <c r="Y1035" s="4">
        <v>11</v>
      </c>
      <c r="Z1035" s="4">
        <v>13</v>
      </c>
      <c r="AC1035" s="4">
        <v>1</v>
      </c>
      <c r="AD1035" s="4">
        <v>6</v>
      </c>
      <c r="AE1035" s="4">
        <v>13</v>
      </c>
      <c r="AF1035" s="4">
        <v>10</v>
      </c>
      <c r="AL1035" s="4">
        <v>29</v>
      </c>
      <c r="AN1035" s="4">
        <v>29</v>
      </c>
      <c r="AO1035" s="4">
        <v>29</v>
      </c>
    </row>
    <row r="1036" spans="1:41" hidden="1" x14ac:dyDescent="0.2">
      <c r="A1036" t="s">
        <v>1860</v>
      </c>
      <c r="B1036" t="s">
        <v>1861</v>
      </c>
      <c r="C1036" s="2">
        <v>42548</v>
      </c>
      <c r="D1036" s="2">
        <v>42908</v>
      </c>
      <c r="E1036" s="3">
        <v>804767</v>
      </c>
      <c r="F1036" t="s">
        <v>151</v>
      </c>
      <c r="G1036" t="s">
        <v>1862</v>
      </c>
      <c r="H1036" t="s">
        <v>45</v>
      </c>
      <c r="I1036" s="3">
        <v>10002</v>
      </c>
      <c r="J1036" s="3">
        <v>1004150012</v>
      </c>
      <c r="K1036" s="3">
        <v>1077623</v>
      </c>
      <c r="L1036" t="s">
        <v>64</v>
      </c>
      <c r="M1036" s="4">
        <v>1</v>
      </c>
      <c r="N1036" t="s">
        <v>785</v>
      </c>
      <c r="O1036" t="s">
        <v>66</v>
      </c>
      <c r="P1036" s="4">
        <v>40.720537999999998</v>
      </c>
      <c r="Q1036" s="4">
        <v>-73.990735999999998</v>
      </c>
      <c r="R1036" s="4">
        <v>40.720334999999999</v>
      </c>
      <c r="S1036" s="4">
        <v>-73.990583999999998</v>
      </c>
      <c r="T1036" s="2">
        <v>42908</v>
      </c>
      <c r="U1036" t="s">
        <v>49</v>
      </c>
      <c r="V1036" t="s">
        <v>71</v>
      </c>
      <c r="W1036" t="s">
        <v>51</v>
      </c>
      <c r="X1036" s="4">
        <v>1</v>
      </c>
      <c r="Y1036" s="4">
        <v>14</v>
      </c>
      <c r="Z1036" s="4">
        <v>10</v>
      </c>
      <c r="AD1036" s="4">
        <v>6</v>
      </c>
      <c r="AE1036" s="4">
        <v>8</v>
      </c>
      <c r="AF1036" s="4">
        <v>11</v>
      </c>
      <c r="AL1036" s="4">
        <v>25</v>
      </c>
      <c r="AN1036" s="4">
        <v>25</v>
      </c>
      <c r="AO1036" s="4">
        <v>25</v>
      </c>
    </row>
    <row r="1037" spans="1:41" hidden="1" x14ac:dyDescent="0.2">
      <c r="A1037" t="s">
        <v>1863</v>
      </c>
      <c r="B1037" t="s">
        <v>1864</v>
      </c>
      <c r="C1037" s="2">
        <v>42544</v>
      </c>
      <c r="D1037" s="2">
        <v>43613</v>
      </c>
      <c r="E1037" s="3">
        <v>29016</v>
      </c>
      <c r="F1037" t="s">
        <v>115</v>
      </c>
      <c r="G1037" t="s">
        <v>348</v>
      </c>
      <c r="H1037" t="s">
        <v>45</v>
      </c>
      <c r="I1037" s="3">
        <v>10033</v>
      </c>
      <c r="J1037" s="3">
        <v>1021660069</v>
      </c>
      <c r="K1037" s="3">
        <v>1063978</v>
      </c>
      <c r="L1037" t="s">
        <v>114</v>
      </c>
      <c r="M1037" s="4">
        <v>10</v>
      </c>
      <c r="N1037" t="s">
        <v>1865</v>
      </c>
      <c r="O1037" t="s">
        <v>116</v>
      </c>
      <c r="P1037" s="4">
        <v>40.853380000000001</v>
      </c>
      <c r="Q1037" s="4">
        <v>-73.932364000000007</v>
      </c>
      <c r="R1037" s="4">
        <v>40.853310999999998</v>
      </c>
      <c r="S1037" s="4">
        <v>-73.932057</v>
      </c>
      <c r="T1037" s="2">
        <v>43613</v>
      </c>
      <c r="U1037" t="s">
        <v>49</v>
      </c>
      <c r="V1037" t="s">
        <v>71</v>
      </c>
      <c r="W1037" t="s">
        <v>51</v>
      </c>
      <c r="Z1037" s="4">
        <v>20</v>
      </c>
      <c r="AC1037" s="4">
        <v>1</v>
      </c>
      <c r="AF1037" s="4">
        <v>7</v>
      </c>
      <c r="AG1037" s="4">
        <v>9</v>
      </c>
      <c r="AH1037" s="4">
        <v>5</v>
      </c>
      <c r="AL1037" s="4">
        <v>21</v>
      </c>
      <c r="AN1037" s="4">
        <v>21</v>
      </c>
      <c r="AO1037" s="4">
        <v>21</v>
      </c>
    </row>
    <row r="1038" spans="1:41" hidden="1" x14ac:dyDescent="0.2">
      <c r="A1038" t="s">
        <v>1866</v>
      </c>
      <c r="B1038" t="s">
        <v>1867</v>
      </c>
      <c r="C1038" s="2">
        <v>42535</v>
      </c>
      <c r="D1038" s="2">
        <v>43237</v>
      </c>
      <c r="E1038" s="3">
        <v>42098</v>
      </c>
      <c r="F1038" t="s">
        <v>547</v>
      </c>
      <c r="G1038" t="s">
        <v>1451</v>
      </c>
      <c r="H1038" t="s">
        <v>45</v>
      </c>
      <c r="I1038" s="3">
        <v>10039</v>
      </c>
      <c r="J1038" s="3">
        <v>1020330021</v>
      </c>
      <c r="K1038" s="3">
        <v>1060529</v>
      </c>
      <c r="L1038" t="s">
        <v>146</v>
      </c>
      <c r="M1038" s="4">
        <v>9</v>
      </c>
      <c r="N1038" t="s">
        <v>544</v>
      </c>
      <c r="O1038" t="s">
        <v>177</v>
      </c>
      <c r="P1038" s="4">
        <v>40.823307</v>
      </c>
      <c r="Q1038" s="4">
        <v>-73.938991999999999</v>
      </c>
      <c r="R1038" s="4">
        <v>40.823560000000001</v>
      </c>
      <c r="S1038" s="4">
        <v>-73.939042999999998</v>
      </c>
      <c r="T1038" s="2">
        <v>43237</v>
      </c>
      <c r="U1038" t="s">
        <v>49</v>
      </c>
      <c r="V1038" t="s">
        <v>71</v>
      </c>
      <c r="W1038" t="s">
        <v>51</v>
      </c>
      <c r="Z1038" s="4">
        <v>12</v>
      </c>
      <c r="AE1038" s="4">
        <v>2</v>
      </c>
      <c r="AF1038" s="4">
        <v>9</v>
      </c>
      <c r="AG1038" s="4">
        <v>1</v>
      </c>
      <c r="AM1038" s="4">
        <v>12</v>
      </c>
      <c r="AN1038" s="4">
        <v>12</v>
      </c>
      <c r="AO1038" s="4">
        <v>12</v>
      </c>
    </row>
    <row r="1039" spans="1:41" hidden="1" x14ac:dyDescent="0.2">
      <c r="A1039" t="s">
        <v>1868</v>
      </c>
      <c r="B1039" t="s">
        <v>1869</v>
      </c>
      <c r="C1039" s="2">
        <v>42529</v>
      </c>
      <c r="D1039" s="2">
        <v>43208</v>
      </c>
      <c r="E1039" s="3">
        <v>20827</v>
      </c>
      <c r="F1039" t="s">
        <v>1850</v>
      </c>
      <c r="G1039" t="s">
        <v>263</v>
      </c>
      <c r="H1039" t="s">
        <v>45</v>
      </c>
      <c r="I1039" s="3">
        <v>10035</v>
      </c>
      <c r="J1039" s="3">
        <v>1017530049</v>
      </c>
      <c r="K1039" s="3">
        <v>1054195</v>
      </c>
      <c r="L1039" t="s">
        <v>153</v>
      </c>
      <c r="M1039" s="4">
        <v>9</v>
      </c>
      <c r="N1039" t="s">
        <v>192</v>
      </c>
      <c r="O1039" t="s">
        <v>155</v>
      </c>
      <c r="P1039" s="4">
        <v>40.808120000000002</v>
      </c>
      <c r="Q1039" s="4">
        <v>-73.938439000000002</v>
      </c>
      <c r="R1039" s="4">
        <v>40.807915000000001</v>
      </c>
      <c r="S1039" s="4">
        <v>-73.938514999999995</v>
      </c>
      <c r="T1039" s="2">
        <v>43208</v>
      </c>
      <c r="U1039" t="s">
        <v>49</v>
      </c>
      <c r="V1039" t="s">
        <v>71</v>
      </c>
      <c r="W1039" t="s">
        <v>51</v>
      </c>
      <c r="Z1039" s="4">
        <v>10</v>
      </c>
      <c r="AG1039" s="4">
        <v>10</v>
      </c>
      <c r="AM1039" s="4">
        <v>10</v>
      </c>
      <c r="AN1039" s="4">
        <v>10</v>
      </c>
      <c r="AO1039" s="4">
        <v>10</v>
      </c>
    </row>
    <row r="1040" spans="1:41" hidden="1" x14ac:dyDescent="0.2">
      <c r="A1040" t="s">
        <v>1870</v>
      </c>
      <c r="B1040" t="s">
        <v>140</v>
      </c>
      <c r="C1040" s="2">
        <v>42528</v>
      </c>
      <c r="D1040" s="2">
        <v>42614</v>
      </c>
      <c r="F1040" t="s">
        <v>141</v>
      </c>
      <c r="G1040" t="s">
        <v>141</v>
      </c>
      <c r="H1040" t="s">
        <v>45</v>
      </c>
      <c r="L1040" t="s">
        <v>146</v>
      </c>
      <c r="M1040" s="4">
        <v>9</v>
      </c>
      <c r="T1040" s="2">
        <v>42614</v>
      </c>
      <c r="U1040" t="s">
        <v>49</v>
      </c>
      <c r="V1040" t="s">
        <v>71</v>
      </c>
      <c r="W1040" t="s">
        <v>51</v>
      </c>
      <c r="Z1040" s="4">
        <v>1</v>
      </c>
      <c r="AK1040" s="4">
        <v>1</v>
      </c>
      <c r="AM1040" s="4">
        <v>1</v>
      </c>
      <c r="AN1040" s="4">
        <v>1</v>
      </c>
      <c r="AO1040" s="4">
        <v>1</v>
      </c>
    </row>
    <row r="1041" spans="1:41" hidden="1" x14ac:dyDescent="0.2">
      <c r="A1041" t="s">
        <v>1871</v>
      </c>
      <c r="B1041" t="s">
        <v>1872</v>
      </c>
      <c r="C1041" s="2">
        <v>42524</v>
      </c>
      <c r="D1041" s="2">
        <v>43161</v>
      </c>
      <c r="E1041" s="3">
        <v>966731</v>
      </c>
      <c r="F1041" t="s">
        <v>1873</v>
      </c>
      <c r="G1041" t="s">
        <v>842</v>
      </c>
      <c r="H1041" t="s">
        <v>45</v>
      </c>
      <c r="I1041" s="3">
        <v>10026</v>
      </c>
      <c r="J1041" s="3">
        <v>1018267503</v>
      </c>
      <c r="K1041" s="3">
        <v>1090258</v>
      </c>
      <c r="L1041" t="s">
        <v>146</v>
      </c>
      <c r="M1041" s="4">
        <v>9</v>
      </c>
      <c r="N1041" t="s">
        <v>312</v>
      </c>
      <c r="O1041" t="s">
        <v>148</v>
      </c>
      <c r="P1041" s="4">
        <v>40.801113999999998</v>
      </c>
      <c r="Q1041" s="4">
        <v>-73.957773000000003</v>
      </c>
      <c r="R1041" s="4">
        <v>40.800842000000003</v>
      </c>
      <c r="S1041" s="4">
        <v>-73.957462000000007</v>
      </c>
      <c r="T1041" s="2">
        <v>43161</v>
      </c>
      <c r="U1041" t="s">
        <v>117</v>
      </c>
      <c r="V1041" t="s">
        <v>71</v>
      </c>
      <c r="W1041" t="s">
        <v>51</v>
      </c>
      <c r="AB1041" s="4">
        <v>10</v>
      </c>
      <c r="AD1041" s="4">
        <v>2</v>
      </c>
      <c r="AE1041" s="4">
        <v>3</v>
      </c>
      <c r="AF1041" s="4">
        <v>5</v>
      </c>
      <c r="AL1041" s="4">
        <v>10</v>
      </c>
      <c r="AN1041" s="4">
        <v>10</v>
      </c>
      <c r="AO1041" s="4">
        <v>49</v>
      </c>
    </row>
    <row r="1042" spans="1:41" hidden="1" x14ac:dyDescent="0.2">
      <c r="A1042" t="s">
        <v>1874</v>
      </c>
      <c r="B1042" t="s">
        <v>1875</v>
      </c>
      <c r="C1042" s="2">
        <v>42516</v>
      </c>
      <c r="D1042" s="2">
        <v>42516</v>
      </c>
      <c r="E1042" s="3">
        <v>32117</v>
      </c>
      <c r="F1042" t="s">
        <v>1078</v>
      </c>
      <c r="G1042" t="s">
        <v>940</v>
      </c>
      <c r="H1042" t="s">
        <v>45</v>
      </c>
      <c r="I1042" s="3">
        <v>10001</v>
      </c>
      <c r="J1042" s="3">
        <v>1007530056</v>
      </c>
      <c r="K1042" s="3">
        <v>1013499</v>
      </c>
      <c r="L1042" t="s">
        <v>78</v>
      </c>
      <c r="M1042" s="4">
        <v>3</v>
      </c>
      <c r="N1042" t="s">
        <v>182</v>
      </c>
      <c r="O1042" t="s">
        <v>183</v>
      </c>
      <c r="P1042" s="4">
        <v>40.750061000000002</v>
      </c>
      <c r="Q1042" s="4">
        <v>-73.996210000000005</v>
      </c>
      <c r="R1042" s="4">
        <v>40.749991999999999</v>
      </c>
      <c r="S1042" s="4">
        <v>-73.996903000000003</v>
      </c>
      <c r="T1042" s="2">
        <v>42516</v>
      </c>
      <c r="U1042" t="s">
        <v>49</v>
      </c>
      <c r="V1042" t="s">
        <v>50</v>
      </c>
      <c r="W1042" t="s">
        <v>51</v>
      </c>
      <c r="X1042" s="4">
        <v>136</v>
      </c>
      <c r="Y1042" s="4">
        <v>15</v>
      </c>
      <c r="Z1042" s="4">
        <v>14</v>
      </c>
      <c r="AA1042" s="4">
        <v>9</v>
      </c>
      <c r="AE1042" s="4">
        <v>136</v>
      </c>
      <c r="AF1042" s="4">
        <v>38</v>
      </c>
      <c r="AL1042" s="4">
        <v>174</v>
      </c>
      <c r="AN1042" s="4">
        <v>174</v>
      </c>
      <c r="AO1042" s="4">
        <v>174</v>
      </c>
    </row>
    <row r="1043" spans="1:41" hidden="1" x14ac:dyDescent="0.2">
      <c r="A1043" t="s">
        <v>1876</v>
      </c>
      <c r="B1043" t="s">
        <v>1877</v>
      </c>
      <c r="C1043" s="2">
        <v>42485</v>
      </c>
      <c r="D1043" s="2">
        <v>42690</v>
      </c>
      <c r="E1043" s="3">
        <v>957363</v>
      </c>
      <c r="F1043" t="s">
        <v>100</v>
      </c>
      <c r="G1043" t="s">
        <v>1090</v>
      </c>
      <c r="H1043" t="s">
        <v>45</v>
      </c>
      <c r="I1043" s="3">
        <v>10029</v>
      </c>
      <c r="J1043" s="3">
        <v>1016160030</v>
      </c>
      <c r="K1043" s="3">
        <v>1090593</v>
      </c>
      <c r="L1043" t="s">
        <v>153</v>
      </c>
      <c r="M1043" s="4">
        <v>8</v>
      </c>
      <c r="N1043" t="s">
        <v>774</v>
      </c>
      <c r="O1043" t="s">
        <v>267</v>
      </c>
      <c r="P1043" s="4">
        <v>40.795886000000003</v>
      </c>
      <c r="Q1043" s="4">
        <v>-73.946988000000005</v>
      </c>
      <c r="R1043" s="4">
        <v>40.795968000000002</v>
      </c>
      <c r="S1043" s="4">
        <v>-73.946575999999993</v>
      </c>
      <c r="T1043" s="2">
        <v>42690</v>
      </c>
      <c r="U1043" t="s">
        <v>117</v>
      </c>
      <c r="V1043" t="s">
        <v>71</v>
      </c>
      <c r="W1043" t="s">
        <v>51</v>
      </c>
      <c r="Z1043" s="4">
        <v>3</v>
      </c>
      <c r="AD1043" s="4">
        <v>1</v>
      </c>
      <c r="AF1043" s="4">
        <v>2</v>
      </c>
      <c r="AL1043" s="4">
        <v>3</v>
      </c>
      <c r="AN1043" s="4">
        <v>3</v>
      </c>
      <c r="AO1043" s="4">
        <v>14</v>
      </c>
    </row>
    <row r="1044" spans="1:41" hidden="1" x14ac:dyDescent="0.2">
      <c r="A1044" t="s">
        <v>1878</v>
      </c>
      <c r="B1044" t="s">
        <v>1879</v>
      </c>
      <c r="C1044" s="2">
        <v>42482</v>
      </c>
      <c r="D1044" s="2">
        <v>43133</v>
      </c>
      <c r="E1044" s="3">
        <v>956931</v>
      </c>
      <c r="F1044" t="s">
        <v>1880</v>
      </c>
      <c r="G1044" t="s">
        <v>265</v>
      </c>
      <c r="H1044" t="s">
        <v>45</v>
      </c>
      <c r="I1044" s="3">
        <v>10035</v>
      </c>
      <c r="J1044" s="3">
        <v>1016230040</v>
      </c>
      <c r="K1044" s="3">
        <v>1051691</v>
      </c>
      <c r="L1044" t="s">
        <v>153</v>
      </c>
      <c r="M1044" s="4">
        <v>9</v>
      </c>
      <c r="N1044" t="s">
        <v>789</v>
      </c>
      <c r="O1044" t="s">
        <v>155</v>
      </c>
      <c r="P1044" s="4">
        <v>40.800469999999997</v>
      </c>
      <c r="Q1044" s="4">
        <v>-73.942386999999997</v>
      </c>
      <c r="R1044" s="4">
        <v>40.800668000000002</v>
      </c>
      <c r="S1044" s="4">
        <v>-73.942715000000007</v>
      </c>
      <c r="T1044" s="2">
        <v>43133</v>
      </c>
      <c r="U1044" t="s">
        <v>117</v>
      </c>
      <c r="V1044" t="s">
        <v>71</v>
      </c>
      <c r="W1044" t="s">
        <v>51</v>
      </c>
      <c r="Z1044" s="4">
        <v>3</v>
      </c>
      <c r="AD1044" s="4">
        <v>3</v>
      </c>
      <c r="AL1044" s="4">
        <v>3</v>
      </c>
      <c r="AN1044" s="4">
        <v>3</v>
      </c>
      <c r="AO1044" s="4">
        <v>13</v>
      </c>
    </row>
    <row r="1045" spans="1:41" hidden="1" x14ac:dyDescent="0.2">
      <c r="A1045" t="s">
        <v>1881</v>
      </c>
      <c r="B1045" t="s">
        <v>1882</v>
      </c>
      <c r="C1045" s="2">
        <v>42471</v>
      </c>
      <c r="D1045" s="2">
        <v>43336</v>
      </c>
      <c r="E1045" s="3">
        <v>958188</v>
      </c>
      <c r="F1045" t="s">
        <v>610</v>
      </c>
      <c r="G1045" t="s">
        <v>1500</v>
      </c>
      <c r="H1045" t="s">
        <v>45</v>
      </c>
      <c r="I1045" s="3">
        <v>10035</v>
      </c>
      <c r="J1045" s="3">
        <v>1018087501</v>
      </c>
      <c r="K1045" s="3">
        <v>1089835</v>
      </c>
      <c r="L1045" t="s">
        <v>153</v>
      </c>
      <c r="M1045" s="4">
        <v>8</v>
      </c>
      <c r="N1045" t="s">
        <v>1800</v>
      </c>
      <c r="O1045" t="s">
        <v>155</v>
      </c>
      <c r="P1045" s="4">
        <v>40.798510999999998</v>
      </c>
      <c r="Q1045" s="4">
        <v>-73.933325999999994</v>
      </c>
      <c r="R1045" s="4">
        <v>40.798727999999997</v>
      </c>
      <c r="S1045" s="4">
        <v>-73.932867000000002</v>
      </c>
      <c r="T1045" s="2">
        <v>43336</v>
      </c>
      <c r="U1045" t="s">
        <v>117</v>
      </c>
      <c r="V1045" t="s">
        <v>71</v>
      </c>
      <c r="W1045" t="s">
        <v>51</v>
      </c>
      <c r="X1045" s="4">
        <v>54</v>
      </c>
      <c r="Z1045" s="4">
        <v>106</v>
      </c>
      <c r="AA1045" s="4">
        <v>18</v>
      </c>
      <c r="AC1045" s="4">
        <v>1</v>
      </c>
      <c r="AD1045" s="4">
        <v>37</v>
      </c>
      <c r="AE1045" s="4">
        <v>48</v>
      </c>
      <c r="AF1045" s="4">
        <v>92</v>
      </c>
      <c r="AG1045" s="4">
        <v>2</v>
      </c>
      <c r="AL1045" s="4">
        <v>179</v>
      </c>
      <c r="AN1045" s="4">
        <v>179</v>
      </c>
      <c r="AO1045" s="4">
        <v>179</v>
      </c>
    </row>
    <row r="1046" spans="1:41" hidden="1" x14ac:dyDescent="0.2">
      <c r="A1046" t="s">
        <v>1883</v>
      </c>
      <c r="B1046" t="s">
        <v>1884</v>
      </c>
      <c r="C1046" s="2">
        <v>42471</v>
      </c>
      <c r="D1046" s="2">
        <v>43256</v>
      </c>
      <c r="E1046" s="3">
        <v>836062</v>
      </c>
      <c r="F1046" t="s">
        <v>468</v>
      </c>
      <c r="G1046" t="s">
        <v>1139</v>
      </c>
      <c r="H1046" t="s">
        <v>45</v>
      </c>
      <c r="I1046" s="3">
        <v>10029</v>
      </c>
      <c r="J1046" s="3">
        <v>1016270043</v>
      </c>
      <c r="K1046" s="3">
        <v>1090678</v>
      </c>
      <c r="L1046" t="s">
        <v>153</v>
      </c>
      <c r="M1046" s="4">
        <v>8</v>
      </c>
      <c r="N1046" t="s">
        <v>468</v>
      </c>
      <c r="O1046" t="s">
        <v>267</v>
      </c>
      <c r="P1046" s="4">
        <v>40.788162999999997</v>
      </c>
      <c r="Q1046" s="4">
        <v>-73.948453000000001</v>
      </c>
      <c r="R1046" s="4">
        <v>40.787846999999999</v>
      </c>
      <c r="S1046" s="4">
        <v>-73.948268999999996</v>
      </c>
      <c r="T1046" s="2">
        <v>43256</v>
      </c>
      <c r="U1046" t="s">
        <v>117</v>
      </c>
      <c r="V1046" t="s">
        <v>71</v>
      </c>
      <c r="W1046" t="s">
        <v>51</v>
      </c>
      <c r="Z1046" s="4">
        <v>11</v>
      </c>
      <c r="AD1046" s="4">
        <v>1</v>
      </c>
      <c r="AE1046" s="4">
        <v>10</v>
      </c>
      <c r="AL1046" s="4">
        <v>11</v>
      </c>
      <c r="AN1046" s="4">
        <v>11</v>
      </c>
      <c r="AO1046" s="4">
        <v>11</v>
      </c>
    </row>
    <row r="1047" spans="1:41" hidden="1" x14ac:dyDescent="0.2">
      <c r="A1047" t="s">
        <v>1885</v>
      </c>
      <c r="B1047" t="s">
        <v>1886</v>
      </c>
      <c r="C1047" s="2">
        <v>42468</v>
      </c>
      <c r="D1047" s="2">
        <v>42468</v>
      </c>
      <c r="E1047" s="3">
        <v>11043</v>
      </c>
      <c r="F1047" t="s">
        <v>1887</v>
      </c>
      <c r="G1047" t="s">
        <v>620</v>
      </c>
      <c r="H1047" t="s">
        <v>45</v>
      </c>
      <c r="I1047" s="3">
        <v>10009</v>
      </c>
      <c r="J1047" s="3">
        <v>1003750030</v>
      </c>
      <c r="K1047" s="3">
        <v>1004442</v>
      </c>
      <c r="L1047" t="s">
        <v>64</v>
      </c>
      <c r="M1047" s="4">
        <v>2</v>
      </c>
      <c r="N1047" t="s">
        <v>196</v>
      </c>
      <c r="O1047" t="s">
        <v>197</v>
      </c>
      <c r="P1047" s="4">
        <v>40.722912999999998</v>
      </c>
      <c r="Q1047" s="4">
        <v>-73.977898999999994</v>
      </c>
      <c r="R1047" s="4">
        <v>40.722625000000001</v>
      </c>
      <c r="S1047" s="4">
        <v>-73.977788000000004</v>
      </c>
      <c r="T1047" s="2">
        <v>42468</v>
      </c>
      <c r="U1047" t="s">
        <v>49</v>
      </c>
      <c r="V1047" t="s">
        <v>50</v>
      </c>
      <c r="W1047" t="s">
        <v>51</v>
      </c>
      <c r="AA1047" s="4">
        <v>19</v>
      </c>
      <c r="AE1047" s="4">
        <v>5</v>
      </c>
      <c r="AF1047" s="4">
        <v>10</v>
      </c>
      <c r="AG1047" s="4">
        <v>4</v>
      </c>
      <c r="AM1047" s="4">
        <v>19</v>
      </c>
      <c r="AN1047" s="4">
        <v>19</v>
      </c>
      <c r="AO1047" s="4">
        <v>19</v>
      </c>
    </row>
    <row r="1048" spans="1:41" hidden="1" x14ac:dyDescent="0.2">
      <c r="A1048" t="s">
        <v>1888</v>
      </c>
      <c r="B1048" t="s">
        <v>140</v>
      </c>
      <c r="C1048" s="2">
        <v>42450</v>
      </c>
      <c r="D1048" s="2">
        <v>42562</v>
      </c>
      <c r="F1048" t="s">
        <v>141</v>
      </c>
      <c r="G1048" t="s">
        <v>141</v>
      </c>
      <c r="H1048" t="s">
        <v>45</v>
      </c>
      <c r="L1048" t="s">
        <v>169</v>
      </c>
      <c r="M1048" s="4">
        <v>9</v>
      </c>
      <c r="T1048" s="2">
        <v>42562</v>
      </c>
      <c r="U1048" t="s">
        <v>49</v>
      </c>
      <c r="V1048" t="s">
        <v>71</v>
      </c>
      <c r="W1048" t="s">
        <v>51</v>
      </c>
      <c r="X1048" s="4">
        <v>2</v>
      </c>
      <c r="AK1048" s="4">
        <v>2</v>
      </c>
      <c r="AM1048" s="4">
        <v>2</v>
      </c>
      <c r="AN1048" s="4">
        <v>2</v>
      </c>
      <c r="AO1048" s="4">
        <v>2</v>
      </c>
    </row>
    <row r="1049" spans="1:41" hidden="1" x14ac:dyDescent="0.2">
      <c r="A1049" t="s">
        <v>1889</v>
      </c>
      <c r="B1049" t="s">
        <v>1890</v>
      </c>
      <c r="C1049" s="2">
        <v>42431</v>
      </c>
      <c r="D1049" s="2">
        <v>42431</v>
      </c>
      <c r="E1049" s="3">
        <v>5460</v>
      </c>
      <c r="F1049" t="s">
        <v>470</v>
      </c>
      <c r="G1049" t="s">
        <v>1891</v>
      </c>
      <c r="H1049" t="s">
        <v>45</v>
      </c>
      <c r="I1049" s="3">
        <v>10002</v>
      </c>
      <c r="J1049" s="3">
        <v>1004160025</v>
      </c>
      <c r="K1049" s="3">
        <v>1005512</v>
      </c>
      <c r="L1049" t="s">
        <v>64</v>
      </c>
      <c r="M1049" s="4">
        <v>1</v>
      </c>
      <c r="N1049" t="s">
        <v>207</v>
      </c>
      <c r="O1049" t="s">
        <v>66</v>
      </c>
      <c r="P1049" s="4">
        <v>40.721038</v>
      </c>
      <c r="Q1049" s="4">
        <v>-73.989447999999996</v>
      </c>
      <c r="R1049" s="4">
        <v>40.721145</v>
      </c>
      <c r="S1049" s="4">
        <v>-73.989818999999997</v>
      </c>
      <c r="T1049" s="2">
        <v>42431</v>
      </c>
      <c r="U1049" t="s">
        <v>49</v>
      </c>
      <c r="V1049" t="s">
        <v>71</v>
      </c>
      <c r="W1049" t="s">
        <v>51</v>
      </c>
      <c r="Z1049" s="4">
        <v>13</v>
      </c>
      <c r="AE1049" s="4">
        <v>13</v>
      </c>
      <c r="AL1049" s="4">
        <v>13</v>
      </c>
      <c r="AN1049" s="4">
        <v>13</v>
      </c>
      <c r="AO1049" s="4">
        <v>13</v>
      </c>
    </row>
    <row r="1050" spans="1:41" hidden="1" x14ac:dyDescent="0.2">
      <c r="A1050" t="s">
        <v>1889</v>
      </c>
      <c r="B1050" t="s">
        <v>1890</v>
      </c>
      <c r="C1050" s="2">
        <v>42431</v>
      </c>
      <c r="D1050" s="2">
        <v>42431</v>
      </c>
      <c r="E1050" s="3">
        <v>21159</v>
      </c>
      <c r="F1050" t="s">
        <v>465</v>
      </c>
      <c r="G1050" t="s">
        <v>498</v>
      </c>
      <c r="H1050" t="s">
        <v>45</v>
      </c>
      <c r="I1050" s="3">
        <v>10002</v>
      </c>
      <c r="J1050" s="3">
        <v>1003500056</v>
      </c>
      <c r="K1050" s="3">
        <v>1004268</v>
      </c>
      <c r="L1050" t="s">
        <v>64</v>
      </c>
      <c r="M1050" s="4">
        <v>2</v>
      </c>
      <c r="N1050" t="s">
        <v>65</v>
      </c>
      <c r="O1050" t="s">
        <v>66</v>
      </c>
      <c r="P1050" s="4">
        <v>40.721350000000001</v>
      </c>
      <c r="Q1050" s="4">
        <v>-73.983445000000003</v>
      </c>
      <c r="R1050" s="4">
        <v>40.721125000000001</v>
      </c>
      <c r="S1050" s="4">
        <v>-73.983614000000003</v>
      </c>
      <c r="T1050" s="2">
        <v>42431</v>
      </c>
      <c r="U1050" t="s">
        <v>49</v>
      </c>
      <c r="V1050" t="s">
        <v>71</v>
      </c>
      <c r="W1050" t="s">
        <v>51</v>
      </c>
      <c r="Y1050" s="4">
        <v>1</v>
      </c>
      <c r="Z1050" s="4">
        <v>1</v>
      </c>
      <c r="AB1050" s="4">
        <v>2</v>
      </c>
      <c r="AE1050" s="4">
        <v>3</v>
      </c>
      <c r="AG1050" s="4">
        <v>1</v>
      </c>
      <c r="AL1050" s="4">
        <v>4</v>
      </c>
      <c r="AN1050" s="4">
        <v>4</v>
      </c>
      <c r="AO1050" s="4">
        <v>4</v>
      </c>
    </row>
    <row r="1051" spans="1:41" hidden="1" x14ac:dyDescent="0.2">
      <c r="A1051" t="s">
        <v>1889</v>
      </c>
      <c r="B1051" t="s">
        <v>1890</v>
      </c>
      <c r="C1051" s="2">
        <v>42431</v>
      </c>
      <c r="D1051" s="2">
        <v>42431</v>
      </c>
      <c r="E1051" s="3">
        <v>21167</v>
      </c>
      <c r="F1051" t="s">
        <v>1562</v>
      </c>
      <c r="G1051" t="s">
        <v>498</v>
      </c>
      <c r="H1051" t="s">
        <v>45</v>
      </c>
      <c r="I1051" s="3">
        <v>10002</v>
      </c>
      <c r="J1051" s="3">
        <v>1003450014</v>
      </c>
      <c r="K1051" s="3">
        <v>1004138</v>
      </c>
      <c r="L1051" t="s">
        <v>64</v>
      </c>
      <c r="M1051" s="4">
        <v>2</v>
      </c>
      <c r="N1051" t="s">
        <v>65</v>
      </c>
      <c r="O1051" t="s">
        <v>66</v>
      </c>
      <c r="P1051" s="4">
        <v>40.721111000000001</v>
      </c>
      <c r="Q1051" s="4">
        <v>-73.982662000000005</v>
      </c>
      <c r="R1051" s="4">
        <v>40.720827999999997</v>
      </c>
      <c r="S1051" s="4">
        <v>-73.982770000000002</v>
      </c>
      <c r="T1051" s="2">
        <v>42431</v>
      </c>
      <c r="U1051" t="s">
        <v>49</v>
      </c>
      <c r="V1051" t="s">
        <v>71</v>
      </c>
      <c r="W1051" t="s">
        <v>51</v>
      </c>
      <c r="Y1051" s="4">
        <v>5</v>
      </c>
      <c r="Z1051" s="4">
        <v>12</v>
      </c>
      <c r="AD1051" s="4">
        <v>6</v>
      </c>
      <c r="AE1051" s="4">
        <v>1</v>
      </c>
      <c r="AF1051" s="4">
        <v>10</v>
      </c>
      <c r="AL1051" s="4">
        <v>17</v>
      </c>
      <c r="AN1051" s="4">
        <v>17</v>
      </c>
      <c r="AO1051" s="4">
        <v>17</v>
      </c>
    </row>
    <row r="1052" spans="1:41" hidden="1" x14ac:dyDescent="0.2">
      <c r="A1052" t="s">
        <v>1889</v>
      </c>
      <c r="B1052" t="s">
        <v>1890</v>
      </c>
      <c r="C1052" s="2">
        <v>42431</v>
      </c>
      <c r="D1052" s="2">
        <v>42431</v>
      </c>
      <c r="E1052" s="3">
        <v>27435</v>
      </c>
      <c r="F1052" t="s">
        <v>1892</v>
      </c>
      <c r="G1052" t="s">
        <v>1893</v>
      </c>
      <c r="H1052" t="s">
        <v>45</v>
      </c>
      <c r="I1052" s="3">
        <v>10002</v>
      </c>
      <c r="J1052" s="3">
        <v>1003480013</v>
      </c>
      <c r="K1052" s="3">
        <v>1004170</v>
      </c>
      <c r="L1052" t="s">
        <v>64</v>
      </c>
      <c r="M1052" s="4">
        <v>1</v>
      </c>
      <c r="N1052" t="s">
        <v>122</v>
      </c>
      <c r="O1052" t="s">
        <v>66</v>
      </c>
      <c r="P1052" s="4">
        <v>40.719290999999998</v>
      </c>
      <c r="Q1052" s="4">
        <v>-73.985789999999994</v>
      </c>
      <c r="R1052" s="4">
        <v>40.719175999999997</v>
      </c>
      <c r="S1052" s="4">
        <v>-73.985868999999994</v>
      </c>
      <c r="T1052" s="2">
        <v>42431</v>
      </c>
      <c r="U1052" t="s">
        <v>49</v>
      </c>
      <c r="V1052" t="s">
        <v>71</v>
      </c>
      <c r="W1052" t="s">
        <v>51</v>
      </c>
      <c r="Y1052" s="4">
        <v>2</v>
      </c>
      <c r="Z1052" s="4">
        <v>3</v>
      </c>
      <c r="AB1052" s="4">
        <v>2</v>
      </c>
      <c r="AE1052" s="4">
        <v>6</v>
      </c>
      <c r="AG1052" s="4">
        <v>1</v>
      </c>
      <c r="AL1052" s="4">
        <v>7</v>
      </c>
      <c r="AN1052" s="4">
        <v>7</v>
      </c>
      <c r="AO1052" s="4">
        <v>7</v>
      </c>
    </row>
    <row r="1053" spans="1:41" hidden="1" x14ac:dyDescent="0.2">
      <c r="A1053" t="s">
        <v>1889</v>
      </c>
      <c r="B1053" t="s">
        <v>1890</v>
      </c>
      <c r="C1053" s="2">
        <v>42431</v>
      </c>
      <c r="D1053" s="2">
        <v>42431</v>
      </c>
      <c r="E1053" s="3">
        <v>28383</v>
      </c>
      <c r="F1053" t="s">
        <v>1006</v>
      </c>
      <c r="G1053" t="s">
        <v>63</v>
      </c>
      <c r="H1053" t="s">
        <v>45</v>
      </c>
      <c r="I1053" s="3">
        <v>10002</v>
      </c>
      <c r="J1053" s="3">
        <v>1003500036</v>
      </c>
      <c r="K1053" s="3">
        <v>1004256</v>
      </c>
      <c r="L1053" t="s">
        <v>64</v>
      </c>
      <c r="M1053" s="4">
        <v>2</v>
      </c>
      <c r="N1053" t="s">
        <v>1625</v>
      </c>
      <c r="O1053" t="s">
        <v>66</v>
      </c>
      <c r="P1053" s="4">
        <v>40.720435999999999</v>
      </c>
      <c r="Q1053" s="4">
        <v>-73.985107999999997</v>
      </c>
      <c r="R1053" s="4">
        <v>40.720570000000002</v>
      </c>
      <c r="S1053" s="4">
        <v>-73.985043000000005</v>
      </c>
      <c r="T1053" s="2">
        <v>42431</v>
      </c>
      <c r="U1053" t="s">
        <v>49</v>
      </c>
      <c r="V1053" t="s">
        <v>71</v>
      </c>
      <c r="W1053" t="s">
        <v>51</v>
      </c>
      <c r="Y1053" s="4">
        <v>2</v>
      </c>
      <c r="Z1053" s="4">
        <v>5</v>
      </c>
      <c r="AB1053" s="4">
        <v>1</v>
      </c>
      <c r="AE1053" s="4">
        <v>8</v>
      </c>
      <c r="AL1053" s="4">
        <v>8</v>
      </c>
      <c r="AN1053" s="4">
        <v>8</v>
      </c>
      <c r="AO1053" s="4">
        <v>8</v>
      </c>
    </row>
    <row r="1054" spans="1:41" hidden="1" x14ac:dyDescent="0.2">
      <c r="A1054" t="s">
        <v>1894</v>
      </c>
      <c r="B1054" t="s">
        <v>1895</v>
      </c>
      <c r="C1054" s="2">
        <v>42425</v>
      </c>
      <c r="D1054" s="2">
        <v>42425</v>
      </c>
      <c r="E1054" s="3">
        <v>7885</v>
      </c>
      <c r="F1054" t="s">
        <v>1896</v>
      </c>
      <c r="G1054" t="s">
        <v>389</v>
      </c>
      <c r="H1054" t="s">
        <v>45</v>
      </c>
      <c r="I1054" s="3">
        <v>10025</v>
      </c>
      <c r="J1054" s="3">
        <v>1018740052</v>
      </c>
      <c r="K1054" s="3">
        <v>1056548</v>
      </c>
      <c r="L1054" t="s">
        <v>46</v>
      </c>
      <c r="M1054" s="4">
        <v>7</v>
      </c>
      <c r="N1054" t="s">
        <v>1897</v>
      </c>
      <c r="O1054" t="s">
        <v>48</v>
      </c>
      <c r="P1054" s="4">
        <v>40.798740000000002</v>
      </c>
      <c r="Q1054" s="4">
        <v>-73.968818999999996</v>
      </c>
      <c r="R1054" s="4">
        <v>40.799092000000002</v>
      </c>
      <c r="S1054" s="4">
        <v>-73.969108000000006</v>
      </c>
      <c r="T1054" s="2">
        <v>42425</v>
      </c>
      <c r="U1054" t="s">
        <v>49</v>
      </c>
      <c r="V1054" t="s">
        <v>71</v>
      </c>
      <c r="W1054" t="s">
        <v>51</v>
      </c>
      <c r="Y1054" s="4">
        <v>134</v>
      </c>
      <c r="AC1054" s="4">
        <v>1</v>
      </c>
      <c r="AD1054" s="4">
        <v>31</v>
      </c>
      <c r="AE1054" s="4">
        <v>103</v>
      </c>
      <c r="AF1054" s="4">
        <v>1</v>
      </c>
      <c r="AL1054" s="4">
        <v>135</v>
      </c>
      <c r="AN1054" s="4">
        <v>135</v>
      </c>
      <c r="AO1054" s="4">
        <v>135</v>
      </c>
    </row>
    <row r="1055" spans="1:41" hidden="1" x14ac:dyDescent="0.2">
      <c r="A1055" t="s">
        <v>1898</v>
      </c>
      <c r="B1055" t="s">
        <v>1899</v>
      </c>
      <c r="C1055" s="2">
        <v>42412</v>
      </c>
      <c r="D1055" s="2">
        <v>43357</v>
      </c>
      <c r="E1055" s="3">
        <v>957979</v>
      </c>
      <c r="F1055" t="s">
        <v>1793</v>
      </c>
      <c r="G1055" t="s">
        <v>316</v>
      </c>
      <c r="H1055" t="s">
        <v>45</v>
      </c>
      <c r="I1055" s="3">
        <v>10025</v>
      </c>
      <c r="J1055" s="3">
        <v>1018650020</v>
      </c>
      <c r="K1055" s="3">
        <v>1089808</v>
      </c>
      <c r="L1055" t="s">
        <v>169</v>
      </c>
      <c r="M1055" s="4">
        <v>7</v>
      </c>
      <c r="N1055" t="s">
        <v>1900</v>
      </c>
      <c r="O1055" t="s">
        <v>251</v>
      </c>
      <c r="P1055" s="4">
        <v>40.804116999999998</v>
      </c>
      <c r="Q1055" s="4">
        <v>-73.960645999999997</v>
      </c>
      <c r="R1055" s="4">
        <v>40.804192</v>
      </c>
      <c r="S1055" s="4">
        <v>-73.961429999999993</v>
      </c>
      <c r="T1055" s="2">
        <v>43357</v>
      </c>
      <c r="U1055" t="s">
        <v>117</v>
      </c>
      <c r="V1055" t="s">
        <v>71</v>
      </c>
      <c r="W1055" t="s">
        <v>51</v>
      </c>
      <c r="Z1055" s="4">
        <v>87</v>
      </c>
      <c r="AD1055" s="4">
        <v>25</v>
      </c>
      <c r="AE1055" s="4">
        <v>43</v>
      </c>
      <c r="AF1055" s="4">
        <v>19</v>
      </c>
      <c r="AL1055" s="4">
        <v>87</v>
      </c>
      <c r="AN1055" s="4">
        <v>87</v>
      </c>
      <c r="AO1055" s="4">
        <v>430</v>
      </c>
    </row>
    <row r="1056" spans="1:41" hidden="1" x14ac:dyDescent="0.2">
      <c r="A1056" t="s">
        <v>1901</v>
      </c>
      <c r="B1056" t="s">
        <v>1902</v>
      </c>
      <c r="C1056" s="2">
        <v>42410</v>
      </c>
      <c r="D1056" s="2">
        <v>42856</v>
      </c>
      <c r="E1056" s="3">
        <v>865282</v>
      </c>
      <c r="F1056" t="s">
        <v>669</v>
      </c>
      <c r="G1056" t="s">
        <v>538</v>
      </c>
      <c r="H1056" t="s">
        <v>45</v>
      </c>
      <c r="I1056" s="3">
        <v>10030</v>
      </c>
      <c r="J1056" s="3">
        <v>1020260033</v>
      </c>
      <c r="K1056" s="3">
        <v>1085368</v>
      </c>
      <c r="L1056" t="s">
        <v>146</v>
      </c>
      <c r="M1056" s="4">
        <v>9</v>
      </c>
      <c r="N1056" t="s">
        <v>222</v>
      </c>
      <c r="O1056" t="s">
        <v>177</v>
      </c>
      <c r="P1056" s="4">
        <v>40.819311999999996</v>
      </c>
      <c r="Q1056" s="4">
        <v>-73.941462999999999</v>
      </c>
      <c r="R1056" s="4">
        <v>40.819111999999997</v>
      </c>
      <c r="S1056" s="4">
        <v>-73.941560999999993</v>
      </c>
      <c r="T1056" s="2">
        <v>42856</v>
      </c>
      <c r="U1056" t="s">
        <v>49</v>
      </c>
      <c r="V1056" t="s">
        <v>71</v>
      </c>
      <c r="W1056" t="s">
        <v>51</v>
      </c>
      <c r="Y1056" s="4">
        <v>69</v>
      </c>
      <c r="AD1056" s="4">
        <v>19</v>
      </c>
      <c r="AE1056" s="4">
        <v>50</v>
      </c>
      <c r="AL1056" s="4">
        <v>69</v>
      </c>
      <c r="AN1056" s="4">
        <v>69</v>
      </c>
      <c r="AO1056" s="4">
        <v>69</v>
      </c>
    </row>
    <row r="1057" spans="1:41" hidden="1" x14ac:dyDescent="0.2">
      <c r="A1057" t="s">
        <v>1903</v>
      </c>
      <c r="B1057" t="s">
        <v>1904</v>
      </c>
      <c r="C1057" s="2">
        <v>42396</v>
      </c>
      <c r="D1057" s="2">
        <v>44071</v>
      </c>
      <c r="E1057" s="3">
        <v>12090</v>
      </c>
      <c r="F1057" t="s">
        <v>1218</v>
      </c>
      <c r="G1057" t="s">
        <v>1905</v>
      </c>
      <c r="H1057" t="s">
        <v>45</v>
      </c>
      <c r="I1057" s="3">
        <v>10009</v>
      </c>
      <c r="J1057" s="3">
        <v>1004417504</v>
      </c>
      <c r="K1057" s="3">
        <v>1090211</v>
      </c>
      <c r="L1057" t="s">
        <v>64</v>
      </c>
      <c r="M1057" s="4">
        <v>2</v>
      </c>
      <c r="N1057" t="s">
        <v>978</v>
      </c>
      <c r="O1057" t="s">
        <v>197</v>
      </c>
      <c r="P1057" s="4">
        <v>40.730832999999997</v>
      </c>
      <c r="Q1057" s="4">
        <v>-73.981291999999996</v>
      </c>
      <c r="R1057" s="4">
        <v>40.730286</v>
      </c>
      <c r="S1057" s="4">
        <v>-73.981249000000005</v>
      </c>
      <c r="T1057" s="2">
        <v>44071</v>
      </c>
      <c r="U1057" t="s">
        <v>117</v>
      </c>
      <c r="V1057" t="s">
        <v>71</v>
      </c>
      <c r="W1057" t="s">
        <v>51</v>
      </c>
      <c r="Z1057" s="4">
        <v>23</v>
      </c>
      <c r="AD1057" s="4">
        <v>5</v>
      </c>
      <c r="AE1057" s="4">
        <v>13</v>
      </c>
      <c r="AF1057" s="4">
        <v>5</v>
      </c>
      <c r="AL1057" s="4">
        <v>23</v>
      </c>
      <c r="AN1057" s="4">
        <v>23</v>
      </c>
      <c r="AO1057" s="4">
        <v>114</v>
      </c>
    </row>
    <row r="1058" spans="1:41" hidden="1" x14ac:dyDescent="0.2">
      <c r="A1058" t="s">
        <v>1906</v>
      </c>
      <c r="B1058" t="s">
        <v>1907</v>
      </c>
      <c r="C1058" s="2">
        <v>42374</v>
      </c>
      <c r="D1058" s="2">
        <v>42374</v>
      </c>
      <c r="E1058" s="3">
        <v>2703</v>
      </c>
      <c r="F1058" t="s">
        <v>1908</v>
      </c>
      <c r="G1058" t="s">
        <v>832</v>
      </c>
      <c r="H1058" t="s">
        <v>45</v>
      </c>
      <c r="I1058" s="3">
        <v>10037</v>
      </c>
      <c r="J1058" s="3">
        <v>1017600001</v>
      </c>
      <c r="K1058" s="3">
        <v>1081109</v>
      </c>
      <c r="L1058" t="s">
        <v>153</v>
      </c>
      <c r="M1058" s="4">
        <v>9</v>
      </c>
      <c r="N1058" t="s">
        <v>62</v>
      </c>
      <c r="O1058" t="s">
        <v>155</v>
      </c>
      <c r="P1058" s="4">
        <v>40.813057999999998</v>
      </c>
      <c r="Q1058" s="4">
        <v>-73.937387000000001</v>
      </c>
      <c r="R1058" s="4">
        <v>40.813406000000001</v>
      </c>
      <c r="S1058" s="4">
        <v>-73.936211999999998</v>
      </c>
      <c r="T1058" s="2">
        <v>42374</v>
      </c>
      <c r="U1058" t="s">
        <v>49</v>
      </c>
      <c r="V1058" t="s">
        <v>50</v>
      </c>
      <c r="W1058" t="s">
        <v>51</v>
      </c>
      <c r="Z1058" s="4">
        <v>109</v>
      </c>
      <c r="AB1058" s="4">
        <v>53</v>
      </c>
      <c r="AE1058" s="4">
        <v>79</v>
      </c>
      <c r="AF1058" s="4">
        <v>81</v>
      </c>
      <c r="AG1058" s="4">
        <v>2</v>
      </c>
      <c r="AL1058" s="4">
        <v>162</v>
      </c>
      <c r="AN1058" s="4">
        <v>162</v>
      </c>
      <c r="AO1058" s="4">
        <v>205</v>
      </c>
    </row>
    <row r="1059" spans="1:41" hidden="1" x14ac:dyDescent="0.2">
      <c r="A1059" t="s">
        <v>1906</v>
      </c>
      <c r="B1059" t="s">
        <v>1907</v>
      </c>
      <c r="C1059" s="2">
        <v>42374</v>
      </c>
      <c r="D1059" s="2">
        <v>42374</v>
      </c>
      <c r="E1059" s="3">
        <v>20926</v>
      </c>
      <c r="F1059" t="s">
        <v>1525</v>
      </c>
      <c r="G1059" t="s">
        <v>1909</v>
      </c>
      <c r="H1059" t="s">
        <v>45</v>
      </c>
      <c r="I1059" s="3">
        <v>10037</v>
      </c>
      <c r="J1059" s="3">
        <v>1017600101</v>
      </c>
      <c r="K1059" s="3">
        <v>1082615</v>
      </c>
      <c r="L1059" t="s">
        <v>153</v>
      </c>
      <c r="M1059" s="4">
        <v>9</v>
      </c>
      <c r="N1059" t="s">
        <v>62</v>
      </c>
      <c r="O1059" t="s">
        <v>155</v>
      </c>
      <c r="P1059" s="4">
        <v>40.811838000000002</v>
      </c>
      <c r="Q1059" s="4">
        <v>-73.935436999999993</v>
      </c>
      <c r="R1059" s="4">
        <v>40.812538000000004</v>
      </c>
      <c r="S1059" s="4">
        <v>-73.935175999999998</v>
      </c>
      <c r="T1059" s="2">
        <v>42374</v>
      </c>
      <c r="U1059" t="s">
        <v>49</v>
      </c>
      <c r="V1059" t="s">
        <v>50</v>
      </c>
      <c r="W1059" t="s">
        <v>51</v>
      </c>
      <c r="Z1059" s="4">
        <v>54</v>
      </c>
      <c r="AB1059" s="4">
        <v>27</v>
      </c>
      <c r="AE1059" s="4">
        <v>39</v>
      </c>
      <c r="AF1059" s="4">
        <v>42</v>
      </c>
      <c r="AL1059" s="4">
        <v>81</v>
      </c>
      <c r="AN1059" s="4">
        <v>81</v>
      </c>
      <c r="AO1059" s="4">
        <v>103</v>
      </c>
    </row>
    <row r="1060" spans="1:41" hidden="1" x14ac:dyDescent="0.2">
      <c r="A1060" t="s">
        <v>1906</v>
      </c>
      <c r="B1060" t="s">
        <v>1907</v>
      </c>
      <c r="C1060" s="2">
        <v>42374</v>
      </c>
      <c r="D1060" s="2">
        <v>42374</v>
      </c>
      <c r="E1060" s="3">
        <v>804704</v>
      </c>
      <c r="F1060" t="s">
        <v>1235</v>
      </c>
      <c r="G1060" t="s">
        <v>1910</v>
      </c>
      <c r="H1060" t="s">
        <v>45</v>
      </c>
      <c r="I1060" s="3">
        <v>10037</v>
      </c>
      <c r="J1060" s="3">
        <v>1017600001</v>
      </c>
      <c r="K1060" s="3">
        <v>1081107</v>
      </c>
      <c r="L1060" t="s">
        <v>153</v>
      </c>
      <c r="M1060" s="4">
        <v>9</v>
      </c>
      <c r="N1060" t="s">
        <v>62</v>
      </c>
      <c r="O1060" t="s">
        <v>155</v>
      </c>
      <c r="P1060" s="4">
        <v>40.814275000000002</v>
      </c>
      <c r="Q1060" s="4">
        <v>-73.935337000000004</v>
      </c>
      <c r="R1060" s="4">
        <v>40.813406000000001</v>
      </c>
      <c r="S1060" s="4">
        <v>-73.936211999999998</v>
      </c>
      <c r="T1060" s="2">
        <v>42374</v>
      </c>
      <c r="U1060" t="s">
        <v>49</v>
      </c>
      <c r="V1060" t="s">
        <v>50</v>
      </c>
      <c r="W1060" t="s">
        <v>51</v>
      </c>
      <c r="Z1060" s="4">
        <v>55</v>
      </c>
      <c r="AB1060" s="4">
        <v>27</v>
      </c>
      <c r="AE1060" s="4">
        <v>40</v>
      </c>
      <c r="AF1060" s="4">
        <v>41</v>
      </c>
      <c r="AG1060" s="4">
        <v>1</v>
      </c>
      <c r="AL1060" s="4">
        <v>82</v>
      </c>
      <c r="AN1060" s="4">
        <v>82</v>
      </c>
      <c r="AO1060" s="4">
        <v>103</v>
      </c>
    </row>
    <row r="1061" spans="1:41" hidden="1" x14ac:dyDescent="0.2">
      <c r="A1061" t="s">
        <v>1906</v>
      </c>
      <c r="B1061" t="s">
        <v>1907</v>
      </c>
      <c r="C1061" s="2">
        <v>42374</v>
      </c>
      <c r="D1061" s="2">
        <v>42374</v>
      </c>
      <c r="E1061" s="3">
        <v>804798</v>
      </c>
      <c r="F1061" t="s">
        <v>1911</v>
      </c>
      <c r="G1061" t="s">
        <v>1258</v>
      </c>
      <c r="H1061" t="s">
        <v>45</v>
      </c>
      <c r="I1061" s="3">
        <v>10037</v>
      </c>
      <c r="J1061" s="3">
        <v>1017600001</v>
      </c>
      <c r="K1061" s="3">
        <v>1081108</v>
      </c>
      <c r="L1061" t="s">
        <v>153</v>
      </c>
      <c r="M1061" s="4">
        <v>9</v>
      </c>
      <c r="N1061" t="s">
        <v>62</v>
      </c>
      <c r="O1061" t="s">
        <v>155</v>
      </c>
      <c r="P1061" s="4">
        <v>40.814129999999999</v>
      </c>
      <c r="Q1061" s="4">
        <v>-73.936609000000004</v>
      </c>
      <c r="R1061" s="4">
        <v>40.813406000000001</v>
      </c>
      <c r="S1061" s="4">
        <v>-73.936211999999998</v>
      </c>
      <c r="T1061" s="2">
        <v>42374</v>
      </c>
      <c r="U1061" t="s">
        <v>49</v>
      </c>
      <c r="V1061" t="s">
        <v>50</v>
      </c>
      <c r="W1061" t="s">
        <v>51</v>
      </c>
      <c r="Z1061" s="4">
        <v>109</v>
      </c>
      <c r="AB1061" s="4">
        <v>55</v>
      </c>
      <c r="AE1061" s="4">
        <v>80</v>
      </c>
      <c r="AF1061" s="4">
        <v>82</v>
      </c>
      <c r="AG1061" s="4">
        <v>2</v>
      </c>
      <c r="AL1061" s="4">
        <v>164</v>
      </c>
      <c r="AN1061" s="4">
        <v>164</v>
      </c>
      <c r="AO1061" s="4">
        <v>206</v>
      </c>
    </row>
    <row r="1062" spans="1:41" hidden="1" x14ac:dyDescent="0.2">
      <c r="A1062" t="s">
        <v>1906</v>
      </c>
      <c r="B1062" t="s">
        <v>1907</v>
      </c>
      <c r="C1062" s="2">
        <v>42374</v>
      </c>
      <c r="D1062" s="2">
        <v>42374</v>
      </c>
      <c r="E1062" s="3">
        <v>805053</v>
      </c>
      <c r="F1062" t="s">
        <v>1912</v>
      </c>
      <c r="G1062" t="s">
        <v>191</v>
      </c>
      <c r="H1062" t="s">
        <v>45</v>
      </c>
      <c r="I1062" s="3">
        <v>10037</v>
      </c>
      <c r="J1062" s="3">
        <v>1017600001</v>
      </c>
      <c r="K1062" s="3">
        <v>1081105</v>
      </c>
      <c r="L1062" t="s">
        <v>153</v>
      </c>
      <c r="M1062" s="4">
        <v>9</v>
      </c>
      <c r="N1062" t="s">
        <v>62</v>
      </c>
      <c r="O1062" t="s">
        <v>155</v>
      </c>
      <c r="P1062" s="4">
        <v>40.812626000000002</v>
      </c>
      <c r="Q1062" s="4">
        <v>-73.935884000000001</v>
      </c>
      <c r="R1062" s="4">
        <v>40.813406000000001</v>
      </c>
      <c r="S1062" s="4">
        <v>-73.936211999999998</v>
      </c>
      <c r="T1062" s="2">
        <v>42374</v>
      </c>
      <c r="U1062" t="s">
        <v>49</v>
      </c>
      <c r="V1062" t="s">
        <v>50</v>
      </c>
      <c r="W1062" t="s">
        <v>51</v>
      </c>
      <c r="Z1062" s="4">
        <v>106</v>
      </c>
      <c r="AB1062" s="4">
        <v>54</v>
      </c>
      <c r="AE1062" s="4">
        <v>78</v>
      </c>
      <c r="AF1062" s="4">
        <v>80</v>
      </c>
      <c r="AG1062" s="4">
        <v>2</v>
      </c>
      <c r="AL1062" s="4">
        <v>160</v>
      </c>
      <c r="AN1062" s="4">
        <v>160</v>
      </c>
      <c r="AO1062" s="4">
        <v>201</v>
      </c>
    </row>
    <row r="1063" spans="1:41" hidden="1" x14ac:dyDescent="0.2">
      <c r="A1063" t="s">
        <v>1906</v>
      </c>
      <c r="B1063" t="s">
        <v>1907</v>
      </c>
      <c r="C1063" s="2">
        <v>42374</v>
      </c>
      <c r="D1063" s="2">
        <v>42374</v>
      </c>
      <c r="E1063" s="3">
        <v>805054</v>
      </c>
      <c r="F1063" t="s">
        <v>382</v>
      </c>
      <c r="G1063" t="s">
        <v>191</v>
      </c>
      <c r="H1063" t="s">
        <v>45</v>
      </c>
      <c r="I1063" s="3">
        <v>10037</v>
      </c>
      <c r="J1063" s="3">
        <v>1017600101</v>
      </c>
      <c r="K1063" s="3">
        <v>1082614</v>
      </c>
      <c r="L1063" t="s">
        <v>153</v>
      </c>
      <c r="M1063" s="4">
        <v>9</v>
      </c>
      <c r="N1063" t="s">
        <v>62</v>
      </c>
      <c r="O1063" t="s">
        <v>155</v>
      </c>
      <c r="P1063" s="4">
        <v>40.812627999999997</v>
      </c>
      <c r="Q1063" s="4">
        <v>-73.935613000000004</v>
      </c>
      <c r="R1063" s="4">
        <v>40.812538000000004</v>
      </c>
      <c r="S1063" s="4">
        <v>-73.935175999999998</v>
      </c>
      <c r="T1063" s="2">
        <v>42374</v>
      </c>
      <c r="U1063" t="s">
        <v>49</v>
      </c>
      <c r="V1063" t="s">
        <v>50</v>
      </c>
      <c r="W1063" t="s">
        <v>51</v>
      </c>
      <c r="Z1063" s="4">
        <v>108</v>
      </c>
      <c r="AB1063" s="4">
        <v>55</v>
      </c>
      <c r="AC1063" s="4">
        <v>1</v>
      </c>
      <c r="AE1063" s="4">
        <v>81</v>
      </c>
      <c r="AF1063" s="4">
        <v>81</v>
      </c>
      <c r="AG1063" s="4">
        <v>2</v>
      </c>
      <c r="AL1063" s="4">
        <v>164</v>
      </c>
      <c r="AN1063" s="4">
        <v>164</v>
      </c>
      <c r="AO1063" s="4">
        <v>206</v>
      </c>
    </row>
    <row r="1064" spans="1:41" hidden="1" x14ac:dyDescent="0.2">
      <c r="A1064" t="s">
        <v>1906</v>
      </c>
      <c r="B1064" t="s">
        <v>1907</v>
      </c>
      <c r="C1064" s="2">
        <v>42374</v>
      </c>
      <c r="D1064" s="2">
        <v>42374</v>
      </c>
      <c r="E1064" s="3">
        <v>805055</v>
      </c>
      <c r="F1064" t="s">
        <v>1913</v>
      </c>
      <c r="G1064" t="s">
        <v>191</v>
      </c>
      <c r="H1064" t="s">
        <v>45</v>
      </c>
      <c r="I1064" s="3">
        <v>10037</v>
      </c>
      <c r="J1064" s="3">
        <v>1017600001</v>
      </c>
      <c r="K1064" s="3">
        <v>1081106</v>
      </c>
      <c r="L1064" t="s">
        <v>153</v>
      </c>
      <c r="M1064" s="4">
        <v>9</v>
      </c>
      <c r="N1064" t="s">
        <v>62</v>
      </c>
      <c r="O1064" t="s">
        <v>155</v>
      </c>
      <c r="P1064" s="4">
        <v>40.813243</v>
      </c>
      <c r="Q1064" s="4">
        <v>-73.935439000000002</v>
      </c>
      <c r="R1064" s="4">
        <v>40.813406000000001</v>
      </c>
      <c r="S1064" s="4">
        <v>-73.936211999999998</v>
      </c>
      <c r="T1064" s="2">
        <v>42374</v>
      </c>
      <c r="U1064" t="s">
        <v>49</v>
      </c>
      <c r="V1064" t="s">
        <v>50</v>
      </c>
      <c r="W1064" t="s">
        <v>51</v>
      </c>
      <c r="Z1064" s="4">
        <v>109</v>
      </c>
      <c r="AB1064" s="4">
        <v>54</v>
      </c>
      <c r="AE1064" s="4">
        <v>80</v>
      </c>
      <c r="AF1064" s="4">
        <v>81</v>
      </c>
      <c r="AG1064" s="4">
        <v>2</v>
      </c>
      <c r="AL1064" s="4">
        <v>163</v>
      </c>
      <c r="AN1064" s="4">
        <v>163</v>
      </c>
      <c r="AO1064" s="4">
        <v>206</v>
      </c>
    </row>
    <row r="1065" spans="1:41" hidden="1" x14ac:dyDescent="0.2">
      <c r="A1065" t="s">
        <v>1914</v>
      </c>
      <c r="B1065" t="s">
        <v>1915</v>
      </c>
      <c r="C1065" s="2">
        <v>42374</v>
      </c>
      <c r="D1065" s="2">
        <v>43024</v>
      </c>
      <c r="E1065" s="3">
        <v>965502</v>
      </c>
      <c r="F1065" t="s">
        <v>1916</v>
      </c>
      <c r="G1065" t="s">
        <v>191</v>
      </c>
      <c r="H1065" t="s">
        <v>45</v>
      </c>
      <c r="I1065" s="3">
        <v>10035</v>
      </c>
      <c r="J1065" s="3">
        <v>1016227501</v>
      </c>
      <c r="K1065" s="3">
        <v>1089838</v>
      </c>
      <c r="L1065" t="s">
        <v>153</v>
      </c>
      <c r="M1065" s="4">
        <v>9</v>
      </c>
      <c r="N1065" t="s">
        <v>789</v>
      </c>
      <c r="O1065" t="s">
        <v>155</v>
      </c>
      <c r="P1065" s="4">
        <v>40.800238</v>
      </c>
      <c r="Q1065" s="4">
        <v>-73.944676999999999</v>
      </c>
      <c r="R1065" s="4">
        <v>40.800299000000003</v>
      </c>
      <c r="S1065" s="4">
        <v>-73.945002000000002</v>
      </c>
      <c r="T1065" s="2">
        <v>43024</v>
      </c>
      <c r="U1065" t="s">
        <v>117</v>
      </c>
      <c r="V1065" t="s">
        <v>71</v>
      </c>
      <c r="W1065" t="s">
        <v>51</v>
      </c>
      <c r="Z1065" s="4">
        <v>7</v>
      </c>
      <c r="AD1065" s="4">
        <v>1</v>
      </c>
      <c r="AE1065" s="4">
        <v>6</v>
      </c>
      <c r="AL1065" s="4">
        <v>7</v>
      </c>
      <c r="AN1065" s="4">
        <v>7</v>
      </c>
      <c r="AO1065" s="4">
        <v>32</v>
      </c>
    </row>
    <row r="1066" spans="1:41" hidden="1" x14ac:dyDescent="0.2">
      <c r="A1066" t="s">
        <v>1917</v>
      </c>
      <c r="B1066" t="s">
        <v>1918</v>
      </c>
      <c r="C1066" s="2">
        <v>42368</v>
      </c>
      <c r="D1066" s="2">
        <v>43348</v>
      </c>
      <c r="E1066" s="3">
        <v>40063</v>
      </c>
      <c r="F1066" t="s">
        <v>1919</v>
      </c>
      <c r="G1066" t="s">
        <v>428</v>
      </c>
      <c r="H1066" t="s">
        <v>45</v>
      </c>
      <c r="I1066" s="3">
        <v>10027</v>
      </c>
      <c r="J1066" s="3">
        <v>1017270020</v>
      </c>
      <c r="K1066" s="3">
        <v>1053724</v>
      </c>
      <c r="L1066" t="s">
        <v>146</v>
      </c>
      <c r="M1066" s="4">
        <v>9</v>
      </c>
      <c r="N1066" t="s">
        <v>305</v>
      </c>
      <c r="O1066" t="s">
        <v>177</v>
      </c>
      <c r="P1066" s="4">
        <v>40.809604</v>
      </c>
      <c r="Q1066" s="4">
        <v>-73.941908999999995</v>
      </c>
      <c r="R1066" s="4">
        <v>40.809787999999998</v>
      </c>
      <c r="S1066" s="4">
        <v>-73.941796999999994</v>
      </c>
      <c r="T1066" s="2">
        <v>43118</v>
      </c>
      <c r="U1066" t="s">
        <v>49</v>
      </c>
      <c r="V1066" t="s">
        <v>71</v>
      </c>
      <c r="W1066" t="s">
        <v>51</v>
      </c>
      <c r="Y1066" s="4">
        <v>18</v>
      </c>
      <c r="AG1066" s="4">
        <v>18</v>
      </c>
      <c r="AL1066" s="4">
        <v>18</v>
      </c>
      <c r="AN1066" s="4">
        <v>18</v>
      </c>
      <c r="AO1066" s="4">
        <v>18</v>
      </c>
    </row>
    <row r="1067" spans="1:41" hidden="1" x14ac:dyDescent="0.2">
      <c r="A1067" t="s">
        <v>1917</v>
      </c>
      <c r="B1067" t="s">
        <v>1918</v>
      </c>
      <c r="C1067" s="2">
        <v>42368</v>
      </c>
      <c r="D1067" s="2">
        <v>43348</v>
      </c>
      <c r="E1067" s="3">
        <v>40069</v>
      </c>
      <c r="F1067" t="s">
        <v>1746</v>
      </c>
      <c r="G1067" t="s">
        <v>428</v>
      </c>
      <c r="H1067" t="s">
        <v>45</v>
      </c>
      <c r="I1067" s="3">
        <v>10027</v>
      </c>
      <c r="J1067" s="3">
        <v>1017270016</v>
      </c>
      <c r="K1067" s="3">
        <v>1053722</v>
      </c>
      <c r="L1067" t="s">
        <v>146</v>
      </c>
      <c r="M1067" s="4">
        <v>9</v>
      </c>
      <c r="N1067" t="s">
        <v>305</v>
      </c>
      <c r="O1067" t="s">
        <v>177</v>
      </c>
      <c r="P1067" s="4">
        <v>40.809665000000003</v>
      </c>
      <c r="Q1067" s="4">
        <v>-73.942057000000005</v>
      </c>
      <c r="R1067" s="4">
        <v>40.809914999999997</v>
      </c>
      <c r="S1067" s="4">
        <v>-73.942097000000004</v>
      </c>
      <c r="T1067" s="2">
        <v>43118</v>
      </c>
      <c r="U1067" t="s">
        <v>49</v>
      </c>
      <c r="V1067" t="s">
        <v>71</v>
      </c>
      <c r="W1067" t="s">
        <v>51</v>
      </c>
      <c r="Y1067" s="4">
        <v>24</v>
      </c>
      <c r="AC1067" s="4">
        <v>1</v>
      </c>
      <c r="AF1067" s="4">
        <v>1</v>
      </c>
      <c r="AG1067" s="4">
        <v>14</v>
      </c>
      <c r="AH1067" s="4">
        <v>10</v>
      </c>
      <c r="AL1067" s="4">
        <v>25</v>
      </c>
      <c r="AN1067" s="4">
        <v>25</v>
      </c>
      <c r="AO1067" s="4">
        <v>25</v>
      </c>
    </row>
    <row r="1068" spans="1:41" hidden="1" x14ac:dyDescent="0.2">
      <c r="A1068" t="s">
        <v>1917</v>
      </c>
      <c r="B1068" t="s">
        <v>1918</v>
      </c>
      <c r="C1068" s="2">
        <v>42368</v>
      </c>
      <c r="D1068" s="2">
        <v>43348</v>
      </c>
      <c r="E1068" s="3">
        <v>40079</v>
      </c>
      <c r="F1068" t="s">
        <v>926</v>
      </c>
      <c r="G1068" t="s">
        <v>428</v>
      </c>
      <c r="H1068" t="s">
        <v>45</v>
      </c>
      <c r="I1068" s="3">
        <v>10027</v>
      </c>
      <c r="J1068" s="3">
        <v>1017270014</v>
      </c>
      <c r="K1068" s="3">
        <v>1053721</v>
      </c>
      <c r="L1068" t="s">
        <v>146</v>
      </c>
      <c r="M1068" s="4">
        <v>9</v>
      </c>
      <c r="N1068" t="s">
        <v>305</v>
      </c>
      <c r="O1068" t="s">
        <v>177</v>
      </c>
      <c r="P1068" s="4">
        <v>40.809697999999997</v>
      </c>
      <c r="Q1068" s="4">
        <v>-73.942128999999994</v>
      </c>
      <c r="R1068" s="4">
        <v>40.809983000000003</v>
      </c>
      <c r="S1068" s="4">
        <v>-73.942256</v>
      </c>
      <c r="T1068" s="2">
        <v>43348</v>
      </c>
      <c r="U1068" t="s">
        <v>49</v>
      </c>
      <c r="V1068" t="s">
        <v>71</v>
      </c>
      <c r="W1068" t="s">
        <v>51</v>
      </c>
      <c r="AA1068" s="4">
        <v>24</v>
      </c>
      <c r="AC1068" s="4">
        <v>1</v>
      </c>
      <c r="AF1068" s="4">
        <v>2</v>
      </c>
      <c r="AG1068" s="4">
        <v>12</v>
      </c>
      <c r="AH1068" s="4">
        <v>11</v>
      </c>
      <c r="AL1068" s="4">
        <v>25</v>
      </c>
      <c r="AN1068" s="4">
        <v>25</v>
      </c>
      <c r="AO1068" s="4">
        <v>25</v>
      </c>
    </row>
    <row r="1069" spans="1:41" hidden="1" x14ac:dyDescent="0.2">
      <c r="A1069" t="s">
        <v>1917</v>
      </c>
      <c r="B1069" t="s">
        <v>1918</v>
      </c>
      <c r="C1069" s="2">
        <v>42368</v>
      </c>
      <c r="D1069" s="2">
        <v>43348</v>
      </c>
      <c r="E1069" s="3">
        <v>40088</v>
      </c>
      <c r="F1069" t="s">
        <v>1089</v>
      </c>
      <c r="G1069" t="s">
        <v>428</v>
      </c>
      <c r="H1069" t="s">
        <v>45</v>
      </c>
      <c r="I1069" s="3">
        <v>10027</v>
      </c>
      <c r="J1069" s="3">
        <v>1017270010</v>
      </c>
      <c r="K1069" s="3">
        <v>1053719</v>
      </c>
      <c r="L1069" t="s">
        <v>146</v>
      </c>
      <c r="M1069" s="4">
        <v>9</v>
      </c>
      <c r="N1069" t="s">
        <v>305</v>
      </c>
      <c r="O1069" t="s">
        <v>177</v>
      </c>
      <c r="P1069" s="4">
        <v>40.809778000000001</v>
      </c>
      <c r="Q1069" s="4">
        <v>-73.942317000000003</v>
      </c>
      <c r="R1069" s="4">
        <v>40.810115000000003</v>
      </c>
      <c r="S1069" s="4">
        <v>-73.942572999999996</v>
      </c>
      <c r="T1069" s="2">
        <v>43118</v>
      </c>
      <c r="U1069" t="s">
        <v>49</v>
      </c>
      <c r="V1069" t="s">
        <v>71</v>
      </c>
      <c r="W1069" t="s">
        <v>51</v>
      </c>
      <c r="Y1069" s="4">
        <v>24</v>
      </c>
      <c r="AG1069" s="4">
        <v>13</v>
      </c>
      <c r="AH1069" s="4">
        <v>11</v>
      </c>
      <c r="AL1069" s="4">
        <v>24</v>
      </c>
      <c r="AN1069" s="4">
        <v>24</v>
      </c>
      <c r="AO1069" s="4">
        <v>24</v>
      </c>
    </row>
    <row r="1070" spans="1:41" hidden="1" x14ac:dyDescent="0.2">
      <c r="A1070" t="s">
        <v>1920</v>
      </c>
      <c r="B1070" t="s">
        <v>1921</v>
      </c>
      <c r="C1070" s="2">
        <v>42368</v>
      </c>
      <c r="D1070" s="2">
        <v>42905</v>
      </c>
      <c r="E1070" s="3">
        <v>23627</v>
      </c>
      <c r="F1070" t="s">
        <v>1922</v>
      </c>
      <c r="G1070" t="s">
        <v>274</v>
      </c>
      <c r="H1070" t="s">
        <v>45</v>
      </c>
      <c r="I1070" s="3">
        <v>10037</v>
      </c>
      <c r="J1070" s="3">
        <v>1019190026</v>
      </c>
      <c r="K1070" s="3">
        <v>1058249</v>
      </c>
      <c r="L1070" t="s">
        <v>146</v>
      </c>
      <c r="M1070" s="4">
        <v>9</v>
      </c>
      <c r="N1070" t="s">
        <v>322</v>
      </c>
      <c r="O1070" t="s">
        <v>177</v>
      </c>
      <c r="P1070" s="4">
        <v>40.813661000000003</v>
      </c>
      <c r="Q1070" s="4">
        <v>-73.941193999999996</v>
      </c>
      <c r="R1070" s="4">
        <v>40.813907999999998</v>
      </c>
      <c r="S1070" s="4">
        <v>-73.941584000000006</v>
      </c>
      <c r="T1070" s="2">
        <v>42905</v>
      </c>
      <c r="U1070" t="s">
        <v>49</v>
      </c>
      <c r="V1070" t="s">
        <v>71</v>
      </c>
      <c r="W1070" t="s">
        <v>51</v>
      </c>
      <c r="Y1070" s="4">
        <v>36</v>
      </c>
      <c r="Z1070" s="4">
        <v>125</v>
      </c>
      <c r="AD1070" s="4">
        <v>32</v>
      </c>
      <c r="AE1070" s="4">
        <v>39</v>
      </c>
      <c r="AF1070" s="4">
        <v>39</v>
      </c>
      <c r="AG1070" s="4">
        <v>51</v>
      </c>
      <c r="AM1070" s="4">
        <v>161</v>
      </c>
      <c r="AN1070" s="4">
        <v>161</v>
      </c>
      <c r="AO1070" s="4">
        <v>161</v>
      </c>
    </row>
    <row r="1071" spans="1:41" hidden="1" x14ac:dyDescent="0.2">
      <c r="A1071" t="s">
        <v>1923</v>
      </c>
      <c r="B1071" t="s">
        <v>1924</v>
      </c>
      <c r="C1071" s="2">
        <v>42368</v>
      </c>
      <c r="D1071" s="2">
        <v>42368</v>
      </c>
      <c r="E1071" s="3">
        <v>11580</v>
      </c>
      <c r="F1071" t="s">
        <v>1925</v>
      </c>
      <c r="G1071" t="s">
        <v>606</v>
      </c>
      <c r="H1071" t="s">
        <v>45</v>
      </c>
      <c r="I1071" s="3">
        <v>10009</v>
      </c>
      <c r="J1071" s="3">
        <v>1003790011</v>
      </c>
      <c r="K1071" s="3">
        <v>1004542</v>
      </c>
      <c r="L1071" t="s">
        <v>64</v>
      </c>
      <c r="M1071" s="4">
        <v>2</v>
      </c>
      <c r="N1071" t="s">
        <v>607</v>
      </c>
      <c r="O1071" t="s">
        <v>197</v>
      </c>
      <c r="P1071" s="4">
        <v>40.725684999999999</v>
      </c>
      <c r="Q1071" s="4">
        <v>-73.977093999999994</v>
      </c>
      <c r="R1071" s="4">
        <v>40.725473999999998</v>
      </c>
      <c r="S1071" s="4">
        <v>-73.977180000000004</v>
      </c>
      <c r="T1071" s="2">
        <v>42368</v>
      </c>
      <c r="U1071" t="s">
        <v>49</v>
      </c>
      <c r="V1071" t="s">
        <v>50</v>
      </c>
      <c r="W1071" t="s">
        <v>51</v>
      </c>
      <c r="AA1071" s="4">
        <v>11</v>
      </c>
      <c r="AF1071" s="4">
        <v>8</v>
      </c>
      <c r="AG1071" s="4">
        <v>3</v>
      </c>
      <c r="AM1071" s="4">
        <v>11</v>
      </c>
      <c r="AN1071" s="4">
        <v>11</v>
      </c>
      <c r="AO1071" s="4">
        <v>11</v>
      </c>
    </row>
    <row r="1072" spans="1:41" hidden="1" x14ac:dyDescent="0.2">
      <c r="A1072" t="s">
        <v>1926</v>
      </c>
      <c r="B1072" t="s">
        <v>1927</v>
      </c>
      <c r="C1072" s="2">
        <v>42356</v>
      </c>
      <c r="D1072" s="2">
        <v>42356</v>
      </c>
      <c r="E1072" s="3">
        <v>535</v>
      </c>
      <c r="F1072" t="s">
        <v>1928</v>
      </c>
      <c r="G1072" t="s">
        <v>339</v>
      </c>
      <c r="H1072" t="s">
        <v>45</v>
      </c>
      <c r="I1072" s="3">
        <v>10009</v>
      </c>
      <c r="J1072" s="3">
        <v>1009720001</v>
      </c>
      <c r="K1072" s="3">
        <v>1082875</v>
      </c>
      <c r="L1072" t="s">
        <v>165</v>
      </c>
      <c r="M1072" s="4">
        <v>4</v>
      </c>
      <c r="N1072" t="s">
        <v>966</v>
      </c>
      <c r="O1072" t="s">
        <v>1929</v>
      </c>
      <c r="P1072" s="4">
        <v>40.731650999999999</v>
      </c>
      <c r="Q1072" s="4">
        <v>-73.982196999999999</v>
      </c>
      <c r="R1072" s="4">
        <v>40.731724</v>
      </c>
      <c r="S1072" s="4">
        <v>-73.977896000000001</v>
      </c>
      <c r="T1072" s="2">
        <v>42356</v>
      </c>
      <c r="U1072" t="s">
        <v>49</v>
      </c>
      <c r="V1072" t="s">
        <v>50</v>
      </c>
      <c r="W1072" t="s">
        <v>51</v>
      </c>
      <c r="Z1072" s="4">
        <v>14</v>
      </c>
      <c r="AB1072" s="4">
        <v>120</v>
      </c>
      <c r="AE1072" s="4">
        <v>69</v>
      </c>
      <c r="AF1072" s="4">
        <v>57</v>
      </c>
      <c r="AG1072" s="4">
        <v>7</v>
      </c>
      <c r="AH1072" s="4">
        <v>1</v>
      </c>
      <c r="AL1072" s="4">
        <v>134</v>
      </c>
      <c r="AN1072" s="4">
        <v>134</v>
      </c>
      <c r="AO1072" s="4">
        <v>134</v>
      </c>
    </row>
    <row r="1073" spans="1:41" hidden="1" x14ac:dyDescent="0.2">
      <c r="A1073" t="s">
        <v>1926</v>
      </c>
      <c r="B1073" t="s">
        <v>1927</v>
      </c>
      <c r="C1073" s="2">
        <v>42356</v>
      </c>
      <c r="D1073" s="2">
        <v>42356</v>
      </c>
      <c r="E1073" s="3">
        <v>576</v>
      </c>
      <c r="F1073" t="s">
        <v>1727</v>
      </c>
      <c r="G1073" t="s">
        <v>339</v>
      </c>
      <c r="H1073" t="s">
        <v>45</v>
      </c>
      <c r="I1073" s="3">
        <v>10010</v>
      </c>
      <c r="J1073" s="3">
        <v>1009780001</v>
      </c>
      <c r="K1073" s="3">
        <v>1083679</v>
      </c>
      <c r="L1073" t="s">
        <v>165</v>
      </c>
      <c r="M1073" s="4">
        <v>4</v>
      </c>
      <c r="N1073" t="s">
        <v>1177</v>
      </c>
      <c r="O1073" t="s">
        <v>1929</v>
      </c>
      <c r="P1073" s="4">
        <v>40.735131000000003</v>
      </c>
      <c r="Q1073" s="4">
        <v>-73.979648999999995</v>
      </c>
      <c r="R1073" s="4">
        <v>40.734875000000002</v>
      </c>
      <c r="S1073" s="4">
        <v>-73.976982000000007</v>
      </c>
      <c r="T1073" s="2">
        <v>42356</v>
      </c>
      <c r="U1073" t="s">
        <v>49</v>
      </c>
      <c r="V1073" t="s">
        <v>50</v>
      </c>
      <c r="W1073" t="s">
        <v>51</v>
      </c>
      <c r="Z1073" s="4">
        <v>5</v>
      </c>
      <c r="AB1073" s="4">
        <v>46</v>
      </c>
      <c r="AE1073" s="4">
        <v>25</v>
      </c>
      <c r="AF1073" s="4">
        <v>26</v>
      </c>
      <c r="AL1073" s="4">
        <v>51</v>
      </c>
      <c r="AN1073" s="4">
        <v>51</v>
      </c>
      <c r="AO1073" s="4">
        <v>51</v>
      </c>
    </row>
    <row r="1074" spans="1:41" hidden="1" x14ac:dyDescent="0.2">
      <c r="A1074" t="s">
        <v>1926</v>
      </c>
      <c r="B1074" t="s">
        <v>1927</v>
      </c>
      <c r="C1074" s="2">
        <v>42356</v>
      </c>
      <c r="D1074" s="2">
        <v>42356</v>
      </c>
      <c r="E1074" s="3">
        <v>804067</v>
      </c>
      <c r="F1074" t="s">
        <v>1865</v>
      </c>
      <c r="G1074" t="s">
        <v>195</v>
      </c>
      <c r="H1074" t="s">
        <v>45</v>
      </c>
      <c r="I1074" s="3">
        <v>10009</v>
      </c>
      <c r="J1074" s="3">
        <v>1009720001</v>
      </c>
      <c r="K1074" s="3">
        <v>1082644</v>
      </c>
      <c r="L1074" t="s">
        <v>165</v>
      </c>
      <c r="M1074" s="4">
        <v>4</v>
      </c>
      <c r="N1074" t="s">
        <v>966</v>
      </c>
      <c r="O1074" t="s">
        <v>1929</v>
      </c>
      <c r="P1074" s="4">
        <v>40.729599</v>
      </c>
      <c r="Q1074" s="4">
        <v>-73.974956000000006</v>
      </c>
      <c r="R1074" s="4">
        <v>40.731724</v>
      </c>
      <c r="S1074" s="4">
        <v>-73.977896000000001</v>
      </c>
      <c r="T1074" s="2">
        <v>42356</v>
      </c>
      <c r="U1074" t="s">
        <v>49</v>
      </c>
      <c r="V1074" t="s">
        <v>50</v>
      </c>
      <c r="W1074" t="s">
        <v>51</v>
      </c>
      <c r="Z1074" s="4">
        <v>4</v>
      </c>
      <c r="AB1074" s="4">
        <v>39</v>
      </c>
      <c r="AE1074" s="4">
        <v>23</v>
      </c>
      <c r="AF1074" s="4">
        <v>18</v>
      </c>
      <c r="AG1074" s="4">
        <v>2</v>
      </c>
      <c r="AL1074" s="4">
        <v>43</v>
      </c>
      <c r="AN1074" s="4">
        <v>43</v>
      </c>
      <c r="AO1074" s="4">
        <v>43</v>
      </c>
    </row>
    <row r="1075" spans="1:41" hidden="1" x14ac:dyDescent="0.2">
      <c r="A1075" t="s">
        <v>1926</v>
      </c>
      <c r="B1075" t="s">
        <v>1927</v>
      </c>
      <c r="C1075" s="2">
        <v>42356</v>
      </c>
      <c r="D1075" s="2">
        <v>42356</v>
      </c>
      <c r="E1075" s="3">
        <v>804068</v>
      </c>
      <c r="F1075" t="s">
        <v>1930</v>
      </c>
      <c r="G1075" t="s">
        <v>195</v>
      </c>
      <c r="H1075" t="s">
        <v>45</v>
      </c>
      <c r="I1075" s="3">
        <v>10009</v>
      </c>
      <c r="J1075" s="3">
        <v>1009720001</v>
      </c>
      <c r="K1075" s="3">
        <v>1082848</v>
      </c>
      <c r="L1075" t="s">
        <v>165</v>
      </c>
      <c r="M1075" s="4">
        <v>4</v>
      </c>
      <c r="N1075" t="s">
        <v>966</v>
      </c>
      <c r="O1075" t="s">
        <v>1929</v>
      </c>
      <c r="P1075" s="4">
        <v>40.730007999999998</v>
      </c>
      <c r="Q1075" s="4">
        <v>-73.974667999999994</v>
      </c>
      <c r="R1075" s="4">
        <v>40.731724</v>
      </c>
      <c r="S1075" s="4">
        <v>-73.977896000000001</v>
      </c>
      <c r="T1075" s="2">
        <v>42356</v>
      </c>
      <c r="U1075" t="s">
        <v>49</v>
      </c>
      <c r="V1075" t="s">
        <v>50</v>
      </c>
      <c r="W1075" t="s">
        <v>51</v>
      </c>
      <c r="Z1075" s="4">
        <v>4</v>
      </c>
      <c r="AB1075" s="4">
        <v>39</v>
      </c>
      <c r="AE1075" s="4">
        <v>23</v>
      </c>
      <c r="AF1075" s="4">
        <v>18</v>
      </c>
      <c r="AG1075" s="4">
        <v>2</v>
      </c>
      <c r="AL1075" s="4">
        <v>43</v>
      </c>
      <c r="AN1075" s="4">
        <v>43</v>
      </c>
      <c r="AO1075" s="4">
        <v>43</v>
      </c>
    </row>
    <row r="1076" spans="1:41" hidden="1" x14ac:dyDescent="0.2">
      <c r="A1076" t="s">
        <v>1926</v>
      </c>
      <c r="B1076" t="s">
        <v>1927</v>
      </c>
      <c r="C1076" s="2">
        <v>42356</v>
      </c>
      <c r="D1076" s="2">
        <v>42356</v>
      </c>
      <c r="E1076" s="3">
        <v>804069</v>
      </c>
      <c r="F1076" t="s">
        <v>1526</v>
      </c>
      <c r="G1076" t="s">
        <v>195</v>
      </c>
      <c r="H1076" t="s">
        <v>45</v>
      </c>
      <c r="I1076" s="3">
        <v>10009</v>
      </c>
      <c r="J1076" s="3">
        <v>1009720001</v>
      </c>
      <c r="K1076" s="3">
        <v>1082849</v>
      </c>
      <c r="L1076" t="s">
        <v>165</v>
      </c>
      <c r="M1076" s="4">
        <v>4</v>
      </c>
      <c r="N1076" t="s">
        <v>966</v>
      </c>
      <c r="O1076" t="s">
        <v>1929</v>
      </c>
      <c r="P1076" s="4">
        <v>40.730108999999999</v>
      </c>
      <c r="Q1076" s="4">
        <v>-73.974594999999994</v>
      </c>
      <c r="R1076" s="4">
        <v>40.731724</v>
      </c>
      <c r="S1076" s="4">
        <v>-73.977896000000001</v>
      </c>
      <c r="T1076" s="2">
        <v>42356</v>
      </c>
      <c r="U1076" t="s">
        <v>49</v>
      </c>
      <c r="V1076" t="s">
        <v>50</v>
      </c>
      <c r="W1076" t="s">
        <v>51</v>
      </c>
      <c r="Z1076" s="4">
        <v>18</v>
      </c>
      <c r="AB1076" s="4">
        <v>169</v>
      </c>
      <c r="AE1076" s="4">
        <v>97</v>
      </c>
      <c r="AF1076" s="4">
        <v>79</v>
      </c>
      <c r="AG1076" s="4">
        <v>10</v>
      </c>
      <c r="AH1076" s="4">
        <v>1</v>
      </c>
      <c r="AL1076" s="4">
        <v>187</v>
      </c>
      <c r="AN1076" s="4">
        <v>187</v>
      </c>
      <c r="AO1076" s="4">
        <v>187</v>
      </c>
    </row>
    <row r="1077" spans="1:41" hidden="1" x14ac:dyDescent="0.2">
      <c r="A1077" t="s">
        <v>1926</v>
      </c>
      <c r="B1077" t="s">
        <v>1927</v>
      </c>
      <c r="C1077" s="2">
        <v>42356</v>
      </c>
      <c r="D1077" s="2">
        <v>42356</v>
      </c>
      <c r="E1077" s="3">
        <v>804070</v>
      </c>
      <c r="F1077" t="s">
        <v>356</v>
      </c>
      <c r="G1077" t="s">
        <v>195</v>
      </c>
      <c r="H1077" t="s">
        <v>45</v>
      </c>
      <c r="I1077" s="3">
        <v>10009</v>
      </c>
      <c r="J1077" s="3">
        <v>1009720001</v>
      </c>
      <c r="K1077" s="3">
        <v>1082850</v>
      </c>
      <c r="L1077" t="s">
        <v>165</v>
      </c>
      <c r="M1077" s="4">
        <v>4</v>
      </c>
      <c r="N1077" t="s">
        <v>966</v>
      </c>
      <c r="O1077" t="s">
        <v>1929</v>
      </c>
      <c r="P1077" s="4">
        <v>40.730775999999999</v>
      </c>
      <c r="Q1077" s="4">
        <v>-73.974132999999995</v>
      </c>
      <c r="R1077" s="4">
        <v>40.731724</v>
      </c>
      <c r="S1077" s="4">
        <v>-73.977896000000001</v>
      </c>
      <c r="T1077" s="2">
        <v>42356</v>
      </c>
      <c r="U1077" t="s">
        <v>49</v>
      </c>
      <c r="V1077" t="s">
        <v>50</v>
      </c>
      <c r="W1077" t="s">
        <v>51</v>
      </c>
      <c r="Z1077" s="4">
        <v>4</v>
      </c>
      <c r="AB1077" s="4">
        <v>39</v>
      </c>
      <c r="AE1077" s="4">
        <v>23</v>
      </c>
      <c r="AF1077" s="4">
        <v>18</v>
      </c>
      <c r="AG1077" s="4">
        <v>2</v>
      </c>
      <c r="AL1077" s="4">
        <v>43</v>
      </c>
      <c r="AN1077" s="4">
        <v>43</v>
      </c>
      <c r="AO1077" s="4">
        <v>43</v>
      </c>
    </row>
    <row r="1078" spans="1:41" hidden="1" x14ac:dyDescent="0.2">
      <c r="A1078" t="s">
        <v>1926</v>
      </c>
      <c r="B1078" t="s">
        <v>1927</v>
      </c>
      <c r="C1078" s="2">
        <v>42356</v>
      </c>
      <c r="D1078" s="2">
        <v>42356</v>
      </c>
      <c r="E1078" s="3">
        <v>804071</v>
      </c>
      <c r="F1078" t="s">
        <v>1122</v>
      </c>
      <c r="G1078" t="s">
        <v>195</v>
      </c>
      <c r="H1078" t="s">
        <v>45</v>
      </c>
      <c r="I1078" s="3">
        <v>10009</v>
      </c>
      <c r="J1078" s="3">
        <v>1009720001</v>
      </c>
      <c r="K1078" s="3">
        <v>1082851</v>
      </c>
      <c r="L1078" t="s">
        <v>165</v>
      </c>
      <c r="M1078" s="4">
        <v>4</v>
      </c>
      <c r="N1078" t="s">
        <v>966</v>
      </c>
      <c r="O1078" t="s">
        <v>1929</v>
      </c>
      <c r="P1078" s="4">
        <v>40.731490000000001</v>
      </c>
      <c r="Q1078" s="4">
        <v>-73.974136999999999</v>
      </c>
      <c r="R1078" s="4">
        <v>40.731724</v>
      </c>
      <c r="S1078" s="4">
        <v>-73.977896000000001</v>
      </c>
      <c r="T1078" s="2">
        <v>42356</v>
      </c>
      <c r="U1078" t="s">
        <v>49</v>
      </c>
      <c r="V1078" t="s">
        <v>50</v>
      </c>
      <c r="W1078" t="s">
        <v>51</v>
      </c>
      <c r="Z1078" s="4">
        <v>12</v>
      </c>
      <c r="AB1078" s="4">
        <v>116</v>
      </c>
      <c r="AE1078" s="4">
        <v>66</v>
      </c>
      <c r="AF1078" s="4">
        <v>54</v>
      </c>
      <c r="AG1078" s="4">
        <v>7</v>
      </c>
      <c r="AH1078" s="4">
        <v>1</v>
      </c>
      <c r="AL1078" s="4">
        <v>128</v>
      </c>
      <c r="AN1078" s="4">
        <v>128</v>
      </c>
      <c r="AO1078" s="4">
        <v>128</v>
      </c>
    </row>
    <row r="1079" spans="1:41" hidden="1" x14ac:dyDescent="0.2">
      <c r="A1079" t="s">
        <v>1926</v>
      </c>
      <c r="B1079" t="s">
        <v>1927</v>
      </c>
      <c r="C1079" s="2">
        <v>42356</v>
      </c>
      <c r="D1079" s="2">
        <v>42356</v>
      </c>
      <c r="E1079" s="3">
        <v>804360</v>
      </c>
      <c r="F1079" t="s">
        <v>1228</v>
      </c>
      <c r="G1079" t="s">
        <v>1905</v>
      </c>
      <c r="H1079" t="s">
        <v>45</v>
      </c>
      <c r="I1079" s="3">
        <v>10009</v>
      </c>
      <c r="J1079" s="3">
        <v>1009720001</v>
      </c>
      <c r="K1079" s="3">
        <v>1082879</v>
      </c>
      <c r="L1079" t="s">
        <v>165</v>
      </c>
      <c r="M1079" s="4">
        <v>4</v>
      </c>
      <c r="N1079" t="s">
        <v>966</v>
      </c>
      <c r="O1079" t="s">
        <v>1929</v>
      </c>
      <c r="P1079" s="4">
        <v>40.730922999999997</v>
      </c>
      <c r="Q1079" s="4">
        <v>-73.981460999999996</v>
      </c>
      <c r="R1079" s="4">
        <v>40.731724</v>
      </c>
      <c r="S1079" s="4">
        <v>-73.977896000000001</v>
      </c>
      <c r="T1079" s="2">
        <v>42356</v>
      </c>
      <c r="U1079" t="s">
        <v>49</v>
      </c>
      <c r="V1079" t="s">
        <v>50</v>
      </c>
      <c r="W1079" t="s">
        <v>51</v>
      </c>
      <c r="Z1079" s="4">
        <v>8</v>
      </c>
      <c r="AB1079" s="4">
        <v>78</v>
      </c>
      <c r="AE1079" s="4">
        <v>45</v>
      </c>
      <c r="AF1079" s="4">
        <v>37</v>
      </c>
      <c r="AG1079" s="4">
        <v>4</v>
      </c>
      <c r="AL1079" s="4">
        <v>86</v>
      </c>
      <c r="AN1079" s="4">
        <v>86</v>
      </c>
      <c r="AO1079" s="4">
        <v>86</v>
      </c>
    </row>
    <row r="1080" spans="1:41" hidden="1" x14ac:dyDescent="0.2">
      <c r="A1080" t="s">
        <v>1926</v>
      </c>
      <c r="B1080" t="s">
        <v>1927</v>
      </c>
      <c r="C1080" s="2">
        <v>42356</v>
      </c>
      <c r="D1080" s="2">
        <v>42356</v>
      </c>
      <c r="E1080" s="3">
        <v>804363</v>
      </c>
      <c r="F1080" t="s">
        <v>1687</v>
      </c>
      <c r="G1080" t="s">
        <v>1905</v>
      </c>
      <c r="H1080" t="s">
        <v>45</v>
      </c>
      <c r="I1080" s="3">
        <v>10009</v>
      </c>
      <c r="J1080" s="3">
        <v>1009720001</v>
      </c>
      <c r="K1080" s="3">
        <v>1082880</v>
      </c>
      <c r="L1080" t="s">
        <v>165</v>
      </c>
      <c r="M1080" s="4">
        <v>4</v>
      </c>
      <c r="N1080" t="s">
        <v>966</v>
      </c>
      <c r="O1080" t="s">
        <v>1929</v>
      </c>
      <c r="P1080" s="4">
        <v>40.730727999999999</v>
      </c>
      <c r="Q1080" s="4">
        <v>-73.980999999999995</v>
      </c>
      <c r="R1080" s="4">
        <v>40.731724</v>
      </c>
      <c r="S1080" s="4">
        <v>-73.977896000000001</v>
      </c>
      <c r="T1080" s="2">
        <v>42356</v>
      </c>
      <c r="U1080" t="s">
        <v>49</v>
      </c>
      <c r="V1080" t="s">
        <v>50</v>
      </c>
      <c r="W1080" t="s">
        <v>51</v>
      </c>
      <c r="Z1080" s="4">
        <v>22</v>
      </c>
      <c r="AB1080" s="4">
        <v>207</v>
      </c>
      <c r="AE1080" s="4">
        <v>119</v>
      </c>
      <c r="AF1080" s="4">
        <v>97</v>
      </c>
      <c r="AG1080" s="4">
        <v>12</v>
      </c>
      <c r="AH1080" s="4">
        <v>1</v>
      </c>
      <c r="AL1080" s="4">
        <v>229</v>
      </c>
      <c r="AN1080" s="4">
        <v>229</v>
      </c>
      <c r="AO1080" s="4">
        <v>229</v>
      </c>
    </row>
    <row r="1081" spans="1:41" hidden="1" x14ac:dyDescent="0.2">
      <c r="A1081" t="s">
        <v>1926</v>
      </c>
      <c r="B1081" t="s">
        <v>1927</v>
      </c>
      <c r="C1081" s="2">
        <v>42356</v>
      </c>
      <c r="D1081" s="2">
        <v>42356</v>
      </c>
      <c r="E1081" s="3">
        <v>804364</v>
      </c>
      <c r="F1081" t="s">
        <v>872</v>
      </c>
      <c r="G1081" t="s">
        <v>1905</v>
      </c>
      <c r="H1081" t="s">
        <v>45</v>
      </c>
      <c r="I1081" s="3">
        <v>10009</v>
      </c>
      <c r="J1081" s="3">
        <v>1009720001</v>
      </c>
      <c r="K1081" s="3">
        <v>1082883</v>
      </c>
      <c r="L1081" t="s">
        <v>165</v>
      </c>
      <c r="M1081" s="4">
        <v>4</v>
      </c>
      <c r="N1081" t="s">
        <v>966</v>
      </c>
      <c r="O1081" t="s">
        <v>1929</v>
      </c>
      <c r="P1081" s="4">
        <v>40.730297</v>
      </c>
      <c r="Q1081" s="4">
        <v>-73.979979</v>
      </c>
      <c r="R1081" s="4">
        <v>40.731724</v>
      </c>
      <c r="S1081" s="4">
        <v>-73.977896000000001</v>
      </c>
      <c r="T1081" s="2">
        <v>42356</v>
      </c>
      <c r="U1081" t="s">
        <v>49</v>
      </c>
      <c r="V1081" t="s">
        <v>50</v>
      </c>
      <c r="W1081" t="s">
        <v>51</v>
      </c>
      <c r="Z1081" s="4">
        <v>7</v>
      </c>
      <c r="AB1081" s="4">
        <v>72</v>
      </c>
      <c r="AE1081" s="4">
        <v>41</v>
      </c>
      <c r="AF1081" s="4">
        <v>34</v>
      </c>
      <c r="AG1081" s="4">
        <v>4</v>
      </c>
      <c r="AL1081" s="4">
        <v>79</v>
      </c>
      <c r="AN1081" s="4">
        <v>79</v>
      </c>
      <c r="AO1081" s="4">
        <v>79</v>
      </c>
    </row>
    <row r="1082" spans="1:41" hidden="1" x14ac:dyDescent="0.2">
      <c r="A1082" t="s">
        <v>1926</v>
      </c>
      <c r="B1082" t="s">
        <v>1927</v>
      </c>
      <c r="C1082" s="2">
        <v>42356</v>
      </c>
      <c r="D1082" s="2">
        <v>42356</v>
      </c>
      <c r="E1082" s="3">
        <v>804365</v>
      </c>
      <c r="F1082" t="s">
        <v>633</v>
      </c>
      <c r="G1082" t="s">
        <v>1905</v>
      </c>
      <c r="H1082" t="s">
        <v>45</v>
      </c>
      <c r="I1082" s="3">
        <v>10009</v>
      </c>
      <c r="J1082" s="3">
        <v>1009720001</v>
      </c>
      <c r="K1082" s="3">
        <v>1082885</v>
      </c>
      <c r="L1082" t="s">
        <v>165</v>
      </c>
      <c r="M1082" s="4">
        <v>4</v>
      </c>
      <c r="N1082" t="s">
        <v>966</v>
      </c>
      <c r="O1082" t="s">
        <v>1929</v>
      </c>
      <c r="P1082" s="4">
        <v>40.730001000000001</v>
      </c>
      <c r="Q1082" s="4">
        <v>-73.979297000000003</v>
      </c>
      <c r="R1082" s="4">
        <v>40.731724</v>
      </c>
      <c r="S1082" s="4">
        <v>-73.977896000000001</v>
      </c>
      <c r="T1082" s="2">
        <v>42356</v>
      </c>
      <c r="U1082" t="s">
        <v>49</v>
      </c>
      <c r="V1082" t="s">
        <v>50</v>
      </c>
      <c r="W1082" t="s">
        <v>51</v>
      </c>
      <c r="Z1082" s="4">
        <v>14</v>
      </c>
      <c r="AB1082" s="4">
        <v>126</v>
      </c>
      <c r="AE1082" s="4">
        <v>72</v>
      </c>
      <c r="AF1082" s="4">
        <v>60</v>
      </c>
      <c r="AG1082" s="4">
        <v>7</v>
      </c>
      <c r="AH1082" s="4">
        <v>1</v>
      </c>
      <c r="AL1082" s="4">
        <v>140</v>
      </c>
      <c r="AN1082" s="4">
        <v>140</v>
      </c>
      <c r="AO1082" s="4">
        <v>140</v>
      </c>
    </row>
    <row r="1083" spans="1:41" hidden="1" x14ac:dyDescent="0.2">
      <c r="A1083" t="s">
        <v>1926</v>
      </c>
      <c r="B1083" t="s">
        <v>1927</v>
      </c>
      <c r="C1083" s="2">
        <v>42356</v>
      </c>
      <c r="D1083" s="2">
        <v>42356</v>
      </c>
      <c r="E1083" s="3">
        <v>804366</v>
      </c>
      <c r="F1083" t="s">
        <v>1208</v>
      </c>
      <c r="G1083" t="s">
        <v>1905</v>
      </c>
      <c r="H1083" t="s">
        <v>45</v>
      </c>
      <c r="I1083" s="3">
        <v>10009</v>
      </c>
      <c r="J1083" s="3">
        <v>1009720001</v>
      </c>
      <c r="K1083" s="3">
        <v>1082884</v>
      </c>
      <c r="L1083" t="s">
        <v>165</v>
      </c>
      <c r="M1083" s="4">
        <v>4</v>
      </c>
      <c r="N1083" t="s">
        <v>966</v>
      </c>
      <c r="O1083" t="s">
        <v>1929</v>
      </c>
      <c r="P1083" s="4">
        <v>40.729799999999997</v>
      </c>
      <c r="Q1083" s="4">
        <v>-73.978838999999994</v>
      </c>
      <c r="R1083" s="4">
        <v>40.731724</v>
      </c>
      <c r="S1083" s="4">
        <v>-73.977896000000001</v>
      </c>
      <c r="T1083" s="2">
        <v>42356</v>
      </c>
      <c r="U1083" t="s">
        <v>49</v>
      </c>
      <c r="V1083" t="s">
        <v>50</v>
      </c>
      <c r="W1083" t="s">
        <v>51</v>
      </c>
      <c r="Z1083" s="4">
        <v>7</v>
      </c>
      <c r="AB1083" s="4">
        <v>73</v>
      </c>
      <c r="AD1083" s="4">
        <v>1</v>
      </c>
      <c r="AE1083" s="4">
        <v>41</v>
      </c>
      <c r="AF1083" s="4">
        <v>34</v>
      </c>
      <c r="AG1083" s="4">
        <v>4</v>
      </c>
      <c r="AL1083" s="4">
        <v>80</v>
      </c>
      <c r="AN1083" s="4">
        <v>80</v>
      </c>
      <c r="AO1083" s="4">
        <v>80</v>
      </c>
    </row>
    <row r="1084" spans="1:41" hidden="1" x14ac:dyDescent="0.2">
      <c r="A1084" t="s">
        <v>1926</v>
      </c>
      <c r="B1084" t="s">
        <v>1927</v>
      </c>
      <c r="C1084" s="2">
        <v>42356</v>
      </c>
      <c r="D1084" s="2">
        <v>42356</v>
      </c>
      <c r="E1084" s="3">
        <v>804367</v>
      </c>
      <c r="F1084" t="s">
        <v>989</v>
      </c>
      <c r="G1084" t="s">
        <v>1905</v>
      </c>
      <c r="H1084" t="s">
        <v>45</v>
      </c>
      <c r="I1084" s="3">
        <v>10009</v>
      </c>
      <c r="J1084" s="3">
        <v>1009720001</v>
      </c>
      <c r="K1084" s="3">
        <v>1082771</v>
      </c>
      <c r="L1084" t="s">
        <v>165</v>
      </c>
      <c r="M1084" s="4">
        <v>4</v>
      </c>
      <c r="N1084" t="s">
        <v>966</v>
      </c>
      <c r="O1084" t="s">
        <v>1929</v>
      </c>
      <c r="P1084" s="4">
        <v>40.729336000000004</v>
      </c>
      <c r="Q1084" s="4">
        <v>-73.977778000000001</v>
      </c>
      <c r="R1084" s="4">
        <v>40.731724</v>
      </c>
      <c r="S1084" s="4">
        <v>-73.977896000000001</v>
      </c>
      <c r="T1084" s="2">
        <v>42356</v>
      </c>
      <c r="U1084" t="s">
        <v>49</v>
      </c>
      <c r="V1084" t="s">
        <v>50</v>
      </c>
      <c r="W1084" t="s">
        <v>51</v>
      </c>
      <c r="Z1084" s="4">
        <v>12</v>
      </c>
      <c r="AB1084" s="4">
        <v>109</v>
      </c>
      <c r="AE1084" s="4">
        <v>63</v>
      </c>
      <c r="AF1084" s="4">
        <v>51</v>
      </c>
      <c r="AG1084" s="4">
        <v>6</v>
      </c>
      <c r="AH1084" s="4">
        <v>1</v>
      </c>
      <c r="AL1084" s="4">
        <v>121</v>
      </c>
      <c r="AN1084" s="4">
        <v>121</v>
      </c>
      <c r="AO1084" s="4">
        <v>121</v>
      </c>
    </row>
    <row r="1085" spans="1:41" hidden="1" x14ac:dyDescent="0.2">
      <c r="A1085" t="s">
        <v>1926</v>
      </c>
      <c r="B1085" t="s">
        <v>1927</v>
      </c>
      <c r="C1085" s="2">
        <v>42356</v>
      </c>
      <c r="D1085" s="2">
        <v>42356</v>
      </c>
      <c r="E1085" s="3">
        <v>804372</v>
      </c>
      <c r="F1085" t="s">
        <v>1931</v>
      </c>
      <c r="G1085" t="s">
        <v>1905</v>
      </c>
      <c r="H1085" t="s">
        <v>45</v>
      </c>
      <c r="I1085" s="3">
        <v>10009</v>
      </c>
      <c r="J1085" s="3">
        <v>1009720001</v>
      </c>
      <c r="K1085" s="3">
        <v>1082726</v>
      </c>
      <c r="L1085" t="s">
        <v>165</v>
      </c>
      <c r="M1085" s="4">
        <v>4</v>
      </c>
      <c r="N1085" t="s">
        <v>966</v>
      </c>
      <c r="O1085" t="s">
        <v>1929</v>
      </c>
      <c r="P1085" s="4">
        <v>40.728712999999999</v>
      </c>
      <c r="Q1085" s="4">
        <v>-73.976294999999993</v>
      </c>
      <c r="R1085" s="4">
        <v>40.731724</v>
      </c>
      <c r="S1085" s="4">
        <v>-73.977896000000001</v>
      </c>
      <c r="T1085" s="2">
        <v>42356</v>
      </c>
      <c r="U1085" t="s">
        <v>49</v>
      </c>
      <c r="V1085" t="s">
        <v>50</v>
      </c>
      <c r="W1085" t="s">
        <v>51</v>
      </c>
      <c r="Z1085" s="4">
        <v>12</v>
      </c>
      <c r="AB1085" s="4">
        <v>116</v>
      </c>
      <c r="AE1085" s="4">
        <v>66</v>
      </c>
      <c r="AF1085" s="4">
        <v>54</v>
      </c>
      <c r="AG1085" s="4">
        <v>7</v>
      </c>
      <c r="AH1085" s="4">
        <v>1</v>
      </c>
      <c r="AL1085" s="4">
        <v>128</v>
      </c>
      <c r="AN1085" s="4">
        <v>128</v>
      </c>
      <c r="AO1085" s="4">
        <v>128</v>
      </c>
    </row>
    <row r="1086" spans="1:41" hidden="1" x14ac:dyDescent="0.2">
      <c r="A1086" t="s">
        <v>1926</v>
      </c>
      <c r="B1086" t="s">
        <v>1927</v>
      </c>
      <c r="C1086" s="2">
        <v>42356</v>
      </c>
      <c r="D1086" s="2">
        <v>42356</v>
      </c>
      <c r="E1086" s="3">
        <v>804374</v>
      </c>
      <c r="F1086" t="s">
        <v>1932</v>
      </c>
      <c r="G1086" t="s">
        <v>1905</v>
      </c>
      <c r="H1086" t="s">
        <v>45</v>
      </c>
      <c r="I1086" s="3">
        <v>10009</v>
      </c>
      <c r="J1086" s="3">
        <v>1009720001</v>
      </c>
      <c r="K1086" s="3">
        <v>1082766</v>
      </c>
      <c r="L1086" t="s">
        <v>165</v>
      </c>
      <c r="M1086" s="4">
        <v>4</v>
      </c>
      <c r="N1086" t="s">
        <v>966</v>
      </c>
      <c r="O1086" t="s">
        <v>1929</v>
      </c>
      <c r="P1086" s="4">
        <v>40.7286</v>
      </c>
      <c r="Q1086" s="4">
        <v>-73.976003000000006</v>
      </c>
      <c r="R1086" s="4">
        <v>40.731724</v>
      </c>
      <c r="S1086" s="4">
        <v>-73.977896000000001</v>
      </c>
      <c r="T1086" s="2">
        <v>42356</v>
      </c>
      <c r="U1086" t="s">
        <v>49</v>
      </c>
      <c r="V1086" t="s">
        <v>50</v>
      </c>
      <c r="W1086" t="s">
        <v>51</v>
      </c>
      <c r="Z1086" s="4">
        <v>21</v>
      </c>
      <c r="AB1086" s="4">
        <v>191</v>
      </c>
      <c r="AE1086" s="4">
        <v>110</v>
      </c>
      <c r="AF1086" s="4">
        <v>90</v>
      </c>
      <c r="AG1086" s="4">
        <v>11</v>
      </c>
      <c r="AH1086" s="4">
        <v>1</v>
      </c>
      <c r="AL1086" s="4">
        <v>212</v>
      </c>
      <c r="AN1086" s="4">
        <v>212</v>
      </c>
      <c r="AO1086" s="4">
        <v>212</v>
      </c>
    </row>
    <row r="1087" spans="1:41" hidden="1" x14ac:dyDescent="0.2">
      <c r="A1087" t="s">
        <v>1926</v>
      </c>
      <c r="B1087" t="s">
        <v>1927</v>
      </c>
      <c r="C1087" s="2">
        <v>42356</v>
      </c>
      <c r="D1087" s="2">
        <v>42356</v>
      </c>
      <c r="E1087" s="3">
        <v>804381</v>
      </c>
      <c r="F1087" t="s">
        <v>1933</v>
      </c>
      <c r="G1087" t="s">
        <v>1934</v>
      </c>
      <c r="H1087" t="s">
        <v>45</v>
      </c>
      <c r="I1087" s="3">
        <v>10009</v>
      </c>
      <c r="J1087" s="3">
        <v>1009720001</v>
      </c>
      <c r="K1087" s="3">
        <v>1082866</v>
      </c>
      <c r="L1087" t="s">
        <v>165</v>
      </c>
      <c r="M1087" s="4">
        <v>4</v>
      </c>
      <c r="N1087" t="s">
        <v>966</v>
      </c>
      <c r="O1087" t="s">
        <v>1929</v>
      </c>
      <c r="P1087" s="4">
        <v>40.734282</v>
      </c>
      <c r="Q1087" s="4">
        <v>-73.978483999999995</v>
      </c>
      <c r="R1087" s="4">
        <v>40.731724</v>
      </c>
      <c r="S1087" s="4">
        <v>-73.977896000000001</v>
      </c>
      <c r="T1087" s="2">
        <v>42356</v>
      </c>
      <c r="U1087" t="s">
        <v>49</v>
      </c>
      <c r="V1087" t="s">
        <v>50</v>
      </c>
      <c r="W1087" t="s">
        <v>51</v>
      </c>
      <c r="Z1087" s="4">
        <v>7</v>
      </c>
      <c r="AB1087" s="4">
        <v>72</v>
      </c>
      <c r="AE1087" s="4">
        <v>41</v>
      </c>
      <c r="AF1087" s="4">
        <v>34</v>
      </c>
      <c r="AG1087" s="4">
        <v>4</v>
      </c>
      <c r="AL1087" s="4">
        <v>79</v>
      </c>
      <c r="AN1087" s="4">
        <v>79</v>
      </c>
      <c r="AO1087" s="4">
        <v>79</v>
      </c>
    </row>
    <row r="1088" spans="1:41" hidden="1" x14ac:dyDescent="0.2">
      <c r="A1088" t="s">
        <v>1926</v>
      </c>
      <c r="B1088" t="s">
        <v>1927</v>
      </c>
      <c r="C1088" s="2">
        <v>42356</v>
      </c>
      <c r="D1088" s="2">
        <v>42356</v>
      </c>
      <c r="E1088" s="3">
        <v>804382</v>
      </c>
      <c r="F1088" t="s">
        <v>1935</v>
      </c>
      <c r="G1088" t="s">
        <v>1934</v>
      </c>
      <c r="H1088" t="s">
        <v>45</v>
      </c>
      <c r="I1088" s="3">
        <v>10010</v>
      </c>
      <c r="J1088" s="3">
        <v>1009780001</v>
      </c>
      <c r="K1088" s="3">
        <v>1083684</v>
      </c>
      <c r="L1088" t="s">
        <v>165</v>
      </c>
      <c r="M1088" s="4">
        <v>4</v>
      </c>
      <c r="N1088" t="s">
        <v>1177</v>
      </c>
      <c r="O1088" t="s">
        <v>1929</v>
      </c>
      <c r="P1088" s="4">
        <v>40.734428000000001</v>
      </c>
      <c r="Q1088" s="4">
        <v>-73.978740000000002</v>
      </c>
      <c r="R1088" s="4">
        <v>40.734875000000002</v>
      </c>
      <c r="S1088" s="4">
        <v>-73.976982000000007</v>
      </c>
      <c r="T1088" s="2">
        <v>42356</v>
      </c>
      <c r="U1088" t="s">
        <v>49</v>
      </c>
      <c r="V1088" t="s">
        <v>50</v>
      </c>
      <c r="W1088" t="s">
        <v>51</v>
      </c>
      <c r="Z1088" s="4">
        <v>6</v>
      </c>
      <c r="AB1088" s="4">
        <v>47</v>
      </c>
      <c r="AE1088" s="4">
        <v>26</v>
      </c>
      <c r="AF1088" s="4">
        <v>27</v>
      </c>
      <c r="AL1088" s="4">
        <v>53</v>
      </c>
      <c r="AN1088" s="4">
        <v>53</v>
      </c>
      <c r="AO1088" s="4">
        <v>53</v>
      </c>
    </row>
    <row r="1089" spans="1:41" hidden="1" x14ac:dyDescent="0.2">
      <c r="A1089" t="s">
        <v>1926</v>
      </c>
      <c r="B1089" t="s">
        <v>1927</v>
      </c>
      <c r="C1089" s="2">
        <v>42356</v>
      </c>
      <c r="D1089" s="2">
        <v>42356</v>
      </c>
      <c r="E1089" s="3">
        <v>804383</v>
      </c>
      <c r="F1089" t="s">
        <v>1669</v>
      </c>
      <c r="G1089" t="s">
        <v>1934</v>
      </c>
      <c r="H1089" t="s">
        <v>45</v>
      </c>
      <c r="I1089" s="3">
        <v>10010</v>
      </c>
      <c r="J1089" s="3">
        <v>1009780001</v>
      </c>
      <c r="K1089" s="3">
        <v>1083688</v>
      </c>
      <c r="L1089" t="s">
        <v>165</v>
      </c>
      <c r="M1089" s="4">
        <v>4</v>
      </c>
      <c r="N1089" t="s">
        <v>1177</v>
      </c>
      <c r="O1089" t="s">
        <v>1929</v>
      </c>
      <c r="P1089" s="4">
        <v>40.734214000000001</v>
      </c>
      <c r="Q1089" s="4">
        <v>-73.978285</v>
      </c>
      <c r="R1089" s="4">
        <v>40.734875000000002</v>
      </c>
      <c r="S1089" s="4">
        <v>-73.976982000000007</v>
      </c>
      <c r="T1089" s="2">
        <v>42356</v>
      </c>
      <c r="U1089" t="s">
        <v>49</v>
      </c>
      <c r="V1089" t="s">
        <v>50</v>
      </c>
      <c r="W1089" t="s">
        <v>51</v>
      </c>
      <c r="Z1089" s="4">
        <v>6</v>
      </c>
      <c r="AB1089" s="4">
        <v>47</v>
      </c>
      <c r="AE1089" s="4">
        <v>26</v>
      </c>
      <c r="AF1089" s="4">
        <v>27</v>
      </c>
      <c r="AL1089" s="4">
        <v>53</v>
      </c>
      <c r="AN1089" s="4">
        <v>53</v>
      </c>
      <c r="AO1089" s="4">
        <v>53</v>
      </c>
    </row>
    <row r="1090" spans="1:41" hidden="1" x14ac:dyDescent="0.2">
      <c r="A1090" t="s">
        <v>1926</v>
      </c>
      <c r="B1090" t="s">
        <v>1927</v>
      </c>
      <c r="C1090" s="2">
        <v>42356</v>
      </c>
      <c r="D1090" s="2">
        <v>42356</v>
      </c>
      <c r="E1090" s="3">
        <v>804384</v>
      </c>
      <c r="F1090" t="s">
        <v>1936</v>
      </c>
      <c r="G1090" t="s">
        <v>1934</v>
      </c>
      <c r="H1090" t="s">
        <v>45</v>
      </c>
      <c r="I1090" s="3">
        <v>10009</v>
      </c>
      <c r="J1090" s="3">
        <v>1009720001</v>
      </c>
      <c r="K1090" s="3">
        <v>1082867</v>
      </c>
      <c r="L1090" t="s">
        <v>165</v>
      </c>
      <c r="M1090" s="4">
        <v>4</v>
      </c>
      <c r="N1090" t="s">
        <v>966</v>
      </c>
      <c r="O1090" t="s">
        <v>1929</v>
      </c>
      <c r="P1090" s="4">
        <v>40.734183000000002</v>
      </c>
      <c r="Q1090" s="4">
        <v>-73.978252999999995</v>
      </c>
      <c r="R1090" s="4">
        <v>40.731724</v>
      </c>
      <c r="S1090" s="4">
        <v>-73.977896000000001</v>
      </c>
      <c r="T1090" s="2">
        <v>42356</v>
      </c>
      <c r="U1090" t="s">
        <v>49</v>
      </c>
      <c r="V1090" t="s">
        <v>50</v>
      </c>
      <c r="W1090" t="s">
        <v>51</v>
      </c>
      <c r="Z1090" s="4">
        <v>21</v>
      </c>
      <c r="AB1090" s="4">
        <v>191</v>
      </c>
      <c r="AE1090" s="4">
        <v>110</v>
      </c>
      <c r="AF1090" s="4">
        <v>90</v>
      </c>
      <c r="AG1090" s="4">
        <v>11</v>
      </c>
      <c r="AH1090" s="4">
        <v>1</v>
      </c>
      <c r="AL1090" s="4">
        <v>212</v>
      </c>
      <c r="AN1090" s="4">
        <v>212</v>
      </c>
      <c r="AO1090" s="4">
        <v>212</v>
      </c>
    </row>
    <row r="1091" spans="1:41" hidden="1" x14ac:dyDescent="0.2">
      <c r="A1091" t="s">
        <v>1926</v>
      </c>
      <c r="B1091" t="s">
        <v>1927</v>
      </c>
      <c r="C1091" s="2">
        <v>42356</v>
      </c>
      <c r="D1091" s="2">
        <v>42356</v>
      </c>
      <c r="E1091" s="3">
        <v>804385</v>
      </c>
      <c r="F1091" t="s">
        <v>984</v>
      </c>
      <c r="G1091" t="s">
        <v>1934</v>
      </c>
      <c r="H1091" t="s">
        <v>45</v>
      </c>
      <c r="I1091" s="3">
        <v>10009</v>
      </c>
      <c r="J1091" s="3">
        <v>1009720001</v>
      </c>
      <c r="K1091" s="3">
        <v>1082859</v>
      </c>
      <c r="L1091" t="s">
        <v>165</v>
      </c>
      <c r="M1091" s="4">
        <v>4</v>
      </c>
      <c r="N1091" t="s">
        <v>966</v>
      </c>
      <c r="O1091" t="s">
        <v>1929</v>
      </c>
      <c r="P1091" s="4">
        <v>40.733823999999998</v>
      </c>
      <c r="Q1091" s="4">
        <v>-73.977383000000003</v>
      </c>
      <c r="R1091" s="4">
        <v>40.731724</v>
      </c>
      <c r="S1091" s="4">
        <v>-73.977896000000001</v>
      </c>
      <c r="T1091" s="2">
        <v>42356</v>
      </c>
      <c r="U1091" t="s">
        <v>49</v>
      </c>
      <c r="V1091" t="s">
        <v>50</v>
      </c>
      <c r="W1091" t="s">
        <v>51</v>
      </c>
      <c r="Z1091" s="4">
        <v>7</v>
      </c>
      <c r="AB1091" s="4">
        <v>73</v>
      </c>
      <c r="AD1091" s="4">
        <v>1</v>
      </c>
      <c r="AE1091" s="4">
        <v>41</v>
      </c>
      <c r="AF1091" s="4">
        <v>34</v>
      </c>
      <c r="AG1091" s="4">
        <v>4</v>
      </c>
      <c r="AL1091" s="4">
        <v>80</v>
      </c>
      <c r="AN1091" s="4">
        <v>80</v>
      </c>
      <c r="AO1091" s="4">
        <v>80</v>
      </c>
    </row>
    <row r="1092" spans="1:41" hidden="1" x14ac:dyDescent="0.2">
      <c r="A1092" t="s">
        <v>1926</v>
      </c>
      <c r="B1092" t="s">
        <v>1927</v>
      </c>
      <c r="C1092" s="2">
        <v>42356</v>
      </c>
      <c r="D1092" s="2">
        <v>42356</v>
      </c>
      <c r="E1092" s="3">
        <v>804386</v>
      </c>
      <c r="F1092" t="s">
        <v>1937</v>
      </c>
      <c r="G1092" t="s">
        <v>1934</v>
      </c>
      <c r="H1092" t="s">
        <v>45</v>
      </c>
      <c r="I1092" s="3">
        <v>10010</v>
      </c>
      <c r="J1092" s="3">
        <v>1009780001</v>
      </c>
      <c r="K1092" s="3">
        <v>1083689</v>
      </c>
      <c r="L1092" t="s">
        <v>165</v>
      </c>
      <c r="M1092" s="4">
        <v>4</v>
      </c>
      <c r="N1092" t="s">
        <v>1177</v>
      </c>
      <c r="O1092" t="s">
        <v>1929</v>
      </c>
      <c r="P1092" s="4">
        <v>40.733823999999998</v>
      </c>
      <c r="Q1092" s="4">
        <v>-73.977339999999998</v>
      </c>
      <c r="R1092" s="4">
        <v>40.734875000000002</v>
      </c>
      <c r="S1092" s="4">
        <v>-73.976982000000007</v>
      </c>
      <c r="T1092" s="2">
        <v>42356</v>
      </c>
      <c r="U1092" t="s">
        <v>49</v>
      </c>
      <c r="V1092" t="s">
        <v>50</v>
      </c>
      <c r="W1092" t="s">
        <v>51</v>
      </c>
      <c r="Z1092" s="4">
        <v>6</v>
      </c>
      <c r="AB1092" s="4">
        <v>47</v>
      </c>
      <c r="AE1092" s="4">
        <v>26</v>
      </c>
      <c r="AF1092" s="4">
        <v>27</v>
      </c>
      <c r="AL1092" s="4">
        <v>53</v>
      </c>
      <c r="AN1092" s="4">
        <v>53</v>
      </c>
      <c r="AO1092" s="4">
        <v>53</v>
      </c>
    </row>
    <row r="1093" spans="1:41" hidden="1" x14ac:dyDescent="0.2">
      <c r="A1093" t="s">
        <v>1926</v>
      </c>
      <c r="B1093" t="s">
        <v>1927</v>
      </c>
      <c r="C1093" s="2">
        <v>42356</v>
      </c>
      <c r="D1093" s="2">
        <v>42356</v>
      </c>
      <c r="E1093" s="3">
        <v>804387</v>
      </c>
      <c r="F1093" t="s">
        <v>1938</v>
      </c>
      <c r="G1093" t="s">
        <v>1934</v>
      </c>
      <c r="H1093" t="s">
        <v>45</v>
      </c>
      <c r="I1093" s="3">
        <v>10009</v>
      </c>
      <c r="J1093" s="3">
        <v>1009720001</v>
      </c>
      <c r="K1093" s="3">
        <v>1082860</v>
      </c>
      <c r="L1093" t="s">
        <v>165</v>
      </c>
      <c r="M1093" s="4">
        <v>4</v>
      </c>
      <c r="N1093" t="s">
        <v>966</v>
      </c>
      <c r="O1093" t="s">
        <v>1929</v>
      </c>
      <c r="P1093" s="4">
        <v>40.733559999999997</v>
      </c>
      <c r="Q1093" s="4">
        <v>-73.976759000000001</v>
      </c>
      <c r="R1093" s="4">
        <v>40.731724</v>
      </c>
      <c r="S1093" s="4">
        <v>-73.977896000000001</v>
      </c>
      <c r="T1093" s="2">
        <v>42356</v>
      </c>
      <c r="U1093" t="s">
        <v>49</v>
      </c>
      <c r="V1093" t="s">
        <v>50</v>
      </c>
      <c r="W1093" t="s">
        <v>51</v>
      </c>
      <c r="Z1093" s="4">
        <v>14</v>
      </c>
      <c r="AB1093" s="4">
        <v>126</v>
      </c>
      <c r="AE1093" s="4">
        <v>72</v>
      </c>
      <c r="AF1093" s="4">
        <v>60</v>
      </c>
      <c r="AG1093" s="4">
        <v>7</v>
      </c>
      <c r="AH1093" s="4">
        <v>1</v>
      </c>
      <c r="AL1093" s="4">
        <v>140</v>
      </c>
      <c r="AN1093" s="4">
        <v>140</v>
      </c>
      <c r="AO1093" s="4">
        <v>140</v>
      </c>
    </row>
    <row r="1094" spans="1:41" hidden="1" x14ac:dyDescent="0.2">
      <c r="A1094" t="s">
        <v>1926</v>
      </c>
      <c r="B1094" t="s">
        <v>1927</v>
      </c>
      <c r="C1094" s="2">
        <v>42356</v>
      </c>
      <c r="D1094" s="2">
        <v>42356</v>
      </c>
      <c r="E1094" s="3">
        <v>804388</v>
      </c>
      <c r="F1094" t="s">
        <v>531</v>
      </c>
      <c r="G1094" t="s">
        <v>1934</v>
      </c>
      <c r="H1094" t="s">
        <v>45</v>
      </c>
      <c r="I1094" s="3">
        <v>10009</v>
      </c>
      <c r="J1094" s="3">
        <v>1009720001</v>
      </c>
      <c r="K1094" s="3">
        <v>1082862</v>
      </c>
      <c r="L1094" t="s">
        <v>165</v>
      </c>
      <c r="M1094" s="4">
        <v>4</v>
      </c>
      <c r="N1094" t="s">
        <v>966</v>
      </c>
      <c r="O1094" t="s">
        <v>1929</v>
      </c>
      <c r="P1094" s="4">
        <v>40.733252</v>
      </c>
      <c r="Q1094" s="4">
        <v>-73.976029999999994</v>
      </c>
      <c r="R1094" s="4">
        <v>40.731724</v>
      </c>
      <c r="S1094" s="4">
        <v>-73.977896000000001</v>
      </c>
      <c r="T1094" s="2">
        <v>42356</v>
      </c>
      <c r="U1094" t="s">
        <v>49</v>
      </c>
      <c r="V1094" t="s">
        <v>50</v>
      </c>
      <c r="W1094" t="s">
        <v>51</v>
      </c>
      <c r="Z1094" s="4">
        <v>7</v>
      </c>
      <c r="AB1094" s="4">
        <v>73</v>
      </c>
      <c r="AD1094" s="4">
        <v>1</v>
      </c>
      <c r="AE1094" s="4">
        <v>41</v>
      </c>
      <c r="AF1094" s="4">
        <v>34</v>
      </c>
      <c r="AG1094" s="4">
        <v>4</v>
      </c>
      <c r="AL1094" s="4">
        <v>80</v>
      </c>
      <c r="AN1094" s="4">
        <v>80</v>
      </c>
      <c r="AO1094" s="4">
        <v>80</v>
      </c>
    </row>
    <row r="1095" spans="1:41" hidden="1" x14ac:dyDescent="0.2">
      <c r="A1095" t="s">
        <v>1926</v>
      </c>
      <c r="B1095" t="s">
        <v>1927</v>
      </c>
      <c r="C1095" s="2">
        <v>42356</v>
      </c>
      <c r="D1095" s="2">
        <v>42356</v>
      </c>
      <c r="E1095" s="3">
        <v>804389</v>
      </c>
      <c r="F1095" t="s">
        <v>628</v>
      </c>
      <c r="G1095" t="s">
        <v>1934</v>
      </c>
      <c r="H1095" t="s">
        <v>45</v>
      </c>
      <c r="I1095" s="3">
        <v>10010</v>
      </c>
      <c r="J1095" s="3">
        <v>1009780001</v>
      </c>
      <c r="K1095" s="3">
        <v>1083696</v>
      </c>
      <c r="L1095" t="s">
        <v>165</v>
      </c>
      <c r="M1095" s="4">
        <v>4</v>
      </c>
      <c r="N1095" t="s">
        <v>1177</v>
      </c>
      <c r="O1095" t="s">
        <v>1929</v>
      </c>
      <c r="P1095" s="4">
        <v>40.733438999999997</v>
      </c>
      <c r="Q1095" s="4">
        <v>-73.976427000000001</v>
      </c>
      <c r="R1095" s="4">
        <v>40.734875000000002</v>
      </c>
      <c r="S1095" s="4">
        <v>-73.976982000000007</v>
      </c>
      <c r="T1095" s="2">
        <v>42356</v>
      </c>
      <c r="U1095" t="s">
        <v>49</v>
      </c>
      <c r="V1095" t="s">
        <v>50</v>
      </c>
      <c r="W1095" t="s">
        <v>51</v>
      </c>
      <c r="Z1095" s="4">
        <v>6</v>
      </c>
      <c r="AB1095" s="4">
        <v>47</v>
      </c>
      <c r="AE1095" s="4">
        <v>26</v>
      </c>
      <c r="AF1095" s="4">
        <v>27</v>
      </c>
      <c r="AL1095" s="4">
        <v>53</v>
      </c>
      <c r="AN1095" s="4">
        <v>53</v>
      </c>
      <c r="AO1095" s="4">
        <v>53</v>
      </c>
    </row>
    <row r="1096" spans="1:41" hidden="1" x14ac:dyDescent="0.2">
      <c r="A1096" t="s">
        <v>1926</v>
      </c>
      <c r="B1096" t="s">
        <v>1927</v>
      </c>
      <c r="C1096" s="2">
        <v>42356</v>
      </c>
      <c r="D1096" s="2">
        <v>42356</v>
      </c>
      <c r="E1096" s="3">
        <v>804390</v>
      </c>
      <c r="F1096" t="s">
        <v>1939</v>
      </c>
      <c r="G1096" t="s">
        <v>1934</v>
      </c>
      <c r="H1096" t="s">
        <v>45</v>
      </c>
      <c r="I1096" s="3">
        <v>10010</v>
      </c>
      <c r="J1096" s="3">
        <v>1009780001</v>
      </c>
      <c r="K1096" s="3">
        <v>1083701</v>
      </c>
      <c r="L1096" t="s">
        <v>165</v>
      </c>
      <c r="M1096" s="4">
        <v>4</v>
      </c>
      <c r="N1096" t="s">
        <v>1177</v>
      </c>
      <c r="O1096" t="s">
        <v>1929</v>
      </c>
      <c r="P1096" s="4">
        <v>40.733252</v>
      </c>
      <c r="Q1096" s="4">
        <v>-73.975987000000003</v>
      </c>
      <c r="R1096" s="4">
        <v>40.734875000000002</v>
      </c>
      <c r="S1096" s="4">
        <v>-73.976982000000007</v>
      </c>
      <c r="T1096" s="2">
        <v>42356</v>
      </c>
      <c r="U1096" t="s">
        <v>49</v>
      </c>
      <c r="V1096" t="s">
        <v>50</v>
      </c>
      <c r="W1096" t="s">
        <v>51</v>
      </c>
      <c r="Z1096" s="4">
        <v>6</v>
      </c>
      <c r="AB1096" s="4">
        <v>47</v>
      </c>
      <c r="AE1096" s="4">
        <v>26</v>
      </c>
      <c r="AF1096" s="4">
        <v>27</v>
      </c>
      <c r="AL1096" s="4">
        <v>53</v>
      </c>
      <c r="AN1096" s="4">
        <v>53</v>
      </c>
      <c r="AO1096" s="4">
        <v>53</v>
      </c>
    </row>
    <row r="1097" spans="1:41" hidden="1" x14ac:dyDescent="0.2">
      <c r="A1097" t="s">
        <v>1926</v>
      </c>
      <c r="B1097" t="s">
        <v>1927</v>
      </c>
      <c r="C1097" s="2">
        <v>42356</v>
      </c>
      <c r="D1097" s="2">
        <v>42356</v>
      </c>
      <c r="E1097" s="3">
        <v>804391</v>
      </c>
      <c r="F1097" t="s">
        <v>1940</v>
      </c>
      <c r="G1097" t="s">
        <v>1934</v>
      </c>
      <c r="H1097" t="s">
        <v>45</v>
      </c>
      <c r="I1097" s="3">
        <v>10010</v>
      </c>
      <c r="J1097" s="3">
        <v>1009780001</v>
      </c>
      <c r="K1097" s="3">
        <v>1083700</v>
      </c>
      <c r="L1097" t="s">
        <v>165</v>
      </c>
      <c r="M1097" s="4">
        <v>4</v>
      </c>
      <c r="N1097" t="s">
        <v>1177</v>
      </c>
      <c r="O1097" t="s">
        <v>1929</v>
      </c>
      <c r="P1097" s="4">
        <v>40.732967000000002</v>
      </c>
      <c r="Q1097" s="4">
        <v>-73.975297999999995</v>
      </c>
      <c r="R1097" s="4">
        <v>40.734875000000002</v>
      </c>
      <c r="S1097" s="4">
        <v>-73.976982000000007</v>
      </c>
      <c r="T1097" s="2">
        <v>42356</v>
      </c>
      <c r="U1097" t="s">
        <v>49</v>
      </c>
      <c r="V1097" t="s">
        <v>50</v>
      </c>
      <c r="W1097" t="s">
        <v>51</v>
      </c>
      <c r="Z1097" s="4">
        <v>6</v>
      </c>
      <c r="AB1097" s="4">
        <v>47</v>
      </c>
      <c r="AE1097" s="4">
        <v>26</v>
      </c>
      <c r="AF1097" s="4">
        <v>27</v>
      </c>
      <c r="AL1097" s="4">
        <v>53</v>
      </c>
      <c r="AN1097" s="4">
        <v>53</v>
      </c>
      <c r="AO1097" s="4">
        <v>53</v>
      </c>
    </row>
    <row r="1098" spans="1:41" hidden="1" x14ac:dyDescent="0.2">
      <c r="A1098" t="s">
        <v>1926</v>
      </c>
      <c r="B1098" t="s">
        <v>1927</v>
      </c>
      <c r="C1098" s="2">
        <v>42356</v>
      </c>
      <c r="D1098" s="2">
        <v>42356</v>
      </c>
      <c r="E1098" s="3">
        <v>804392</v>
      </c>
      <c r="F1098" t="s">
        <v>1379</v>
      </c>
      <c r="G1098" t="s">
        <v>1934</v>
      </c>
      <c r="H1098" t="s">
        <v>45</v>
      </c>
      <c r="I1098" s="3">
        <v>10009</v>
      </c>
      <c r="J1098" s="3">
        <v>1009720001</v>
      </c>
      <c r="K1098" s="3">
        <v>1082852</v>
      </c>
      <c r="L1098" t="s">
        <v>165</v>
      </c>
      <c r="M1098" s="4">
        <v>4</v>
      </c>
      <c r="N1098" t="s">
        <v>966</v>
      </c>
      <c r="O1098" t="s">
        <v>1929</v>
      </c>
      <c r="P1098" s="4">
        <v>40.732928000000001</v>
      </c>
      <c r="Q1098" s="4">
        <v>-73.975255000000004</v>
      </c>
      <c r="R1098" s="4">
        <v>40.731724</v>
      </c>
      <c r="S1098" s="4">
        <v>-73.977896000000001</v>
      </c>
      <c r="T1098" s="2">
        <v>42356</v>
      </c>
      <c r="U1098" t="s">
        <v>49</v>
      </c>
      <c r="V1098" t="s">
        <v>50</v>
      </c>
      <c r="W1098" t="s">
        <v>51</v>
      </c>
      <c r="Z1098" s="4">
        <v>7</v>
      </c>
      <c r="AB1098" s="4">
        <v>72</v>
      </c>
      <c r="AE1098" s="4">
        <v>41</v>
      </c>
      <c r="AF1098" s="4">
        <v>34</v>
      </c>
      <c r="AG1098" s="4">
        <v>4</v>
      </c>
      <c r="AL1098" s="4">
        <v>79</v>
      </c>
      <c r="AN1098" s="4">
        <v>79</v>
      </c>
      <c r="AO1098" s="4">
        <v>79</v>
      </c>
    </row>
    <row r="1099" spans="1:41" hidden="1" x14ac:dyDescent="0.2">
      <c r="A1099" t="s">
        <v>1926</v>
      </c>
      <c r="B1099" t="s">
        <v>1927</v>
      </c>
      <c r="C1099" s="2">
        <v>42356</v>
      </c>
      <c r="D1099" s="2">
        <v>42356</v>
      </c>
      <c r="E1099" s="3">
        <v>804393</v>
      </c>
      <c r="F1099" t="s">
        <v>200</v>
      </c>
      <c r="G1099" t="s">
        <v>1934</v>
      </c>
      <c r="H1099" t="s">
        <v>45</v>
      </c>
      <c r="I1099" s="3">
        <v>10009</v>
      </c>
      <c r="J1099" s="3">
        <v>1009720001</v>
      </c>
      <c r="K1099" s="3">
        <v>1082853</v>
      </c>
      <c r="L1099" t="s">
        <v>165</v>
      </c>
      <c r="M1099" s="4">
        <v>4</v>
      </c>
      <c r="N1099" t="s">
        <v>966</v>
      </c>
      <c r="O1099" t="s">
        <v>1929</v>
      </c>
      <c r="P1099" s="4">
        <v>40.732900999999998</v>
      </c>
      <c r="Q1099" s="4">
        <v>-73.975185999999994</v>
      </c>
      <c r="R1099" s="4">
        <v>40.731724</v>
      </c>
      <c r="S1099" s="4">
        <v>-73.977896000000001</v>
      </c>
      <c r="T1099" s="2">
        <v>42356</v>
      </c>
      <c r="U1099" t="s">
        <v>49</v>
      </c>
      <c r="V1099" t="s">
        <v>50</v>
      </c>
      <c r="W1099" t="s">
        <v>51</v>
      </c>
      <c r="Z1099" s="4">
        <v>17</v>
      </c>
      <c r="AB1099" s="4">
        <v>153</v>
      </c>
      <c r="AE1099" s="4">
        <v>88</v>
      </c>
      <c r="AF1099" s="4">
        <v>72</v>
      </c>
      <c r="AG1099" s="4">
        <v>9</v>
      </c>
      <c r="AH1099" s="4">
        <v>1</v>
      </c>
      <c r="AL1099" s="4">
        <v>170</v>
      </c>
      <c r="AN1099" s="4">
        <v>170</v>
      </c>
      <c r="AO1099" s="4">
        <v>170</v>
      </c>
    </row>
    <row r="1100" spans="1:41" hidden="1" x14ac:dyDescent="0.2">
      <c r="A1100" t="s">
        <v>1926</v>
      </c>
      <c r="B1100" t="s">
        <v>1927</v>
      </c>
      <c r="C1100" s="2">
        <v>42356</v>
      </c>
      <c r="D1100" s="2">
        <v>42356</v>
      </c>
      <c r="E1100" s="3">
        <v>804401</v>
      </c>
      <c r="F1100" t="s">
        <v>1252</v>
      </c>
      <c r="G1100" t="s">
        <v>999</v>
      </c>
      <c r="H1100" t="s">
        <v>45</v>
      </c>
      <c r="I1100" s="3">
        <v>10010</v>
      </c>
      <c r="J1100" s="3">
        <v>1009780001</v>
      </c>
      <c r="K1100" s="3">
        <v>1083686</v>
      </c>
      <c r="L1100" t="s">
        <v>165</v>
      </c>
      <c r="M1100" s="4">
        <v>4</v>
      </c>
      <c r="N1100" t="s">
        <v>1177</v>
      </c>
      <c r="O1100" t="s">
        <v>1929</v>
      </c>
      <c r="P1100" s="4">
        <v>40.736511</v>
      </c>
      <c r="Q1100" s="4">
        <v>-73.977873000000002</v>
      </c>
      <c r="R1100" s="4">
        <v>40.734875000000002</v>
      </c>
      <c r="S1100" s="4">
        <v>-73.976982000000007</v>
      </c>
      <c r="T1100" s="2">
        <v>42356</v>
      </c>
      <c r="U1100" t="s">
        <v>49</v>
      </c>
      <c r="V1100" t="s">
        <v>50</v>
      </c>
      <c r="W1100" t="s">
        <v>51</v>
      </c>
      <c r="Z1100" s="4">
        <v>5</v>
      </c>
      <c r="AB1100" s="4">
        <v>47</v>
      </c>
      <c r="AE1100" s="4">
        <v>25</v>
      </c>
      <c r="AF1100" s="4">
        <v>26</v>
      </c>
      <c r="AG1100" s="4">
        <v>1</v>
      </c>
      <c r="AL1100" s="4">
        <v>52</v>
      </c>
      <c r="AN1100" s="4">
        <v>52</v>
      </c>
      <c r="AO1100" s="4">
        <v>52</v>
      </c>
    </row>
    <row r="1101" spans="1:41" hidden="1" x14ac:dyDescent="0.2">
      <c r="A1101" t="s">
        <v>1926</v>
      </c>
      <c r="B1101" t="s">
        <v>1927</v>
      </c>
      <c r="C1101" s="2">
        <v>42356</v>
      </c>
      <c r="D1101" s="2">
        <v>42356</v>
      </c>
      <c r="E1101" s="3">
        <v>804402</v>
      </c>
      <c r="F1101" t="s">
        <v>757</v>
      </c>
      <c r="G1101" t="s">
        <v>999</v>
      </c>
      <c r="H1101" t="s">
        <v>45</v>
      </c>
      <c r="I1101" s="3">
        <v>10010</v>
      </c>
      <c r="J1101" s="3">
        <v>1009780001</v>
      </c>
      <c r="K1101" s="3">
        <v>1083690</v>
      </c>
      <c r="L1101" t="s">
        <v>165</v>
      </c>
      <c r="M1101" s="4">
        <v>4</v>
      </c>
      <c r="N1101" t="s">
        <v>1177</v>
      </c>
      <c r="O1101" t="s">
        <v>1929</v>
      </c>
      <c r="P1101" s="4">
        <v>40.736139999999999</v>
      </c>
      <c r="Q1101" s="4">
        <v>-73.977013999999997</v>
      </c>
      <c r="R1101" s="4">
        <v>40.734875000000002</v>
      </c>
      <c r="S1101" s="4">
        <v>-73.976982000000007</v>
      </c>
      <c r="T1101" s="2">
        <v>42356</v>
      </c>
      <c r="U1101" t="s">
        <v>49</v>
      </c>
      <c r="V1101" t="s">
        <v>50</v>
      </c>
      <c r="W1101" t="s">
        <v>51</v>
      </c>
      <c r="Z1101" s="4">
        <v>6</v>
      </c>
      <c r="AB1101" s="4">
        <v>47</v>
      </c>
      <c r="AE1101" s="4">
        <v>26</v>
      </c>
      <c r="AF1101" s="4">
        <v>27</v>
      </c>
      <c r="AL1101" s="4">
        <v>53</v>
      </c>
      <c r="AN1101" s="4">
        <v>53</v>
      </c>
      <c r="AO1101" s="4">
        <v>53</v>
      </c>
    </row>
    <row r="1102" spans="1:41" hidden="1" x14ac:dyDescent="0.2">
      <c r="A1102" t="s">
        <v>1926</v>
      </c>
      <c r="B1102" t="s">
        <v>1927</v>
      </c>
      <c r="C1102" s="2">
        <v>42356</v>
      </c>
      <c r="D1102" s="2">
        <v>42356</v>
      </c>
      <c r="E1102" s="3">
        <v>804403</v>
      </c>
      <c r="F1102" t="s">
        <v>984</v>
      </c>
      <c r="G1102" t="s">
        <v>999</v>
      </c>
      <c r="H1102" t="s">
        <v>45</v>
      </c>
      <c r="I1102" s="3">
        <v>10010</v>
      </c>
      <c r="J1102" s="3">
        <v>1009780001</v>
      </c>
      <c r="K1102" s="3">
        <v>1083692</v>
      </c>
      <c r="L1102" t="s">
        <v>165</v>
      </c>
      <c r="M1102" s="4">
        <v>4</v>
      </c>
      <c r="N1102" t="s">
        <v>1177</v>
      </c>
      <c r="O1102" t="s">
        <v>1929</v>
      </c>
      <c r="P1102" s="4">
        <v>40.735782999999998</v>
      </c>
      <c r="Q1102" s="4">
        <v>-73.976180999999997</v>
      </c>
      <c r="R1102" s="4">
        <v>40.734875000000002</v>
      </c>
      <c r="S1102" s="4">
        <v>-73.976982000000007</v>
      </c>
      <c r="T1102" s="2">
        <v>42356</v>
      </c>
      <c r="U1102" t="s">
        <v>49</v>
      </c>
      <c r="V1102" t="s">
        <v>50</v>
      </c>
      <c r="W1102" t="s">
        <v>51</v>
      </c>
      <c r="Z1102" s="4">
        <v>6</v>
      </c>
      <c r="AB1102" s="4">
        <v>47</v>
      </c>
      <c r="AE1102" s="4">
        <v>26</v>
      </c>
      <c r="AF1102" s="4">
        <v>27</v>
      </c>
      <c r="AL1102" s="4">
        <v>53</v>
      </c>
      <c r="AN1102" s="4">
        <v>53</v>
      </c>
      <c r="AO1102" s="4">
        <v>53</v>
      </c>
    </row>
    <row r="1103" spans="1:41" hidden="1" x14ac:dyDescent="0.2">
      <c r="A1103" t="s">
        <v>1926</v>
      </c>
      <c r="B1103" t="s">
        <v>1927</v>
      </c>
      <c r="C1103" s="2">
        <v>42356</v>
      </c>
      <c r="D1103" s="2">
        <v>42356</v>
      </c>
      <c r="E1103" s="3">
        <v>804404</v>
      </c>
      <c r="F1103" t="s">
        <v>531</v>
      </c>
      <c r="G1103" t="s">
        <v>999</v>
      </c>
      <c r="H1103" t="s">
        <v>45</v>
      </c>
      <c r="I1103" s="3">
        <v>10010</v>
      </c>
      <c r="J1103" s="3">
        <v>1009780001</v>
      </c>
      <c r="K1103" s="3">
        <v>1083695</v>
      </c>
      <c r="L1103" t="s">
        <v>165</v>
      </c>
      <c r="M1103" s="4">
        <v>4</v>
      </c>
      <c r="N1103" t="s">
        <v>1177</v>
      </c>
      <c r="O1103" t="s">
        <v>1929</v>
      </c>
      <c r="P1103" s="4">
        <v>40.735627000000001</v>
      </c>
      <c r="Q1103" s="4">
        <v>-73.975795000000005</v>
      </c>
      <c r="R1103" s="4">
        <v>40.734875000000002</v>
      </c>
      <c r="S1103" s="4">
        <v>-73.976982000000007</v>
      </c>
      <c r="T1103" s="2">
        <v>42356</v>
      </c>
      <c r="U1103" t="s">
        <v>49</v>
      </c>
      <c r="V1103" t="s">
        <v>50</v>
      </c>
      <c r="W1103" t="s">
        <v>51</v>
      </c>
      <c r="Z1103" s="4">
        <v>6</v>
      </c>
      <c r="AB1103" s="4">
        <v>47</v>
      </c>
      <c r="AE1103" s="4">
        <v>26</v>
      </c>
      <c r="AF1103" s="4">
        <v>27</v>
      </c>
      <c r="AL1103" s="4">
        <v>53</v>
      </c>
      <c r="AN1103" s="4">
        <v>53</v>
      </c>
      <c r="AO1103" s="4">
        <v>53</v>
      </c>
    </row>
    <row r="1104" spans="1:41" hidden="1" x14ac:dyDescent="0.2">
      <c r="A1104" t="s">
        <v>1926</v>
      </c>
      <c r="B1104" t="s">
        <v>1927</v>
      </c>
      <c r="C1104" s="2">
        <v>42356</v>
      </c>
      <c r="D1104" s="2">
        <v>42356</v>
      </c>
      <c r="E1104" s="3">
        <v>804833</v>
      </c>
      <c r="F1104" t="s">
        <v>916</v>
      </c>
      <c r="G1104" t="s">
        <v>339</v>
      </c>
      <c r="H1104" t="s">
        <v>45</v>
      </c>
      <c r="I1104" s="3">
        <v>10009</v>
      </c>
      <c r="J1104" s="3">
        <v>1009720001</v>
      </c>
      <c r="K1104" s="3">
        <v>1082877</v>
      </c>
      <c r="L1104" t="s">
        <v>165</v>
      </c>
      <c r="M1104" s="4">
        <v>4</v>
      </c>
      <c r="N1104" t="s">
        <v>966</v>
      </c>
      <c r="O1104" t="s">
        <v>1929</v>
      </c>
      <c r="P1104" s="4">
        <v>40.732554</v>
      </c>
      <c r="Q1104" s="4">
        <v>-73.981537000000003</v>
      </c>
      <c r="R1104" s="4">
        <v>40.731724</v>
      </c>
      <c r="S1104" s="4">
        <v>-73.977896000000001</v>
      </c>
      <c r="T1104" s="2">
        <v>42356</v>
      </c>
      <c r="U1104" t="s">
        <v>49</v>
      </c>
      <c r="V1104" t="s">
        <v>50</v>
      </c>
      <c r="W1104" t="s">
        <v>51</v>
      </c>
      <c r="Z1104" s="4">
        <v>4</v>
      </c>
      <c r="AB1104" s="4">
        <v>39</v>
      </c>
      <c r="AD1104" s="4">
        <v>1</v>
      </c>
      <c r="AE1104" s="4">
        <v>22</v>
      </c>
      <c r="AF1104" s="4">
        <v>18</v>
      </c>
      <c r="AG1104" s="4">
        <v>2</v>
      </c>
      <c r="AL1104" s="4">
        <v>43</v>
      </c>
      <c r="AN1104" s="4">
        <v>43</v>
      </c>
      <c r="AO1104" s="4">
        <v>43</v>
      </c>
    </row>
    <row r="1105" spans="1:41" hidden="1" x14ac:dyDescent="0.2">
      <c r="A1105" t="s">
        <v>1926</v>
      </c>
      <c r="B1105" t="s">
        <v>1927</v>
      </c>
      <c r="C1105" s="2">
        <v>42356</v>
      </c>
      <c r="D1105" s="2">
        <v>42356</v>
      </c>
      <c r="E1105" s="3">
        <v>804834</v>
      </c>
      <c r="F1105" t="s">
        <v>1158</v>
      </c>
      <c r="G1105" t="s">
        <v>339</v>
      </c>
      <c r="H1105" t="s">
        <v>45</v>
      </c>
      <c r="I1105" s="3">
        <v>10009</v>
      </c>
      <c r="J1105" s="3">
        <v>1009720001</v>
      </c>
      <c r="K1105" s="3">
        <v>1082869</v>
      </c>
      <c r="L1105" t="s">
        <v>165</v>
      </c>
      <c r="M1105" s="4">
        <v>4</v>
      </c>
      <c r="N1105" t="s">
        <v>966</v>
      </c>
      <c r="O1105" t="s">
        <v>1929</v>
      </c>
      <c r="P1105" s="4">
        <v>40.732661</v>
      </c>
      <c r="Q1105" s="4">
        <v>-73.981457000000006</v>
      </c>
      <c r="R1105" s="4">
        <v>40.731724</v>
      </c>
      <c r="S1105" s="4">
        <v>-73.977896000000001</v>
      </c>
      <c r="T1105" s="2">
        <v>42356</v>
      </c>
      <c r="U1105" t="s">
        <v>49</v>
      </c>
      <c r="V1105" t="s">
        <v>50</v>
      </c>
      <c r="W1105" t="s">
        <v>51</v>
      </c>
      <c r="Z1105" s="4">
        <v>18</v>
      </c>
      <c r="AB1105" s="4">
        <v>167</v>
      </c>
      <c r="AE1105" s="4">
        <v>95</v>
      </c>
      <c r="AF1105" s="4">
        <v>79</v>
      </c>
      <c r="AG1105" s="4">
        <v>10</v>
      </c>
      <c r="AH1105" s="4">
        <v>1</v>
      </c>
      <c r="AL1105" s="4">
        <v>185</v>
      </c>
      <c r="AN1105" s="4">
        <v>185</v>
      </c>
      <c r="AO1105" s="4">
        <v>185</v>
      </c>
    </row>
    <row r="1106" spans="1:41" hidden="1" x14ac:dyDescent="0.2">
      <c r="A1106" t="s">
        <v>1926</v>
      </c>
      <c r="B1106" t="s">
        <v>1927</v>
      </c>
      <c r="C1106" s="2">
        <v>42356</v>
      </c>
      <c r="D1106" s="2">
        <v>42356</v>
      </c>
      <c r="E1106" s="3">
        <v>804835</v>
      </c>
      <c r="F1106" t="s">
        <v>225</v>
      </c>
      <c r="G1106" t="s">
        <v>339</v>
      </c>
      <c r="H1106" t="s">
        <v>45</v>
      </c>
      <c r="I1106" s="3">
        <v>10009</v>
      </c>
      <c r="J1106" s="3">
        <v>1009720001</v>
      </c>
      <c r="K1106" s="3">
        <v>1082870</v>
      </c>
      <c r="L1106" t="s">
        <v>165</v>
      </c>
      <c r="M1106" s="4">
        <v>4</v>
      </c>
      <c r="N1106" t="s">
        <v>966</v>
      </c>
      <c r="O1106" t="s">
        <v>1929</v>
      </c>
      <c r="P1106" s="4">
        <v>40.732875</v>
      </c>
      <c r="Q1106" s="4">
        <v>-73.981290999999999</v>
      </c>
      <c r="R1106" s="4">
        <v>40.731724</v>
      </c>
      <c r="S1106" s="4">
        <v>-73.977896000000001</v>
      </c>
      <c r="T1106" s="2">
        <v>42356</v>
      </c>
      <c r="U1106" t="s">
        <v>49</v>
      </c>
      <c r="V1106" t="s">
        <v>50</v>
      </c>
      <c r="W1106" t="s">
        <v>51</v>
      </c>
      <c r="Z1106" s="4">
        <v>4</v>
      </c>
      <c r="AB1106" s="4">
        <v>35</v>
      </c>
      <c r="AE1106" s="4">
        <v>20</v>
      </c>
      <c r="AF1106" s="4">
        <v>17</v>
      </c>
      <c r="AG1106" s="4">
        <v>2</v>
      </c>
      <c r="AL1106" s="4">
        <v>39</v>
      </c>
      <c r="AN1106" s="4">
        <v>39</v>
      </c>
      <c r="AO1106" s="4">
        <v>39</v>
      </c>
    </row>
    <row r="1107" spans="1:41" hidden="1" x14ac:dyDescent="0.2">
      <c r="A1107" t="s">
        <v>1926</v>
      </c>
      <c r="B1107" t="s">
        <v>1927</v>
      </c>
      <c r="C1107" s="2">
        <v>42356</v>
      </c>
      <c r="D1107" s="2">
        <v>42356</v>
      </c>
      <c r="E1107" s="3">
        <v>804836</v>
      </c>
      <c r="F1107" t="s">
        <v>591</v>
      </c>
      <c r="G1107" t="s">
        <v>339</v>
      </c>
      <c r="H1107" t="s">
        <v>45</v>
      </c>
      <c r="I1107" s="3">
        <v>10009</v>
      </c>
      <c r="J1107" s="3">
        <v>1009720001</v>
      </c>
      <c r="K1107" s="3">
        <v>1082871</v>
      </c>
      <c r="L1107" t="s">
        <v>165</v>
      </c>
      <c r="M1107" s="4">
        <v>4</v>
      </c>
      <c r="N1107" t="s">
        <v>966</v>
      </c>
      <c r="O1107" t="s">
        <v>1929</v>
      </c>
      <c r="P1107" s="4">
        <v>40.733604999999997</v>
      </c>
      <c r="Q1107" s="4">
        <v>-73.980756999999997</v>
      </c>
      <c r="R1107" s="4">
        <v>40.731724</v>
      </c>
      <c r="S1107" s="4">
        <v>-73.977896000000001</v>
      </c>
      <c r="T1107" s="2">
        <v>42356</v>
      </c>
      <c r="U1107" t="s">
        <v>49</v>
      </c>
      <c r="V1107" t="s">
        <v>50</v>
      </c>
      <c r="W1107" t="s">
        <v>51</v>
      </c>
      <c r="Z1107" s="4">
        <v>4</v>
      </c>
      <c r="AB1107" s="4">
        <v>35</v>
      </c>
      <c r="AE1107" s="4">
        <v>20</v>
      </c>
      <c r="AF1107" s="4">
        <v>17</v>
      </c>
      <c r="AG1107" s="4">
        <v>2</v>
      </c>
      <c r="AL1107" s="4">
        <v>39</v>
      </c>
      <c r="AN1107" s="4">
        <v>39</v>
      </c>
      <c r="AO1107" s="4">
        <v>39</v>
      </c>
    </row>
    <row r="1108" spans="1:41" hidden="1" x14ac:dyDescent="0.2">
      <c r="A1108" t="s">
        <v>1926</v>
      </c>
      <c r="B1108" t="s">
        <v>1927</v>
      </c>
      <c r="C1108" s="2">
        <v>42356</v>
      </c>
      <c r="D1108" s="2">
        <v>42356</v>
      </c>
      <c r="E1108" s="3">
        <v>804837</v>
      </c>
      <c r="F1108" t="s">
        <v>1058</v>
      </c>
      <c r="G1108" t="s">
        <v>339</v>
      </c>
      <c r="H1108" t="s">
        <v>45</v>
      </c>
      <c r="I1108" s="3">
        <v>10009</v>
      </c>
      <c r="J1108" s="3">
        <v>1009720001</v>
      </c>
      <c r="K1108" s="3">
        <v>1082863</v>
      </c>
      <c r="L1108" t="s">
        <v>165</v>
      </c>
      <c r="M1108" s="4">
        <v>4</v>
      </c>
      <c r="N1108" t="s">
        <v>966</v>
      </c>
      <c r="O1108" t="s">
        <v>1929</v>
      </c>
      <c r="P1108" s="4">
        <v>40.733944999999999</v>
      </c>
      <c r="Q1108" s="4">
        <v>-73.980514999999997</v>
      </c>
      <c r="R1108" s="4">
        <v>40.731724</v>
      </c>
      <c r="S1108" s="4">
        <v>-73.977896000000001</v>
      </c>
      <c r="T1108" s="2">
        <v>42356</v>
      </c>
      <c r="U1108" t="s">
        <v>49</v>
      </c>
      <c r="V1108" t="s">
        <v>50</v>
      </c>
      <c r="W1108" t="s">
        <v>51</v>
      </c>
      <c r="Z1108" s="4">
        <v>4</v>
      </c>
      <c r="AB1108" s="4">
        <v>36</v>
      </c>
      <c r="AE1108" s="4">
        <v>21</v>
      </c>
      <c r="AF1108" s="4">
        <v>17</v>
      </c>
      <c r="AG1108" s="4">
        <v>2</v>
      </c>
      <c r="AL1108" s="4">
        <v>40</v>
      </c>
      <c r="AN1108" s="4">
        <v>40</v>
      </c>
      <c r="AO1108" s="4">
        <v>40</v>
      </c>
    </row>
    <row r="1109" spans="1:41" hidden="1" x14ac:dyDescent="0.2">
      <c r="A1109" t="s">
        <v>1926</v>
      </c>
      <c r="B1109" t="s">
        <v>1927</v>
      </c>
      <c r="C1109" s="2">
        <v>42356</v>
      </c>
      <c r="D1109" s="2">
        <v>42356</v>
      </c>
      <c r="E1109" s="3">
        <v>804838</v>
      </c>
      <c r="F1109" t="s">
        <v>1793</v>
      </c>
      <c r="G1109" t="s">
        <v>1934</v>
      </c>
      <c r="H1109" t="s">
        <v>45</v>
      </c>
      <c r="I1109" s="3">
        <v>10009</v>
      </c>
      <c r="J1109" s="3">
        <v>1009720001</v>
      </c>
      <c r="K1109" s="3">
        <v>1082865</v>
      </c>
      <c r="L1109" t="s">
        <v>165</v>
      </c>
      <c r="M1109" s="4">
        <v>4</v>
      </c>
      <c r="N1109" t="s">
        <v>966</v>
      </c>
      <c r="O1109" t="s">
        <v>1929</v>
      </c>
      <c r="P1109" s="4">
        <v>40.734774000000002</v>
      </c>
      <c r="Q1109" s="4">
        <v>-73.979590999999999</v>
      </c>
      <c r="R1109" s="4">
        <v>40.731724</v>
      </c>
      <c r="S1109" s="4">
        <v>-73.977896000000001</v>
      </c>
      <c r="T1109" s="2">
        <v>42356</v>
      </c>
      <c r="U1109" t="s">
        <v>49</v>
      </c>
      <c r="V1109" t="s">
        <v>50</v>
      </c>
      <c r="W1109" t="s">
        <v>51</v>
      </c>
      <c r="Z1109" s="4">
        <v>12</v>
      </c>
      <c r="AB1109" s="4">
        <v>114</v>
      </c>
      <c r="AE1109" s="4">
        <v>69</v>
      </c>
      <c r="AF1109" s="4">
        <v>49</v>
      </c>
      <c r="AG1109" s="4">
        <v>7</v>
      </c>
      <c r="AH1109" s="4">
        <v>1</v>
      </c>
      <c r="AL1109" s="4">
        <v>126</v>
      </c>
      <c r="AN1109" s="4">
        <v>126</v>
      </c>
      <c r="AO1109" s="4">
        <v>126</v>
      </c>
    </row>
    <row r="1110" spans="1:41" hidden="1" x14ac:dyDescent="0.2">
      <c r="A1110" t="s">
        <v>1926</v>
      </c>
      <c r="B1110" t="s">
        <v>1927</v>
      </c>
      <c r="C1110" s="2">
        <v>42356</v>
      </c>
      <c r="D1110" s="2">
        <v>42356</v>
      </c>
      <c r="E1110" s="3">
        <v>804841</v>
      </c>
      <c r="F1110" t="s">
        <v>1941</v>
      </c>
      <c r="G1110" t="s">
        <v>339</v>
      </c>
      <c r="H1110" t="s">
        <v>45</v>
      </c>
      <c r="I1110" s="3">
        <v>10010</v>
      </c>
      <c r="J1110" s="3">
        <v>1009780001</v>
      </c>
      <c r="K1110" s="3">
        <v>1083681</v>
      </c>
      <c r="L1110" t="s">
        <v>165</v>
      </c>
      <c r="M1110" s="4">
        <v>4</v>
      </c>
      <c r="N1110" t="s">
        <v>1177</v>
      </c>
      <c r="O1110" t="s">
        <v>1929</v>
      </c>
      <c r="P1110" s="4">
        <v>40.735711999999999</v>
      </c>
      <c r="Q1110" s="4">
        <v>-73.979223000000005</v>
      </c>
      <c r="R1110" s="4">
        <v>40.734875000000002</v>
      </c>
      <c r="S1110" s="4">
        <v>-73.976982000000007</v>
      </c>
      <c r="T1110" s="2">
        <v>42356</v>
      </c>
      <c r="U1110" t="s">
        <v>49</v>
      </c>
      <c r="V1110" t="s">
        <v>50</v>
      </c>
      <c r="W1110" t="s">
        <v>51</v>
      </c>
      <c r="Z1110" s="4">
        <v>5</v>
      </c>
      <c r="AB1110" s="4">
        <v>47</v>
      </c>
      <c r="AE1110" s="4">
        <v>25</v>
      </c>
      <c r="AF1110" s="4">
        <v>26</v>
      </c>
      <c r="AG1110" s="4">
        <v>1</v>
      </c>
      <c r="AL1110" s="4">
        <v>52</v>
      </c>
      <c r="AN1110" s="4">
        <v>52</v>
      </c>
      <c r="AO1110" s="4">
        <v>52</v>
      </c>
    </row>
    <row r="1111" spans="1:41" hidden="1" x14ac:dyDescent="0.2">
      <c r="A1111" t="s">
        <v>1926</v>
      </c>
      <c r="B1111" t="s">
        <v>1927</v>
      </c>
      <c r="C1111" s="2">
        <v>42356</v>
      </c>
      <c r="D1111" s="2">
        <v>42356</v>
      </c>
      <c r="E1111" s="3">
        <v>804842</v>
      </c>
      <c r="F1111" t="s">
        <v>1942</v>
      </c>
      <c r="G1111" t="s">
        <v>339</v>
      </c>
      <c r="H1111" t="s">
        <v>45</v>
      </c>
      <c r="I1111" s="3">
        <v>10010</v>
      </c>
      <c r="J1111" s="3">
        <v>1009780001</v>
      </c>
      <c r="K1111" s="3">
        <v>1083685</v>
      </c>
      <c r="L1111" t="s">
        <v>165</v>
      </c>
      <c r="M1111" s="4">
        <v>4</v>
      </c>
      <c r="N1111" t="s">
        <v>1177</v>
      </c>
      <c r="O1111" t="s">
        <v>1929</v>
      </c>
      <c r="P1111" s="4">
        <v>40.736069000000001</v>
      </c>
      <c r="Q1111" s="4">
        <v>-73.978966999999997</v>
      </c>
      <c r="R1111" s="4">
        <v>40.734875000000002</v>
      </c>
      <c r="S1111" s="4">
        <v>-73.976982000000007</v>
      </c>
      <c r="T1111" s="2">
        <v>42356</v>
      </c>
      <c r="U1111" t="s">
        <v>49</v>
      </c>
      <c r="V1111" t="s">
        <v>50</v>
      </c>
      <c r="W1111" t="s">
        <v>51</v>
      </c>
      <c r="Z1111" s="4">
        <v>6</v>
      </c>
      <c r="AB1111" s="4">
        <v>47</v>
      </c>
      <c r="AE1111" s="4">
        <v>26</v>
      </c>
      <c r="AF1111" s="4">
        <v>27</v>
      </c>
      <c r="AL1111" s="4">
        <v>53</v>
      </c>
      <c r="AN1111" s="4">
        <v>53</v>
      </c>
      <c r="AO1111" s="4">
        <v>53</v>
      </c>
    </row>
    <row r="1112" spans="1:41" hidden="1" x14ac:dyDescent="0.2">
      <c r="A1112" t="s">
        <v>1926</v>
      </c>
      <c r="B1112" t="s">
        <v>1927</v>
      </c>
      <c r="C1112" s="2">
        <v>42356</v>
      </c>
      <c r="D1112" s="2">
        <v>42356</v>
      </c>
      <c r="E1112" s="3">
        <v>804844</v>
      </c>
      <c r="F1112" t="s">
        <v>1943</v>
      </c>
      <c r="G1112" t="s">
        <v>339</v>
      </c>
      <c r="H1112" t="s">
        <v>45</v>
      </c>
      <c r="I1112" s="3">
        <v>10010</v>
      </c>
      <c r="J1112" s="3">
        <v>1009780001</v>
      </c>
      <c r="K1112" s="3">
        <v>1083682</v>
      </c>
      <c r="L1112" t="s">
        <v>165</v>
      </c>
      <c r="M1112" s="4">
        <v>4</v>
      </c>
      <c r="N1112" t="s">
        <v>1177</v>
      </c>
      <c r="O1112" t="s">
        <v>1929</v>
      </c>
      <c r="P1112" s="4">
        <v>40.736562999999997</v>
      </c>
      <c r="Q1112" s="4">
        <v>-73.978638000000004</v>
      </c>
      <c r="R1112" s="4">
        <v>40.734875000000002</v>
      </c>
      <c r="S1112" s="4">
        <v>-73.976982000000007</v>
      </c>
      <c r="T1112" s="2">
        <v>42356</v>
      </c>
      <c r="U1112" t="s">
        <v>49</v>
      </c>
      <c r="V1112" t="s">
        <v>50</v>
      </c>
      <c r="W1112" t="s">
        <v>51</v>
      </c>
      <c r="Z1112" s="4">
        <v>5</v>
      </c>
      <c r="AB1112" s="4">
        <v>46</v>
      </c>
      <c r="AE1112" s="4">
        <v>25</v>
      </c>
      <c r="AF1112" s="4">
        <v>26</v>
      </c>
      <c r="AL1112" s="4">
        <v>51</v>
      </c>
      <c r="AN1112" s="4">
        <v>51</v>
      </c>
      <c r="AO1112" s="4">
        <v>51</v>
      </c>
    </row>
    <row r="1113" spans="1:41" hidden="1" x14ac:dyDescent="0.2">
      <c r="A1113" t="s">
        <v>1926</v>
      </c>
      <c r="B1113" t="s">
        <v>1927</v>
      </c>
      <c r="C1113" s="2">
        <v>42356</v>
      </c>
      <c r="D1113" s="2">
        <v>42356</v>
      </c>
      <c r="E1113" s="3">
        <v>805218</v>
      </c>
      <c r="F1113" t="s">
        <v>1944</v>
      </c>
      <c r="G1113" t="s">
        <v>1945</v>
      </c>
      <c r="H1113" t="s">
        <v>45</v>
      </c>
      <c r="I1113" s="3">
        <v>10010</v>
      </c>
      <c r="J1113" s="3">
        <v>1009780001</v>
      </c>
      <c r="K1113" s="3">
        <v>1083687</v>
      </c>
      <c r="L1113" t="s">
        <v>165</v>
      </c>
      <c r="M1113" s="4">
        <v>4</v>
      </c>
      <c r="N1113" t="s">
        <v>1177</v>
      </c>
      <c r="O1113" t="s">
        <v>1929</v>
      </c>
      <c r="P1113" s="4">
        <v>40.735126999999999</v>
      </c>
      <c r="Q1113" s="4">
        <v>-73.977468999999999</v>
      </c>
      <c r="R1113" s="4">
        <v>40.734875000000002</v>
      </c>
      <c r="S1113" s="4">
        <v>-73.976982000000007</v>
      </c>
      <c r="T1113" s="2">
        <v>42356</v>
      </c>
      <c r="U1113" t="s">
        <v>49</v>
      </c>
      <c r="V1113" t="s">
        <v>50</v>
      </c>
      <c r="W1113" t="s">
        <v>51</v>
      </c>
      <c r="Z1113" s="4">
        <v>5</v>
      </c>
      <c r="AB1113" s="4">
        <v>47</v>
      </c>
      <c r="AE1113" s="4">
        <v>25</v>
      </c>
      <c r="AF1113" s="4">
        <v>26</v>
      </c>
      <c r="AG1113" s="4">
        <v>1</v>
      </c>
      <c r="AL1113" s="4">
        <v>52</v>
      </c>
      <c r="AN1113" s="4">
        <v>52</v>
      </c>
      <c r="AO1113" s="4">
        <v>52</v>
      </c>
    </row>
    <row r="1114" spans="1:41" hidden="1" x14ac:dyDescent="0.2">
      <c r="A1114" t="s">
        <v>1926</v>
      </c>
      <c r="B1114" t="s">
        <v>1927</v>
      </c>
      <c r="C1114" s="2">
        <v>42356</v>
      </c>
      <c r="D1114" s="2">
        <v>42356</v>
      </c>
      <c r="E1114" s="3">
        <v>805219</v>
      </c>
      <c r="F1114" t="s">
        <v>1282</v>
      </c>
      <c r="G1114" t="s">
        <v>1945</v>
      </c>
      <c r="H1114" t="s">
        <v>45</v>
      </c>
      <c r="I1114" s="3">
        <v>10010</v>
      </c>
      <c r="J1114" s="3">
        <v>1009780001</v>
      </c>
      <c r="K1114" s="3">
        <v>1083691</v>
      </c>
      <c r="L1114" t="s">
        <v>165</v>
      </c>
      <c r="M1114" s="4">
        <v>4</v>
      </c>
      <c r="N1114" t="s">
        <v>1177</v>
      </c>
      <c r="O1114" t="s">
        <v>1929</v>
      </c>
      <c r="P1114" s="4">
        <v>40.734915999999998</v>
      </c>
      <c r="Q1114" s="4">
        <v>-73.977253000000005</v>
      </c>
      <c r="R1114" s="4">
        <v>40.734875000000002</v>
      </c>
      <c r="S1114" s="4">
        <v>-73.976982000000007</v>
      </c>
      <c r="T1114" s="2">
        <v>42356</v>
      </c>
      <c r="U1114" t="s">
        <v>49</v>
      </c>
      <c r="V1114" t="s">
        <v>50</v>
      </c>
      <c r="W1114" t="s">
        <v>51</v>
      </c>
      <c r="Z1114" s="4">
        <v>6</v>
      </c>
      <c r="AB1114" s="4">
        <v>47</v>
      </c>
      <c r="AE1114" s="4">
        <v>26</v>
      </c>
      <c r="AF1114" s="4">
        <v>27</v>
      </c>
      <c r="AL1114" s="4">
        <v>53</v>
      </c>
      <c r="AN1114" s="4">
        <v>53</v>
      </c>
      <c r="AO1114" s="4">
        <v>53</v>
      </c>
    </row>
    <row r="1115" spans="1:41" hidden="1" x14ac:dyDescent="0.2">
      <c r="A1115" t="s">
        <v>1926</v>
      </c>
      <c r="B1115" t="s">
        <v>1927</v>
      </c>
      <c r="C1115" s="2">
        <v>42356</v>
      </c>
      <c r="D1115" s="2">
        <v>42356</v>
      </c>
      <c r="E1115" s="3">
        <v>805220</v>
      </c>
      <c r="F1115" t="s">
        <v>1488</v>
      </c>
      <c r="G1115" t="s">
        <v>1945</v>
      </c>
      <c r="H1115" t="s">
        <v>45</v>
      </c>
      <c r="I1115" s="3">
        <v>10010</v>
      </c>
      <c r="J1115" s="3">
        <v>1009780001</v>
      </c>
      <c r="K1115" s="3">
        <v>1083693</v>
      </c>
      <c r="L1115" t="s">
        <v>165</v>
      </c>
      <c r="M1115" s="4">
        <v>4</v>
      </c>
      <c r="N1115" t="s">
        <v>1177</v>
      </c>
      <c r="O1115" t="s">
        <v>1929</v>
      </c>
      <c r="P1115" s="4">
        <v>40.734886000000003</v>
      </c>
      <c r="Q1115" s="4">
        <v>-73.977011000000005</v>
      </c>
      <c r="R1115" s="4">
        <v>40.734875000000002</v>
      </c>
      <c r="S1115" s="4">
        <v>-73.976982000000007</v>
      </c>
      <c r="T1115" s="2">
        <v>42356</v>
      </c>
      <c r="U1115" t="s">
        <v>49</v>
      </c>
      <c r="V1115" t="s">
        <v>50</v>
      </c>
      <c r="W1115" t="s">
        <v>51</v>
      </c>
      <c r="Z1115" s="4">
        <v>6</v>
      </c>
      <c r="AB1115" s="4">
        <v>47</v>
      </c>
      <c r="AE1115" s="4">
        <v>26</v>
      </c>
      <c r="AF1115" s="4">
        <v>27</v>
      </c>
      <c r="AL1115" s="4">
        <v>53</v>
      </c>
      <c r="AN1115" s="4">
        <v>53</v>
      </c>
      <c r="AO1115" s="4">
        <v>53</v>
      </c>
    </row>
    <row r="1116" spans="1:41" hidden="1" x14ac:dyDescent="0.2">
      <c r="A1116" t="s">
        <v>1926</v>
      </c>
      <c r="B1116" t="s">
        <v>1927</v>
      </c>
      <c r="C1116" s="2">
        <v>42356</v>
      </c>
      <c r="D1116" s="2">
        <v>42356</v>
      </c>
      <c r="E1116" s="3">
        <v>805221</v>
      </c>
      <c r="F1116" t="s">
        <v>1946</v>
      </c>
      <c r="G1116" t="s">
        <v>1945</v>
      </c>
      <c r="H1116" t="s">
        <v>45</v>
      </c>
      <c r="I1116" s="3">
        <v>10010</v>
      </c>
      <c r="J1116" s="3">
        <v>1009780001</v>
      </c>
      <c r="K1116" s="3">
        <v>1083694</v>
      </c>
      <c r="L1116" t="s">
        <v>165</v>
      </c>
      <c r="M1116" s="4">
        <v>4</v>
      </c>
      <c r="N1116" t="s">
        <v>1177</v>
      </c>
      <c r="O1116" t="s">
        <v>1929</v>
      </c>
      <c r="P1116" s="4">
        <v>40.7348</v>
      </c>
      <c r="Q1116" s="4">
        <v>-73.975846000000004</v>
      </c>
      <c r="R1116" s="4">
        <v>40.734875000000002</v>
      </c>
      <c r="S1116" s="4">
        <v>-73.976982000000007</v>
      </c>
      <c r="T1116" s="2">
        <v>42356</v>
      </c>
      <c r="U1116" t="s">
        <v>49</v>
      </c>
      <c r="V1116" t="s">
        <v>50</v>
      </c>
      <c r="W1116" t="s">
        <v>51</v>
      </c>
      <c r="Z1116" s="4">
        <v>6</v>
      </c>
      <c r="AB1116" s="4">
        <v>47</v>
      </c>
      <c r="AE1116" s="4">
        <v>26</v>
      </c>
      <c r="AF1116" s="4">
        <v>27</v>
      </c>
      <c r="AL1116" s="4">
        <v>53</v>
      </c>
      <c r="AN1116" s="4">
        <v>53</v>
      </c>
      <c r="AO1116" s="4">
        <v>53</v>
      </c>
    </row>
    <row r="1117" spans="1:41" hidden="1" x14ac:dyDescent="0.2">
      <c r="A1117" t="s">
        <v>1926</v>
      </c>
      <c r="B1117" t="s">
        <v>1927</v>
      </c>
      <c r="C1117" s="2">
        <v>42356</v>
      </c>
      <c r="D1117" s="2">
        <v>42356</v>
      </c>
      <c r="E1117" s="3">
        <v>805222</v>
      </c>
      <c r="F1117" t="s">
        <v>484</v>
      </c>
      <c r="G1117" t="s">
        <v>1945</v>
      </c>
      <c r="H1117" t="s">
        <v>45</v>
      </c>
      <c r="I1117" s="3">
        <v>10010</v>
      </c>
      <c r="J1117" s="3">
        <v>1009780001</v>
      </c>
      <c r="K1117" s="3">
        <v>1083697</v>
      </c>
      <c r="L1117" t="s">
        <v>165</v>
      </c>
      <c r="M1117" s="4">
        <v>4</v>
      </c>
      <c r="N1117" t="s">
        <v>1177</v>
      </c>
      <c r="O1117" t="s">
        <v>1929</v>
      </c>
      <c r="P1117" s="4">
        <v>40.734465999999998</v>
      </c>
      <c r="Q1117" s="4">
        <v>-73.975575000000006</v>
      </c>
      <c r="R1117" s="4">
        <v>40.734875000000002</v>
      </c>
      <c r="S1117" s="4">
        <v>-73.976982000000007</v>
      </c>
      <c r="T1117" s="2">
        <v>42356</v>
      </c>
      <c r="U1117" t="s">
        <v>49</v>
      </c>
      <c r="V1117" t="s">
        <v>50</v>
      </c>
      <c r="W1117" t="s">
        <v>51</v>
      </c>
      <c r="Z1117" s="4">
        <v>5</v>
      </c>
      <c r="AB1117" s="4">
        <v>47</v>
      </c>
      <c r="AE1117" s="4">
        <v>25</v>
      </c>
      <c r="AF1117" s="4">
        <v>26</v>
      </c>
      <c r="AH1117" s="4">
        <v>1</v>
      </c>
      <c r="AL1117" s="4">
        <v>52</v>
      </c>
      <c r="AN1117" s="4">
        <v>52</v>
      </c>
      <c r="AO1117" s="4">
        <v>52</v>
      </c>
    </row>
    <row r="1118" spans="1:41" hidden="1" x14ac:dyDescent="0.2">
      <c r="A1118" t="s">
        <v>1926</v>
      </c>
      <c r="B1118" t="s">
        <v>1927</v>
      </c>
      <c r="C1118" s="2">
        <v>42356</v>
      </c>
      <c r="D1118" s="2">
        <v>42356</v>
      </c>
      <c r="E1118" s="3">
        <v>805223</v>
      </c>
      <c r="F1118" t="s">
        <v>1398</v>
      </c>
      <c r="G1118" t="s">
        <v>1945</v>
      </c>
      <c r="H1118" t="s">
        <v>45</v>
      </c>
      <c r="I1118" s="3">
        <v>10010</v>
      </c>
      <c r="J1118" s="3">
        <v>1009780001</v>
      </c>
      <c r="K1118" s="3">
        <v>1083698</v>
      </c>
      <c r="L1118" t="s">
        <v>165</v>
      </c>
      <c r="M1118" s="4">
        <v>4</v>
      </c>
      <c r="N1118" t="s">
        <v>1177</v>
      </c>
      <c r="O1118" t="s">
        <v>1929</v>
      </c>
      <c r="P1118" s="4">
        <v>40.734473999999999</v>
      </c>
      <c r="Q1118" s="4">
        <v>-73.975556999999995</v>
      </c>
      <c r="R1118" s="4">
        <v>40.734875000000002</v>
      </c>
      <c r="S1118" s="4">
        <v>-73.976982000000007</v>
      </c>
      <c r="T1118" s="2">
        <v>42356</v>
      </c>
      <c r="U1118" t="s">
        <v>49</v>
      </c>
      <c r="V1118" t="s">
        <v>50</v>
      </c>
      <c r="W1118" t="s">
        <v>51</v>
      </c>
      <c r="Z1118" s="4">
        <v>5</v>
      </c>
      <c r="AB1118" s="4">
        <v>47</v>
      </c>
      <c r="AE1118" s="4">
        <v>25</v>
      </c>
      <c r="AF1118" s="4">
        <v>26</v>
      </c>
      <c r="AG1118" s="4">
        <v>1</v>
      </c>
      <c r="AL1118" s="4">
        <v>52</v>
      </c>
      <c r="AN1118" s="4">
        <v>52</v>
      </c>
      <c r="AO1118" s="4">
        <v>52</v>
      </c>
    </row>
    <row r="1119" spans="1:41" hidden="1" x14ac:dyDescent="0.2">
      <c r="A1119" t="s">
        <v>1926</v>
      </c>
      <c r="B1119" t="s">
        <v>1927</v>
      </c>
      <c r="C1119" s="2">
        <v>42356</v>
      </c>
      <c r="D1119" s="2">
        <v>42356</v>
      </c>
      <c r="E1119" s="3">
        <v>805224</v>
      </c>
      <c r="F1119" t="s">
        <v>711</v>
      </c>
      <c r="G1119" t="s">
        <v>1945</v>
      </c>
      <c r="H1119" t="s">
        <v>45</v>
      </c>
      <c r="I1119" s="3">
        <v>10010</v>
      </c>
      <c r="J1119" s="3">
        <v>1009780001</v>
      </c>
      <c r="K1119" s="3">
        <v>1083699</v>
      </c>
      <c r="L1119" t="s">
        <v>165</v>
      </c>
      <c r="M1119" s="4">
        <v>4</v>
      </c>
      <c r="N1119" t="s">
        <v>1177</v>
      </c>
      <c r="O1119" t="s">
        <v>1929</v>
      </c>
      <c r="P1119" s="4">
        <v>40.734191000000003</v>
      </c>
      <c r="Q1119" s="4">
        <v>-73.975167999999996</v>
      </c>
      <c r="R1119" s="4">
        <v>40.734875000000002</v>
      </c>
      <c r="S1119" s="4">
        <v>-73.976982000000007</v>
      </c>
      <c r="T1119" s="2">
        <v>42356</v>
      </c>
      <c r="U1119" t="s">
        <v>49</v>
      </c>
      <c r="V1119" t="s">
        <v>50</v>
      </c>
      <c r="W1119" t="s">
        <v>51</v>
      </c>
      <c r="Z1119" s="4">
        <v>5</v>
      </c>
      <c r="AB1119" s="4">
        <v>47</v>
      </c>
      <c r="AE1119" s="4">
        <v>25</v>
      </c>
      <c r="AF1119" s="4">
        <v>26</v>
      </c>
      <c r="AG1119" s="4">
        <v>1</v>
      </c>
      <c r="AL1119" s="4">
        <v>52</v>
      </c>
      <c r="AN1119" s="4">
        <v>52</v>
      </c>
      <c r="AO1119" s="4">
        <v>52</v>
      </c>
    </row>
    <row r="1120" spans="1:41" hidden="1" x14ac:dyDescent="0.2">
      <c r="A1120" t="s">
        <v>1926</v>
      </c>
      <c r="B1120" t="s">
        <v>1927</v>
      </c>
      <c r="C1120" s="2">
        <v>42356</v>
      </c>
      <c r="D1120" s="2">
        <v>42356</v>
      </c>
      <c r="E1120" s="3">
        <v>805341</v>
      </c>
      <c r="F1120" t="s">
        <v>1021</v>
      </c>
      <c r="G1120" t="s">
        <v>1947</v>
      </c>
      <c r="H1120" t="s">
        <v>45</v>
      </c>
      <c r="I1120" s="3">
        <v>10009</v>
      </c>
      <c r="J1120" s="3">
        <v>1009720001</v>
      </c>
      <c r="K1120" s="3">
        <v>1082881</v>
      </c>
      <c r="L1120" t="s">
        <v>165</v>
      </c>
      <c r="M1120" s="4">
        <v>4</v>
      </c>
      <c r="N1120" t="s">
        <v>966</v>
      </c>
      <c r="O1120" t="s">
        <v>1929</v>
      </c>
      <c r="P1120" s="4">
        <v>40.731279000000001</v>
      </c>
      <c r="Q1120" s="4">
        <v>-73.978556999999995</v>
      </c>
      <c r="R1120" s="4">
        <v>40.731724</v>
      </c>
      <c r="S1120" s="4">
        <v>-73.977896000000001</v>
      </c>
      <c r="T1120" s="2">
        <v>42356</v>
      </c>
      <c r="U1120" t="s">
        <v>49</v>
      </c>
      <c r="V1120" t="s">
        <v>50</v>
      </c>
      <c r="W1120" t="s">
        <v>51</v>
      </c>
      <c r="Z1120" s="4">
        <v>9</v>
      </c>
      <c r="AB1120" s="4">
        <v>84</v>
      </c>
      <c r="AE1120" s="4">
        <v>48</v>
      </c>
      <c r="AF1120" s="4">
        <v>40</v>
      </c>
      <c r="AG1120" s="4">
        <v>5</v>
      </c>
      <c r="AL1120" s="4">
        <v>93</v>
      </c>
      <c r="AN1120" s="4">
        <v>93</v>
      </c>
      <c r="AO1120" s="4">
        <v>93</v>
      </c>
    </row>
    <row r="1121" spans="1:41" hidden="1" x14ac:dyDescent="0.2">
      <c r="A1121" t="s">
        <v>1926</v>
      </c>
      <c r="B1121" t="s">
        <v>1927</v>
      </c>
      <c r="C1121" s="2">
        <v>42356</v>
      </c>
      <c r="D1121" s="2">
        <v>42356</v>
      </c>
      <c r="E1121" s="3">
        <v>805342</v>
      </c>
      <c r="F1121" t="s">
        <v>135</v>
      </c>
      <c r="G1121" t="s">
        <v>1947</v>
      </c>
      <c r="H1121" t="s">
        <v>45</v>
      </c>
      <c r="I1121" s="3">
        <v>10009</v>
      </c>
      <c r="J1121" s="3">
        <v>1009720001</v>
      </c>
      <c r="K1121" s="3">
        <v>1082868</v>
      </c>
      <c r="L1121" t="s">
        <v>165</v>
      </c>
      <c r="M1121" s="4">
        <v>4</v>
      </c>
      <c r="N1121" t="s">
        <v>966</v>
      </c>
      <c r="O1121" t="s">
        <v>1929</v>
      </c>
      <c r="P1121" s="4">
        <v>40.732267999999998</v>
      </c>
      <c r="Q1121" s="4">
        <v>-73.978725999999995</v>
      </c>
      <c r="R1121" s="4">
        <v>40.731724</v>
      </c>
      <c r="S1121" s="4">
        <v>-73.977896000000001</v>
      </c>
      <c r="T1121" s="2">
        <v>42356</v>
      </c>
      <c r="U1121" t="s">
        <v>49</v>
      </c>
      <c r="V1121" t="s">
        <v>50</v>
      </c>
      <c r="W1121" t="s">
        <v>51</v>
      </c>
      <c r="Z1121" s="4">
        <v>14</v>
      </c>
      <c r="AB1121" s="4">
        <v>126</v>
      </c>
      <c r="AE1121" s="4">
        <v>72</v>
      </c>
      <c r="AF1121" s="4">
        <v>60</v>
      </c>
      <c r="AG1121" s="4">
        <v>7</v>
      </c>
      <c r="AH1121" s="4">
        <v>1</v>
      </c>
      <c r="AL1121" s="4">
        <v>140</v>
      </c>
      <c r="AN1121" s="4">
        <v>140</v>
      </c>
      <c r="AO1121" s="4">
        <v>140</v>
      </c>
    </row>
    <row r="1122" spans="1:41" hidden="1" x14ac:dyDescent="0.2">
      <c r="A1122" t="s">
        <v>1926</v>
      </c>
      <c r="B1122" t="s">
        <v>1927</v>
      </c>
      <c r="C1122" s="2">
        <v>42356</v>
      </c>
      <c r="D1122" s="2">
        <v>42356</v>
      </c>
      <c r="E1122" s="3">
        <v>805343</v>
      </c>
      <c r="F1122" t="s">
        <v>869</v>
      </c>
      <c r="G1122" t="s">
        <v>1947</v>
      </c>
      <c r="H1122" t="s">
        <v>45</v>
      </c>
      <c r="I1122" s="3">
        <v>10009</v>
      </c>
      <c r="J1122" s="3">
        <v>1009720001</v>
      </c>
      <c r="K1122" s="3">
        <v>1082857</v>
      </c>
      <c r="L1122" t="s">
        <v>165</v>
      </c>
      <c r="M1122" s="4">
        <v>4</v>
      </c>
      <c r="N1122" t="s">
        <v>966</v>
      </c>
      <c r="O1122" t="s">
        <v>1929</v>
      </c>
      <c r="P1122" s="4">
        <v>40.731458000000003</v>
      </c>
      <c r="Q1122" s="4">
        <v>-73.976795999999993</v>
      </c>
      <c r="R1122" s="4">
        <v>40.731724</v>
      </c>
      <c r="S1122" s="4">
        <v>-73.977896000000001</v>
      </c>
      <c r="T1122" s="2">
        <v>42356</v>
      </c>
      <c r="U1122" t="s">
        <v>49</v>
      </c>
      <c r="V1122" t="s">
        <v>50</v>
      </c>
      <c r="W1122" t="s">
        <v>51</v>
      </c>
      <c r="Z1122" s="4">
        <v>14</v>
      </c>
      <c r="AB1122" s="4">
        <v>126</v>
      </c>
      <c r="AE1122" s="4">
        <v>72</v>
      </c>
      <c r="AF1122" s="4">
        <v>60</v>
      </c>
      <c r="AG1122" s="4">
        <v>7</v>
      </c>
      <c r="AH1122" s="4">
        <v>1</v>
      </c>
      <c r="AL1122" s="4">
        <v>140</v>
      </c>
      <c r="AN1122" s="4">
        <v>140</v>
      </c>
      <c r="AO1122" s="4">
        <v>140</v>
      </c>
    </row>
    <row r="1123" spans="1:41" hidden="1" x14ac:dyDescent="0.2">
      <c r="A1123" t="s">
        <v>1926</v>
      </c>
      <c r="B1123" t="s">
        <v>1927</v>
      </c>
      <c r="C1123" s="2">
        <v>42356</v>
      </c>
      <c r="D1123" s="2">
        <v>42356</v>
      </c>
      <c r="E1123" s="3">
        <v>805344</v>
      </c>
      <c r="F1123" t="s">
        <v>785</v>
      </c>
      <c r="G1123" t="s">
        <v>1947</v>
      </c>
      <c r="H1123" t="s">
        <v>45</v>
      </c>
      <c r="I1123" s="3">
        <v>10009</v>
      </c>
      <c r="J1123" s="3">
        <v>1009720001</v>
      </c>
      <c r="K1123" s="3">
        <v>1082858</v>
      </c>
      <c r="L1123" t="s">
        <v>165</v>
      </c>
      <c r="M1123" s="4">
        <v>4</v>
      </c>
      <c r="N1123" t="s">
        <v>966</v>
      </c>
      <c r="O1123" t="s">
        <v>1929</v>
      </c>
      <c r="P1123" s="4">
        <v>40.732297000000003</v>
      </c>
      <c r="Q1123" s="4">
        <v>-73.977005000000005</v>
      </c>
      <c r="R1123" s="4">
        <v>40.731724</v>
      </c>
      <c r="S1123" s="4">
        <v>-73.977896000000001</v>
      </c>
      <c r="T1123" s="2">
        <v>42356</v>
      </c>
      <c r="U1123" t="s">
        <v>49</v>
      </c>
      <c r="V1123" t="s">
        <v>50</v>
      </c>
      <c r="W1123" t="s">
        <v>51</v>
      </c>
      <c r="Z1123" s="4">
        <v>9</v>
      </c>
      <c r="AB1123" s="4">
        <v>84</v>
      </c>
      <c r="AE1123" s="4">
        <v>48</v>
      </c>
      <c r="AF1123" s="4">
        <v>40</v>
      </c>
      <c r="AG1123" s="4">
        <v>5</v>
      </c>
      <c r="AL1123" s="4">
        <v>93</v>
      </c>
      <c r="AN1123" s="4">
        <v>93</v>
      </c>
      <c r="AO1123" s="4">
        <v>93</v>
      </c>
    </row>
    <row r="1124" spans="1:41" hidden="1" x14ac:dyDescent="0.2">
      <c r="A1124" t="s">
        <v>1926</v>
      </c>
      <c r="B1124" t="s">
        <v>1927</v>
      </c>
      <c r="C1124" s="2">
        <v>42356</v>
      </c>
      <c r="D1124" s="2">
        <v>42356</v>
      </c>
      <c r="E1124" s="3">
        <v>805345</v>
      </c>
      <c r="F1124" t="s">
        <v>1944</v>
      </c>
      <c r="G1124" t="s">
        <v>1947</v>
      </c>
      <c r="H1124" t="s">
        <v>45</v>
      </c>
      <c r="I1124" s="3">
        <v>10009</v>
      </c>
      <c r="J1124" s="3">
        <v>1009720001</v>
      </c>
      <c r="K1124" s="3">
        <v>1082769</v>
      </c>
      <c r="L1124" t="s">
        <v>165</v>
      </c>
      <c r="M1124" s="4">
        <v>4</v>
      </c>
      <c r="N1124" t="s">
        <v>966</v>
      </c>
      <c r="O1124" t="s">
        <v>1929</v>
      </c>
      <c r="P1124" s="4">
        <v>40.731045999999999</v>
      </c>
      <c r="Q1124" s="4">
        <v>-73.977975999999998</v>
      </c>
      <c r="R1124" s="4">
        <v>40.731724</v>
      </c>
      <c r="S1124" s="4">
        <v>-73.977896000000001</v>
      </c>
      <c r="T1124" s="2">
        <v>42356</v>
      </c>
      <c r="U1124" t="s">
        <v>49</v>
      </c>
      <c r="V1124" t="s">
        <v>50</v>
      </c>
      <c r="W1124" t="s">
        <v>51</v>
      </c>
      <c r="Z1124" s="4">
        <v>9</v>
      </c>
      <c r="AB1124" s="4">
        <v>84</v>
      </c>
      <c r="AE1124" s="4">
        <v>48</v>
      </c>
      <c r="AF1124" s="4">
        <v>40</v>
      </c>
      <c r="AG1124" s="4">
        <v>5</v>
      </c>
      <c r="AL1124" s="4">
        <v>93</v>
      </c>
      <c r="AN1124" s="4">
        <v>93</v>
      </c>
      <c r="AO1124" s="4">
        <v>93</v>
      </c>
    </row>
    <row r="1125" spans="1:41" hidden="1" x14ac:dyDescent="0.2">
      <c r="A1125" t="s">
        <v>1926</v>
      </c>
      <c r="B1125" t="s">
        <v>1927</v>
      </c>
      <c r="C1125" s="2">
        <v>42356</v>
      </c>
      <c r="D1125" s="2">
        <v>42356</v>
      </c>
      <c r="E1125" s="3">
        <v>805346</v>
      </c>
      <c r="F1125" t="s">
        <v>1946</v>
      </c>
      <c r="G1125" t="s">
        <v>1947</v>
      </c>
      <c r="H1125" t="s">
        <v>45</v>
      </c>
      <c r="I1125" s="3">
        <v>10009</v>
      </c>
      <c r="J1125" s="3">
        <v>1009720001</v>
      </c>
      <c r="K1125" s="3">
        <v>1082882</v>
      </c>
      <c r="L1125" t="s">
        <v>165</v>
      </c>
      <c r="M1125" s="4">
        <v>4</v>
      </c>
      <c r="N1125" t="s">
        <v>966</v>
      </c>
      <c r="O1125" t="s">
        <v>1929</v>
      </c>
      <c r="P1125" s="4">
        <v>40.732084</v>
      </c>
      <c r="Q1125" s="4">
        <v>-73.978866999999994</v>
      </c>
      <c r="R1125" s="4">
        <v>40.731724</v>
      </c>
      <c r="S1125" s="4">
        <v>-73.977896000000001</v>
      </c>
      <c r="T1125" s="2">
        <v>42356</v>
      </c>
      <c r="U1125" t="s">
        <v>49</v>
      </c>
      <c r="V1125" t="s">
        <v>50</v>
      </c>
      <c r="W1125" t="s">
        <v>51</v>
      </c>
      <c r="Z1125" s="4">
        <v>14</v>
      </c>
      <c r="AB1125" s="4">
        <v>126</v>
      </c>
      <c r="AE1125" s="4">
        <v>72</v>
      </c>
      <c r="AF1125" s="4">
        <v>60</v>
      </c>
      <c r="AG1125" s="4">
        <v>7</v>
      </c>
      <c r="AH1125" s="4">
        <v>1</v>
      </c>
      <c r="AL1125" s="4">
        <v>140</v>
      </c>
      <c r="AN1125" s="4">
        <v>140</v>
      </c>
      <c r="AO1125" s="4">
        <v>140</v>
      </c>
    </row>
    <row r="1126" spans="1:41" hidden="1" x14ac:dyDescent="0.2">
      <c r="A1126" t="s">
        <v>1926</v>
      </c>
      <c r="B1126" t="s">
        <v>1927</v>
      </c>
      <c r="C1126" s="2">
        <v>42356</v>
      </c>
      <c r="D1126" s="2">
        <v>42356</v>
      </c>
      <c r="E1126" s="3">
        <v>805347</v>
      </c>
      <c r="F1126" t="s">
        <v>484</v>
      </c>
      <c r="G1126" t="s">
        <v>1947</v>
      </c>
      <c r="H1126" t="s">
        <v>45</v>
      </c>
      <c r="I1126" s="3">
        <v>10009</v>
      </c>
      <c r="J1126" s="3">
        <v>1009720001</v>
      </c>
      <c r="K1126" s="3">
        <v>1082768</v>
      </c>
      <c r="L1126" t="s">
        <v>165</v>
      </c>
      <c r="M1126" s="4">
        <v>4</v>
      </c>
      <c r="N1126" t="s">
        <v>966</v>
      </c>
      <c r="O1126" t="s">
        <v>1929</v>
      </c>
      <c r="P1126" s="4">
        <v>40.731254</v>
      </c>
      <c r="Q1126" s="4">
        <v>-73.976933000000002</v>
      </c>
      <c r="R1126" s="4">
        <v>40.731724</v>
      </c>
      <c r="S1126" s="4">
        <v>-73.977896000000001</v>
      </c>
      <c r="T1126" s="2">
        <v>42356</v>
      </c>
      <c r="U1126" t="s">
        <v>49</v>
      </c>
      <c r="V1126" t="s">
        <v>50</v>
      </c>
      <c r="W1126" t="s">
        <v>51</v>
      </c>
      <c r="Z1126" s="4">
        <v>14</v>
      </c>
      <c r="AB1126" s="4">
        <v>126</v>
      </c>
      <c r="AE1126" s="4">
        <v>72</v>
      </c>
      <c r="AF1126" s="4">
        <v>60</v>
      </c>
      <c r="AG1126" s="4">
        <v>7</v>
      </c>
      <c r="AH1126" s="4">
        <v>1</v>
      </c>
      <c r="AL1126" s="4">
        <v>140</v>
      </c>
      <c r="AN1126" s="4">
        <v>140</v>
      </c>
      <c r="AO1126" s="4">
        <v>140</v>
      </c>
    </row>
    <row r="1127" spans="1:41" hidden="1" x14ac:dyDescent="0.2">
      <c r="A1127" t="s">
        <v>1926</v>
      </c>
      <c r="B1127" t="s">
        <v>1927</v>
      </c>
      <c r="C1127" s="2">
        <v>42356</v>
      </c>
      <c r="D1127" s="2">
        <v>42356</v>
      </c>
      <c r="E1127" s="3">
        <v>805348</v>
      </c>
      <c r="F1127" t="s">
        <v>1948</v>
      </c>
      <c r="G1127" t="s">
        <v>1947</v>
      </c>
      <c r="H1127" t="s">
        <v>45</v>
      </c>
      <c r="I1127" s="3">
        <v>10009</v>
      </c>
      <c r="J1127" s="3">
        <v>1009720001</v>
      </c>
      <c r="K1127" s="3">
        <v>1082874</v>
      </c>
      <c r="L1127" t="s">
        <v>165</v>
      </c>
      <c r="M1127" s="4">
        <v>4</v>
      </c>
      <c r="N1127" t="s">
        <v>966</v>
      </c>
      <c r="O1127" t="s">
        <v>1929</v>
      </c>
      <c r="P1127" s="4">
        <v>40.732335999999997</v>
      </c>
      <c r="Q1127" s="4">
        <v>-73.977801999999997</v>
      </c>
      <c r="R1127" s="4">
        <v>40.731724</v>
      </c>
      <c r="S1127" s="4">
        <v>-73.977896000000001</v>
      </c>
      <c r="T1127" s="2">
        <v>42356</v>
      </c>
      <c r="U1127" t="s">
        <v>49</v>
      </c>
      <c r="V1127" t="s">
        <v>50</v>
      </c>
      <c r="W1127" t="s">
        <v>51</v>
      </c>
      <c r="Z1127" s="4">
        <v>9</v>
      </c>
      <c r="AB1127" s="4">
        <v>84</v>
      </c>
      <c r="AE1127" s="4">
        <v>48</v>
      </c>
      <c r="AF1127" s="4">
        <v>40</v>
      </c>
      <c r="AG1127" s="4">
        <v>5</v>
      </c>
      <c r="AL1127" s="4">
        <v>93</v>
      </c>
      <c r="AN1127" s="4">
        <v>93</v>
      </c>
      <c r="AO1127" s="4">
        <v>93</v>
      </c>
    </row>
    <row r="1128" spans="1:41" hidden="1" x14ac:dyDescent="0.2">
      <c r="A1128" t="s">
        <v>1949</v>
      </c>
      <c r="B1128" t="s">
        <v>1950</v>
      </c>
      <c r="C1128" s="2">
        <v>42355</v>
      </c>
      <c r="D1128" s="2">
        <v>43060</v>
      </c>
      <c r="E1128" s="3">
        <v>11564</v>
      </c>
      <c r="F1128" t="s">
        <v>1951</v>
      </c>
      <c r="G1128" t="s">
        <v>606</v>
      </c>
      <c r="H1128" t="s">
        <v>45</v>
      </c>
      <c r="I1128" s="3">
        <v>10009</v>
      </c>
      <c r="J1128" s="3">
        <v>1003930047</v>
      </c>
      <c r="K1128" s="3">
        <v>1004898</v>
      </c>
      <c r="L1128" t="s">
        <v>64</v>
      </c>
      <c r="M1128" s="4">
        <v>2</v>
      </c>
      <c r="N1128" t="s">
        <v>607</v>
      </c>
      <c r="O1128" t="s">
        <v>197</v>
      </c>
      <c r="P1128" s="4">
        <v>40.726325000000003</v>
      </c>
      <c r="Q1128" s="4">
        <v>-73.978587000000005</v>
      </c>
      <c r="R1128" s="4">
        <v>40.726470999999997</v>
      </c>
      <c r="S1128" s="4">
        <v>-73.978396000000004</v>
      </c>
      <c r="T1128" s="2">
        <v>43060</v>
      </c>
      <c r="U1128" t="s">
        <v>49</v>
      </c>
      <c r="V1128" t="s">
        <v>71</v>
      </c>
      <c r="W1128" t="s">
        <v>51</v>
      </c>
      <c r="Y1128" s="4">
        <v>12</v>
      </c>
      <c r="AD1128" s="4">
        <v>3</v>
      </c>
      <c r="AE1128" s="4">
        <v>2</v>
      </c>
      <c r="AF1128" s="4">
        <v>3</v>
      </c>
      <c r="AG1128" s="4">
        <v>4</v>
      </c>
      <c r="AM1128" s="4">
        <v>12</v>
      </c>
      <c r="AN1128" s="4">
        <v>12</v>
      </c>
      <c r="AO1128" s="4">
        <v>12</v>
      </c>
    </row>
    <row r="1129" spans="1:41" hidden="1" x14ac:dyDescent="0.2">
      <c r="A1129" t="s">
        <v>1949</v>
      </c>
      <c r="B1129" t="s">
        <v>1950</v>
      </c>
      <c r="C1129" s="2">
        <v>42355</v>
      </c>
      <c r="D1129" s="2">
        <v>43060</v>
      </c>
      <c r="E1129" s="3">
        <v>11998</v>
      </c>
      <c r="F1129" t="s">
        <v>1552</v>
      </c>
      <c r="G1129" t="s">
        <v>1229</v>
      </c>
      <c r="H1129" t="s">
        <v>45</v>
      </c>
      <c r="I1129" s="3">
        <v>10009</v>
      </c>
      <c r="J1129" s="3">
        <v>1004060027</v>
      </c>
      <c r="K1129" s="3">
        <v>1005214</v>
      </c>
      <c r="L1129" t="s">
        <v>64</v>
      </c>
      <c r="M1129" s="4">
        <v>2</v>
      </c>
      <c r="N1129" t="s">
        <v>978</v>
      </c>
      <c r="O1129" t="s">
        <v>197</v>
      </c>
      <c r="P1129" s="4">
        <v>40.729165999999999</v>
      </c>
      <c r="Q1129" s="4">
        <v>-73.979552999999996</v>
      </c>
      <c r="R1129" s="4">
        <v>40.728785000000002</v>
      </c>
      <c r="S1129" s="4">
        <v>-73.979099000000005</v>
      </c>
      <c r="T1129" s="2">
        <v>43060</v>
      </c>
      <c r="U1129" t="s">
        <v>49</v>
      </c>
      <c r="V1129" t="s">
        <v>71</v>
      </c>
      <c r="W1129" t="s">
        <v>51</v>
      </c>
      <c r="Y1129" s="4">
        <v>14</v>
      </c>
      <c r="AD1129" s="4">
        <v>3</v>
      </c>
      <c r="AE1129" s="4">
        <v>3</v>
      </c>
      <c r="AF1129" s="4">
        <v>8</v>
      </c>
      <c r="AM1129" s="4">
        <v>14</v>
      </c>
      <c r="AN1129" s="4">
        <v>14</v>
      </c>
      <c r="AO1129" s="4">
        <v>14</v>
      </c>
    </row>
    <row r="1130" spans="1:41" hidden="1" x14ac:dyDescent="0.2">
      <c r="A1130" t="s">
        <v>1952</v>
      </c>
      <c r="B1130" t="s">
        <v>1953</v>
      </c>
      <c r="C1130" s="2">
        <v>42346</v>
      </c>
      <c r="D1130" s="2">
        <v>43033</v>
      </c>
      <c r="E1130" s="3">
        <v>969128</v>
      </c>
      <c r="F1130" t="s">
        <v>368</v>
      </c>
      <c r="G1130" t="s">
        <v>121</v>
      </c>
      <c r="H1130" t="s">
        <v>45</v>
      </c>
      <c r="I1130" s="3">
        <v>10002</v>
      </c>
      <c r="J1130" s="3">
        <v>1003477501</v>
      </c>
      <c r="K1130" s="3">
        <v>1089451</v>
      </c>
      <c r="L1130" t="s">
        <v>64</v>
      </c>
      <c r="M1130" s="4">
        <v>1</v>
      </c>
      <c r="N1130" t="s">
        <v>122</v>
      </c>
      <c r="O1130" t="s">
        <v>66</v>
      </c>
      <c r="P1130" s="4">
        <v>40.716678000000002</v>
      </c>
      <c r="Q1130" s="4">
        <v>-73.985451999999995</v>
      </c>
      <c r="R1130" s="4">
        <v>40.717053999999997</v>
      </c>
      <c r="S1130" s="4">
        <v>-73.985754</v>
      </c>
      <c r="T1130" s="2">
        <v>43033</v>
      </c>
      <c r="U1130" t="s">
        <v>117</v>
      </c>
      <c r="V1130" t="s">
        <v>71</v>
      </c>
      <c r="W1130" t="s">
        <v>51</v>
      </c>
      <c r="Y1130" s="4">
        <v>20</v>
      </c>
      <c r="Z1130" s="4">
        <v>79</v>
      </c>
      <c r="AC1130" s="4">
        <v>1</v>
      </c>
      <c r="AE1130" s="4">
        <v>100</v>
      </c>
      <c r="AL1130" s="4">
        <v>100</v>
      </c>
      <c r="AN1130" s="4">
        <v>100</v>
      </c>
      <c r="AO1130" s="4">
        <v>100</v>
      </c>
    </row>
    <row r="1131" spans="1:41" hidden="1" x14ac:dyDescent="0.2">
      <c r="A1131" t="s">
        <v>1954</v>
      </c>
      <c r="B1131" t="s">
        <v>1955</v>
      </c>
      <c r="C1131" s="2">
        <v>42339</v>
      </c>
      <c r="D1131" s="2">
        <v>42356</v>
      </c>
      <c r="E1131" s="3">
        <v>43811</v>
      </c>
      <c r="F1131" t="s">
        <v>1956</v>
      </c>
      <c r="G1131" t="s">
        <v>1957</v>
      </c>
      <c r="H1131" t="s">
        <v>45</v>
      </c>
      <c r="I1131" s="3">
        <v>10012</v>
      </c>
      <c r="J1131" s="3">
        <v>1005240001</v>
      </c>
      <c r="K1131" s="3">
        <v>1008241</v>
      </c>
      <c r="L1131" t="s">
        <v>161</v>
      </c>
      <c r="M1131" s="4">
        <v>2</v>
      </c>
      <c r="N1131" t="s">
        <v>1958</v>
      </c>
      <c r="O1131" t="s">
        <v>1033</v>
      </c>
      <c r="P1131" s="4">
        <v>40.727573</v>
      </c>
      <c r="Q1131" s="4">
        <v>-73.999360999999993</v>
      </c>
      <c r="R1131" s="4">
        <v>40.727136999999999</v>
      </c>
      <c r="S1131" s="4">
        <v>-73.999021999999997</v>
      </c>
      <c r="T1131" s="2">
        <v>42356</v>
      </c>
      <c r="U1131" t="s">
        <v>49</v>
      </c>
      <c r="V1131" t="s">
        <v>71</v>
      </c>
      <c r="W1131" t="s">
        <v>51</v>
      </c>
      <c r="Y1131" s="4">
        <v>175</v>
      </c>
      <c r="AE1131" s="4">
        <v>58</v>
      </c>
      <c r="AF1131" s="4">
        <v>59</v>
      </c>
      <c r="AG1131" s="4">
        <v>58</v>
      </c>
      <c r="AM1131" s="4">
        <v>175</v>
      </c>
      <c r="AN1131" s="4">
        <v>175</v>
      </c>
      <c r="AO1131" s="4">
        <v>175</v>
      </c>
    </row>
    <row r="1132" spans="1:41" hidden="1" x14ac:dyDescent="0.2">
      <c r="A1132" t="s">
        <v>1959</v>
      </c>
      <c r="B1132" t="s">
        <v>1960</v>
      </c>
      <c r="C1132" s="2">
        <v>42332</v>
      </c>
      <c r="D1132" s="2">
        <v>43286</v>
      </c>
      <c r="E1132" s="3">
        <v>968932</v>
      </c>
      <c r="F1132" t="s">
        <v>1018</v>
      </c>
      <c r="G1132" t="s">
        <v>121</v>
      </c>
      <c r="H1132" t="s">
        <v>45</v>
      </c>
      <c r="I1132" s="3">
        <v>10002</v>
      </c>
      <c r="J1132" s="3">
        <v>1004097502</v>
      </c>
      <c r="K1132" s="3">
        <v>1089450</v>
      </c>
      <c r="L1132" t="s">
        <v>64</v>
      </c>
      <c r="M1132" s="4">
        <v>1</v>
      </c>
      <c r="N1132" t="s">
        <v>785</v>
      </c>
      <c r="O1132" t="s">
        <v>66</v>
      </c>
      <c r="P1132" s="4">
        <v>40.717844999999997</v>
      </c>
      <c r="Q1132" s="4">
        <v>-73.989278999999996</v>
      </c>
      <c r="R1132" s="4">
        <v>40.718058999999997</v>
      </c>
      <c r="S1132" s="4">
        <v>-73.989007999999998</v>
      </c>
      <c r="T1132" s="2">
        <v>43286</v>
      </c>
      <c r="U1132" t="s">
        <v>117</v>
      </c>
      <c r="V1132" t="s">
        <v>71</v>
      </c>
      <c r="W1132" t="s">
        <v>51</v>
      </c>
      <c r="AA1132" s="4">
        <v>11</v>
      </c>
      <c r="AE1132" s="4">
        <v>5</v>
      </c>
      <c r="AF1132" s="4">
        <v>4</v>
      </c>
      <c r="AG1132" s="4">
        <v>2</v>
      </c>
      <c r="AM1132" s="4">
        <v>11</v>
      </c>
      <c r="AN1132" s="4">
        <v>11</v>
      </c>
      <c r="AO1132" s="4">
        <v>55</v>
      </c>
    </row>
    <row r="1133" spans="1:41" hidden="1" x14ac:dyDescent="0.2">
      <c r="A1133" t="s">
        <v>1961</v>
      </c>
      <c r="B1133" t="s">
        <v>140</v>
      </c>
      <c r="C1133" s="2">
        <v>42332</v>
      </c>
      <c r="D1133" s="2">
        <v>42332</v>
      </c>
      <c r="F1133" t="s">
        <v>141</v>
      </c>
      <c r="G1133" t="s">
        <v>141</v>
      </c>
      <c r="H1133" t="s">
        <v>45</v>
      </c>
      <c r="L1133" t="s">
        <v>107</v>
      </c>
      <c r="M1133" s="4">
        <v>5</v>
      </c>
      <c r="T1133" s="2">
        <v>42332</v>
      </c>
      <c r="U1133" t="s">
        <v>117</v>
      </c>
      <c r="V1133" t="s">
        <v>71</v>
      </c>
      <c r="W1133" t="s">
        <v>51</v>
      </c>
      <c r="Z1133" s="4">
        <v>1</v>
      </c>
      <c r="AE1133" s="4">
        <v>1</v>
      </c>
      <c r="AM1133" s="4">
        <v>1</v>
      </c>
      <c r="AN1133" s="4">
        <v>1</v>
      </c>
      <c r="AO1133" s="4">
        <v>1</v>
      </c>
    </row>
    <row r="1134" spans="1:41" hidden="1" x14ac:dyDescent="0.2">
      <c r="A1134" t="s">
        <v>1962</v>
      </c>
      <c r="B1134" t="s">
        <v>1963</v>
      </c>
      <c r="C1134" s="2">
        <v>42331</v>
      </c>
      <c r="D1134" s="2">
        <v>44237</v>
      </c>
      <c r="E1134" s="3">
        <v>966743</v>
      </c>
      <c r="F1134" t="s">
        <v>1964</v>
      </c>
      <c r="G1134" t="s">
        <v>940</v>
      </c>
      <c r="H1134" t="s">
        <v>45</v>
      </c>
      <c r="I1134" s="3">
        <v>10001</v>
      </c>
      <c r="J1134" s="3">
        <v>1007027502</v>
      </c>
      <c r="K1134" s="3">
        <v>1089411</v>
      </c>
      <c r="L1134" t="s">
        <v>78</v>
      </c>
      <c r="M1134" s="4">
        <v>3</v>
      </c>
      <c r="N1134" t="s">
        <v>780</v>
      </c>
      <c r="O1134" t="s">
        <v>183</v>
      </c>
      <c r="P1134" s="4">
        <v>40.753017</v>
      </c>
      <c r="Q1134" s="4">
        <v>-74.003226999999995</v>
      </c>
      <c r="R1134" s="4">
        <v>40.753267000000001</v>
      </c>
      <c r="S1134" s="4">
        <v>-74.002841000000004</v>
      </c>
      <c r="T1134" s="2">
        <v>44237</v>
      </c>
      <c r="U1134" t="s">
        <v>117</v>
      </c>
      <c r="V1134" t="s">
        <v>71</v>
      </c>
      <c r="W1134" t="s">
        <v>51</v>
      </c>
      <c r="Z1134" s="4">
        <v>106</v>
      </c>
      <c r="AD1134" s="4">
        <v>24</v>
      </c>
      <c r="AE1134" s="4">
        <v>29</v>
      </c>
      <c r="AF1134" s="4">
        <v>53</v>
      </c>
      <c r="AL1134" s="4">
        <v>106</v>
      </c>
      <c r="AN1134" s="4">
        <v>106</v>
      </c>
      <c r="AO1134" s="4">
        <v>106</v>
      </c>
    </row>
    <row r="1135" spans="1:41" hidden="1" x14ac:dyDescent="0.2">
      <c r="A1135" t="s">
        <v>1965</v>
      </c>
      <c r="B1135" t="s">
        <v>1966</v>
      </c>
      <c r="C1135" s="2">
        <v>42310</v>
      </c>
      <c r="D1135" s="2">
        <v>43089</v>
      </c>
      <c r="E1135" s="3">
        <v>805885</v>
      </c>
      <c r="F1135" t="s">
        <v>960</v>
      </c>
      <c r="G1135" t="s">
        <v>961</v>
      </c>
      <c r="H1135" t="s">
        <v>45</v>
      </c>
      <c r="I1135" s="3">
        <v>10026</v>
      </c>
      <c r="J1135" s="3">
        <v>1017170022</v>
      </c>
      <c r="K1135" s="3">
        <v>1083960</v>
      </c>
      <c r="L1135" t="s">
        <v>146</v>
      </c>
      <c r="M1135" s="4">
        <v>9</v>
      </c>
      <c r="N1135" t="s">
        <v>275</v>
      </c>
      <c r="O1135" t="s">
        <v>148</v>
      </c>
      <c r="P1135" s="4">
        <v>40.802467999999998</v>
      </c>
      <c r="Q1135" s="4">
        <v>-73.946657999999999</v>
      </c>
      <c r="R1135" s="4">
        <v>40.802657000000004</v>
      </c>
      <c r="S1135" s="4">
        <v>-73.946552999999994</v>
      </c>
      <c r="T1135" s="2">
        <v>43089</v>
      </c>
      <c r="U1135" t="s">
        <v>49</v>
      </c>
      <c r="V1135" t="s">
        <v>71</v>
      </c>
      <c r="W1135" t="s">
        <v>51</v>
      </c>
      <c r="X1135" s="4">
        <v>34</v>
      </c>
      <c r="AC1135" s="4">
        <v>1</v>
      </c>
      <c r="AD1135" s="4">
        <v>3</v>
      </c>
      <c r="AE1135" s="4">
        <v>3</v>
      </c>
      <c r="AF1135" s="4">
        <v>29</v>
      </c>
      <c r="AL1135" s="4">
        <v>35</v>
      </c>
      <c r="AN1135" s="4">
        <v>35</v>
      </c>
      <c r="AO1135" s="4">
        <v>35</v>
      </c>
    </row>
    <row r="1136" spans="1:41" hidden="1" x14ac:dyDescent="0.2">
      <c r="A1136" t="s">
        <v>1967</v>
      </c>
      <c r="B1136" t="s">
        <v>1968</v>
      </c>
      <c r="C1136" s="2">
        <v>42307</v>
      </c>
      <c r="D1136" s="2">
        <v>44362</v>
      </c>
      <c r="E1136" s="3">
        <v>39477</v>
      </c>
      <c r="F1136" t="s">
        <v>1062</v>
      </c>
      <c r="G1136" t="s">
        <v>260</v>
      </c>
      <c r="H1136" t="s">
        <v>45</v>
      </c>
      <c r="I1136" s="3">
        <v>10027</v>
      </c>
      <c r="J1136" s="3">
        <v>1019317501</v>
      </c>
      <c r="K1136" s="3">
        <v>1058657</v>
      </c>
      <c r="L1136" t="s">
        <v>146</v>
      </c>
      <c r="M1136" s="4">
        <v>9</v>
      </c>
      <c r="N1136" t="s">
        <v>147</v>
      </c>
      <c r="O1136" t="s">
        <v>148</v>
      </c>
      <c r="P1136" s="4">
        <v>40.809462000000003</v>
      </c>
      <c r="Q1136" s="4">
        <v>-73.949462999999994</v>
      </c>
      <c r="R1136" s="4">
        <v>40.809953999999998</v>
      </c>
      <c r="S1136" s="4">
        <v>-73.949365</v>
      </c>
      <c r="U1136" t="s">
        <v>117</v>
      </c>
      <c r="V1136" t="s">
        <v>71</v>
      </c>
      <c r="W1136" t="s">
        <v>123</v>
      </c>
      <c r="Y1136" s="4">
        <v>41</v>
      </c>
      <c r="Z1136" s="4">
        <v>24</v>
      </c>
      <c r="AD1136" s="4">
        <v>16</v>
      </c>
      <c r="AE1136" s="4">
        <v>20</v>
      </c>
      <c r="AF1136" s="4">
        <v>29</v>
      </c>
      <c r="AL1136" s="4">
        <v>65</v>
      </c>
      <c r="AN1136" s="4">
        <v>65</v>
      </c>
      <c r="AO1136" s="4">
        <v>191</v>
      </c>
    </row>
    <row r="1137" spans="1:41" hidden="1" x14ac:dyDescent="0.2">
      <c r="A1137" t="s">
        <v>1969</v>
      </c>
      <c r="B1137" t="s">
        <v>1970</v>
      </c>
      <c r="C1137" s="2">
        <v>42277</v>
      </c>
      <c r="D1137" s="2">
        <v>43699</v>
      </c>
      <c r="E1137" s="3">
        <v>957047</v>
      </c>
      <c r="F1137" t="s">
        <v>1971</v>
      </c>
      <c r="G1137" t="s">
        <v>106</v>
      </c>
      <c r="H1137" t="s">
        <v>45</v>
      </c>
      <c r="I1137" s="3">
        <v>10128</v>
      </c>
      <c r="J1137" s="3">
        <v>1015550001</v>
      </c>
      <c r="K1137" s="3">
        <v>1090538</v>
      </c>
      <c r="L1137" t="s">
        <v>107</v>
      </c>
      <c r="M1137" s="4">
        <v>5</v>
      </c>
      <c r="N1137" t="s">
        <v>108</v>
      </c>
      <c r="O1137" t="s">
        <v>109</v>
      </c>
      <c r="P1137" s="4">
        <v>40.781779</v>
      </c>
      <c r="Q1137" s="4">
        <v>-73.948884000000007</v>
      </c>
      <c r="R1137" s="4">
        <v>40.781655000000001</v>
      </c>
      <c r="S1137" s="4">
        <v>-73.948573999999994</v>
      </c>
      <c r="T1137" s="2">
        <v>43699</v>
      </c>
      <c r="U1137" t="s">
        <v>117</v>
      </c>
      <c r="V1137" t="s">
        <v>71</v>
      </c>
      <c r="W1137" t="s">
        <v>51</v>
      </c>
      <c r="Z1137" s="4">
        <v>22</v>
      </c>
      <c r="AF1137" s="4">
        <v>19</v>
      </c>
      <c r="AG1137" s="4">
        <v>3</v>
      </c>
      <c r="AL1137" s="4">
        <v>22</v>
      </c>
      <c r="AN1137" s="4">
        <v>22</v>
      </c>
      <c r="AO1137" s="4">
        <v>22</v>
      </c>
    </row>
    <row r="1138" spans="1:41" hidden="1" x14ac:dyDescent="0.2">
      <c r="A1138" t="s">
        <v>1969</v>
      </c>
      <c r="B1138" t="s">
        <v>1970</v>
      </c>
      <c r="C1138" s="2">
        <v>42277</v>
      </c>
      <c r="D1138" s="2">
        <v>43699</v>
      </c>
      <c r="E1138" s="3">
        <v>968239</v>
      </c>
      <c r="F1138" t="s">
        <v>293</v>
      </c>
      <c r="G1138" t="s">
        <v>106</v>
      </c>
      <c r="H1138" t="s">
        <v>45</v>
      </c>
      <c r="I1138" s="3">
        <v>10128</v>
      </c>
      <c r="J1138" s="3">
        <v>1015557502</v>
      </c>
      <c r="K1138" s="3">
        <v>1090539</v>
      </c>
      <c r="L1138" t="s">
        <v>107</v>
      </c>
      <c r="M1138" s="4">
        <v>5</v>
      </c>
      <c r="N1138" t="s">
        <v>108</v>
      </c>
      <c r="O1138" t="s">
        <v>109</v>
      </c>
      <c r="P1138" s="4">
        <v>40.781820000000003</v>
      </c>
      <c r="Q1138" s="4">
        <v>-73.948854999999995</v>
      </c>
      <c r="R1138" s="4">
        <v>40.781720999999997</v>
      </c>
      <c r="S1138" s="4">
        <v>-73.948522999999994</v>
      </c>
      <c r="T1138" s="2">
        <v>43699</v>
      </c>
      <c r="U1138" t="s">
        <v>117</v>
      </c>
      <c r="V1138" t="s">
        <v>71</v>
      </c>
      <c r="W1138" t="s">
        <v>51</v>
      </c>
      <c r="Z1138" s="4">
        <v>6</v>
      </c>
      <c r="AD1138" s="4">
        <v>5</v>
      </c>
      <c r="AE1138" s="4">
        <v>1</v>
      </c>
      <c r="AL1138" s="4">
        <v>6</v>
      </c>
      <c r="AN1138" s="4">
        <v>6</v>
      </c>
      <c r="AO1138" s="4">
        <v>6</v>
      </c>
    </row>
    <row r="1139" spans="1:41" hidden="1" x14ac:dyDescent="0.2">
      <c r="A1139" t="s">
        <v>1972</v>
      </c>
      <c r="B1139" t="s">
        <v>1973</v>
      </c>
      <c r="C1139" s="2">
        <v>42248</v>
      </c>
      <c r="D1139" s="2">
        <v>43629</v>
      </c>
      <c r="E1139" s="3">
        <v>957473</v>
      </c>
      <c r="F1139" t="s">
        <v>1143</v>
      </c>
      <c r="G1139" t="s">
        <v>1974</v>
      </c>
      <c r="H1139" t="s">
        <v>45</v>
      </c>
      <c r="I1139" s="3">
        <v>10001</v>
      </c>
      <c r="J1139" s="3">
        <v>1008340069</v>
      </c>
      <c r="K1139" s="3">
        <v>1015855</v>
      </c>
      <c r="L1139" t="s">
        <v>655</v>
      </c>
      <c r="M1139" s="4">
        <v>4</v>
      </c>
      <c r="N1139" t="s">
        <v>1975</v>
      </c>
      <c r="O1139" t="s">
        <v>1127</v>
      </c>
      <c r="P1139" s="4">
        <v>40.748606000000002</v>
      </c>
      <c r="Q1139" s="4">
        <v>-73.987060999999997</v>
      </c>
      <c r="R1139" s="4">
        <v>40.748410999999997</v>
      </c>
      <c r="S1139" s="4">
        <v>-73.987122999999997</v>
      </c>
      <c r="T1139" s="2">
        <v>43629</v>
      </c>
      <c r="U1139" t="s">
        <v>117</v>
      </c>
      <c r="V1139" t="s">
        <v>71</v>
      </c>
      <c r="W1139" t="s">
        <v>51</v>
      </c>
      <c r="Z1139" s="4">
        <v>45</v>
      </c>
      <c r="AD1139" s="4">
        <v>14</v>
      </c>
      <c r="AE1139" s="4">
        <v>26</v>
      </c>
      <c r="AF1139" s="4">
        <v>5</v>
      </c>
      <c r="AL1139" s="4">
        <v>45</v>
      </c>
      <c r="AN1139" s="4">
        <v>45</v>
      </c>
      <c r="AO1139" s="4">
        <v>223</v>
      </c>
    </row>
    <row r="1140" spans="1:41" hidden="1" x14ac:dyDescent="0.2">
      <c r="A1140" t="s">
        <v>1976</v>
      </c>
      <c r="B1140" t="s">
        <v>1977</v>
      </c>
      <c r="C1140" s="2">
        <v>42228</v>
      </c>
      <c r="D1140" s="2">
        <v>43678</v>
      </c>
      <c r="E1140" s="3">
        <v>990511</v>
      </c>
      <c r="F1140" t="s">
        <v>1600</v>
      </c>
      <c r="G1140" t="s">
        <v>1978</v>
      </c>
      <c r="H1140" t="s">
        <v>45</v>
      </c>
      <c r="I1140" s="3">
        <v>10018</v>
      </c>
      <c r="J1140" s="3">
        <v>1007080020</v>
      </c>
      <c r="K1140" s="3">
        <v>1089736</v>
      </c>
      <c r="L1140" t="s">
        <v>78</v>
      </c>
      <c r="M1140" s="4">
        <v>3</v>
      </c>
      <c r="N1140" t="s">
        <v>780</v>
      </c>
      <c r="O1140" t="s">
        <v>183</v>
      </c>
      <c r="P1140" s="4">
        <v>40.756321999999997</v>
      </c>
      <c r="Q1140" s="4">
        <v>-73.999267000000003</v>
      </c>
      <c r="R1140" s="4">
        <v>40.756503000000002</v>
      </c>
      <c r="S1140" s="4">
        <v>-73.998997000000003</v>
      </c>
      <c r="T1140" s="2">
        <v>43678</v>
      </c>
      <c r="U1140" t="s">
        <v>117</v>
      </c>
      <c r="V1140" t="s">
        <v>71</v>
      </c>
      <c r="W1140" t="s">
        <v>51</v>
      </c>
      <c r="Y1140" s="4">
        <v>25</v>
      </c>
      <c r="Z1140" s="4">
        <v>25</v>
      </c>
      <c r="AB1140" s="4">
        <v>13</v>
      </c>
      <c r="AD1140" s="4">
        <v>12</v>
      </c>
      <c r="AE1140" s="4">
        <v>36</v>
      </c>
      <c r="AF1140" s="4">
        <v>15</v>
      </c>
      <c r="AL1140" s="4">
        <v>63</v>
      </c>
      <c r="AN1140" s="4">
        <v>63</v>
      </c>
      <c r="AO1140" s="4">
        <v>251</v>
      </c>
    </row>
    <row r="1141" spans="1:41" hidden="1" x14ac:dyDescent="0.2">
      <c r="A1141" t="s">
        <v>1979</v>
      </c>
      <c r="B1141" t="s">
        <v>1980</v>
      </c>
      <c r="C1141" s="2">
        <v>42222</v>
      </c>
      <c r="D1141" s="2">
        <v>43389</v>
      </c>
      <c r="E1141" s="3">
        <v>927015</v>
      </c>
      <c r="F1141" t="s">
        <v>420</v>
      </c>
      <c r="G1141" t="s">
        <v>1981</v>
      </c>
      <c r="H1141" t="s">
        <v>45</v>
      </c>
      <c r="I1141" s="3">
        <v>10002</v>
      </c>
      <c r="J1141" s="3">
        <v>1002487501</v>
      </c>
      <c r="K1141" s="3">
        <v>1089772</v>
      </c>
      <c r="L1141" t="s">
        <v>64</v>
      </c>
      <c r="M1141" s="4">
        <v>1</v>
      </c>
      <c r="N1141" t="s">
        <v>484</v>
      </c>
      <c r="O1141" t="s">
        <v>485</v>
      </c>
      <c r="P1141" s="4">
        <v>40.711063000000003</v>
      </c>
      <c r="Q1141" s="4">
        <v>-73.990885000000006</v>
      </c>
      <c r="R1141" s="4">
        <v>40.710456999999998</v>
      </c>
      <c r="S1141" s="4">
        <v>-73.991238999999993</v>
      </c>
      <c r="T1141" s="2">
        <v>43389</v>
      </c>
      <c r="U1141" t="s">
        <v>117</v>
      </c>
      <c r="V1141" t="s">
        <v>71</v>
      </c>
      <c r="W1141" t="s">
        <v>51</v>
      </c>
      <c r="Z1141" s="4">
        <v>204</v>
      </c>
      <c r="AD1141" s="4">
        <v>49</v>
      </c>
      <c r="AE1141" s="4">
        <v>51</v>
      </c>
      <c r="AF1141" s="4">
        <v>104</v>
      </c>
      <c r="AL1141" s="4">
        <v>204</v>
      </c>
      <c r="AN1141" s="4">
        <v>204</v>
      </c>
      <c r="AO1141" s="4">
        <v>205</v>
      </c>
    </row>
    <row r="1142" spans="1:41" hidden="1" x14ac:dyDescent="0.2">
      <c r="A1142" t="s">
        <v>1982</v>
      </c>
      <c r="B1142" t="s">
        <v>1983</v>
      </c>
      <c r="C1142" s="2">
        <v>42187</v>
      </c>
      <c r="D1142" s="2">
        <v>42951</v>
      </c>
      <c r="E1142" s="3">
        <v>40680</v>
      </c>
      <c r="F1142" t="s">
        <v>850</v>
      </c>
      <c r="G1142" t="s">
        <v>321</v>
      </c>
      <c r="H1142" t="s">
        <v>45</v>
      </c>
      <c r="I1142" s="3">
        <v>10031</v>
      </c>
      <c r="J1142" s="3">
        <v>1019870041</v>
      </c>
      <c r="K1142" s="3">
        <v>1059745</v>
      </c>
      <c r="L1142" t="s">
        <v>169</v>
      </c>
      <c r="M1142" s="4">
        <v>7</v>
      </c>
      <c r="N1142" t="s">
        <v>170</v>
      </c>
      <c r="O1142" t="s">
        <v>171</v>
      </c>
      <c r="P1142" s="4">
        <v>40.818530000000003</v>
      </c>
      <c r="Q1142" s="4">
        <v>-73.953447999999995</v>
      </c>
      <c r="R1142" s="4">
        <v>40.818384999999999</v>
      </c>
      <c r="S1142" s="4">
        <v>-73.953687000000002</v>
      </c>
      <c r="T1142" s="2">
        <v>42951</v>
      </c>
      <c r="U1142" t="s">
        <v>49</v>
      </c>
      <c r="V1142" t="s">
        <v>71</v>
      </c>
      <c r="W1142" t="s">
        <v>51</v>
      </c>
      <c r="Z1142" s="4">
        <v>11</v>
      </c>
      <c r="AA1142" s="4">
        <v>4</v>
      </c>
      <c r="AF1142" s="4">
        <v>2</v>
      </c>
      <c r="AG1142" s="4">
        <v>13</v>
      </c>
      <c r="AM1142" s="4">
        <v>15</v>
      </c>
      <c r="AN1142" s="4">
        <v>15</v>
      </c>
      <c r="AO1142" s="4">
        <v>15</v>
      </c>
    </row>
    <row r="1143" spans="1:41" hidden="1" x14ac:dyDescent="0.2">
      <c r="A1143" t="s">
        <v>1984</v>
      </c>
      <c r="B1143" t="s">
        <v>1985</v>
      </c>
      <c r="C1143" s="2">
        <v>42185</v>
      </c>
      <c r="D1143" s="2">
        <v>43199</v>
      </c>
      <c r="E1143" s="3">
        <v>11915</v>
      </c>
      <c r="F1143" t="s">
        <v>147</v>
      </c>
      <c r="G1143" t="s">
        <v>1229</v>
      </c>
      <c r="H1143" t="s">
        <v>45</v>
      </c>
      <c r="I1143" s="3">
        <v>10003</v>
      </c>
      <c r="J1143" s="3">
        <v>1004680020</v>
      </c>
      <c r="K1143" s="3">
        <v>1006860</v>
      </c>
      <c r="L1143" t="s">
        <v>64</v>
      </c>
      <c r="M1143" s="4">
        <v>2</v>
      </c>
      <c r="N1143" t="s">
        <v>1986</v>
      </c>
      <c r="O1143" t="s">
        <v>197</v>
      </c>
      <c r="P1143" s="4">
        <v>40.732306999999999</v>
      </c>
      <c r="Q1143" s="4">
        <v>-73.986999999999995</v>
      </c>
      <c r="R1143" s="4">
        <v>40.732030000000002</v>
      </c>
      <c r="S1143" s="4">
        <v>-73.986924000000002</v>
      </c>
      <c r="T1143" s="2">
        <v>43199</v>
      </c>
      <c r="U1143" t="s">
        <v>49</v>
      </c>
      <c r="V1143" t="s">
        <v>71</v>
      </c>
      <c r="W1143" t="s">
        <v>51</v>
      </c>
      <c r="X1143" s="4">
        <v>18</v>
      </c>
      <c r="AD1143" s="4">
        <v>18</v>
      </c>
      <c r="AL1143" s="4">
        <v>18</v>
      </c>
      <c r="AN1143" s="4">
        <v>18</v>
      </c>
      <c r="AO1143" s="4">
        <v>18</v>
      </c>
    </row>
    <row r="1144" spans="1:41" hidden="1" x14ac:dyDescent="0.2">
      <c r="A1144" t="s">
        <v>1987</v>
      </c>
      <c r="B1144" t="s">
        <v>1988</v>
      </c>
      <c r="C1144" s="2">
        <v>42185</v>
      </c>
      <c r="D1144" s="2">
        <v>43390</v>
      </c>
      <c r="E1144" s="3">
        <v>3611</v>
      </c>
      <c r="F1144" t="s">
        <v>1989</v>
      </c>
      <c r="G1144" t="s">
        <v>255</v>
      </c>
      <c r="H1144" t="s">
        <v>45</v>
      </c>
      <c r="I1144" s="3">
        <v>10030</v>
      </c>
      <c r="J1144" s="3">
        <v>1020300029</v>
      </c>
      <c r="K1144" s="3">
        <v>1060456</v>
      </c>
      <c r="L1144" t="s">
        <v>146</v>
      </c>
      <c r="M1144" s="4">
        <v>9</v>
      </c>
      <c r="N1144" t="s">
        <v>425</v>
      </c>
      <c r="O1144" t="s">
        <v>177</v>
      </c>
      <c r="P1144" s="4">
        <v>40.821117000000001</v>
      </c>
      <c r="Q1144" s="4">
        <v>-73.939468000000005</v>
      </c>
      <c r="R1144" s="4">
        <v>40.821244</v>
      </c>
      <c r="S1144" s="4">
        <v>-73.939864999999998</v>
      </c>
      <c r="T1144" s="2">
        <v>43390</v>
      </c>
      <c r="U1144" t="s">
        <v>49</v>
      </c>
      <c r="V1144" t="s">
        <v>71</v>
      </c>
      <c r="W1144" t="s">
        <v>51</v>
      </c>
      <c r="Y1144" s="4">
        <v>2</v>
      </c>
      <c r="Z1144" s="4">
        <v>18</v>
      </c>
      <c r="AF1144" s="4">
        <v>5</v>
      </c>
      <c r="AG1144" s="4">
        <v>10</v>
      </c>
      <c r="AH1144" s="4">
        <v>5</v>
      </c>
      <c r="AL1144" s="4">
        <v>20</v>
      </c>
      <c r="AN1144" s="4">
        <v>20</v>
      </c>
      <c r="AO1144" s="4">
        <v>20</v>
      </c>
    </row>
    <row r="1145" spans="1:41" hidden="1" x14ac:dyDescent="0.2">
      <c r="A1145" t="s">
        <v>1987</v>
      </c>
      <c r="B1145" t="s">
        <v>1988</v>
      </c>
      <c r="C1145" s="2">
        <v>42185</v>
      </c>
      <c r="D1145" s="2">
        <v>43390</v>
      </c>
      <c r="E1145" s="3">
        <v>3962</v>
      </c>
      <c r="F1145" t="s">
        <v>346</v>
      </c>
      <c r="G1145" t="s">
        <v>300</v>
      </c>
      <c r="H1145" t="s">
        <v>45</v>
      </c>
      <c r="I1145" s="3">
        <v>10026</v>
      </c>
      <c r="J1145" s="3">
        <v>1019220001</v>
      </c>
      <c r="K1145" s="3">
        <v>1058363</v>
      </c>
      <c r="L1145" t="s">
        <v>146</v>
      </c>
      <c r="M1145" s="4">
        <v>9</v>
      </c>
      <c r="N1145" t="s">
        <v>318</v>
      </c>
      <c r="O1145" t="s">
        <v>148</v>
      </c>
      <c r="P1145" s="4">
        <v>40.804274999999997</v>
      </c>
      <c r="Q1145" s="4">
        <v>-73.954999999999998</v>
      </c>
      <c r="R1145" s="4">
        <v>40.804563000000002</v>
      </c>
      <c r="S1145" s="4">
        <v>-73.954971</v>
      </c>
      <c r="T1145" s="2">
        <v>43390</v>
      </c>
      <c r="U1145" t="s">
        <v>49</v>
      </c>
      <c r="V1145" t="s">
        <v>71</v>
      </c>
      <c r="W1145" t="s">
        <v>51</v>
      </c>
      <c r="X1145" s="4">
        <v>1</v>
      </c>
      <c r="Y1145" s="4">
        <v>4</v>
      </c>
      <c r="Z1145" s="4">
        <v>10</v>
      </c>
      <c r="AA1145" s="4">
        <v>1</v>
      </c>
      <c r="AF1145" s="4">
        <v>4</v>
      </c>
      <c r="AG1145" s="4">
        <v>12</v>
      </c>
      <c r="AL1145" s="4">
        <v>16</v>
      </c>
      <c r="AN1145" s="4">
        <v>16</v>
      </c>
      <c r="AO1145" s="4">
        <v>16</v>
      </c>
    </row>
    <row r="1146" spans="1:41" hidden="1" x14ac:dyDescent="0.2">
      <c r="A1146" t="s">
        <v>1987</v>
      </c>
      <c r="B1146" t="s">
        <v>1988</v>
      </c>
      <c r="C1146" s="2">
        <v>42185</v>
      </c>
      <c r="D1146" s="2">
        <v>43390</v>
      </c>
      <c r="E1146" s="3">
        <v>7479</v>
      </c>
      <c r="F1146" t="s">
        <v>544</v>
      </c>
      <c r="G1146" t="s">
        <v>810</v>
      </c>
      <c r="H1146" t="s">
        <v>45</v>
      </c>
      <c r="I1146" s="3">
        <v>10039</v>
      </c>
      <c r="J1146" s="3">
        <v>1020470020</v>
      </c>
      <c r="K1146" s="3">
        <v>1060891</v>
      </c>
      <c r="L1146" t="s">
        <v>146</v>
      </c>
      <c r="M1146" s="4">
        <v>9</v>
      </c>
      <c r="N1146" t="s">
        <v>176</v>
      </c>
      <c r="O1146" t="s">
        <v>177</v>
      </c>
      <c r="P1146" s="4">
        <v>40.828744999999998</v>
      </c>
      <c r="Q1146" s="4">
        <v>-73.939052000000004</v>
      </c>
      <c r="R1146" s="4">
        <v>40.828722999999997</v>
      </c>
      <c r="S1146" s="4">
        <v>-73.938861000000003</v>
      </c>
      <c r="T1146" s="2">
        <v>43390</v>
      </c>
      <c r="U1146" t="s">
        <v>49</v>
      </c>
      <c r="V1146" t="s">
        <v>71</v>
      </c>
      <c r="W1146" t="s">
        <v>51</v>
      </c>
      <c r="Y1146" s="4">
        <v>7</v>
      </c>
      <c r="Z1146" s="4">
        <v>18</v>
      </c>
      <c r="AE1146" s="4">
        <v>1</v>
      </c>
      <c r="AF1146" s="4">
        <v>14</v>
      </c>
      <c r="AG1146" s="4">
        <v>10</v>
      </c>
      <c r="AL1146" s="4">
        <v>25</v>
      </c>
      <c r="AN1146" s="4">
        <v>25</v>
      </c>
      <c r="AO1146" s="4">
        <v>25</v>
      </c>
    </row>
    <row r="1147" spans="1:41" hidden="1" x14ac:dyDescent="0.2">
      <c r="A1147" t="s">
        <v>1987</v>
      </c>
      <c r="B1147" t="s">
        <v>1988</v>
      </c>
      <c r="C1147" s="2">
        <v>42185</v>
      </c>
      <c r="D1147" s="2">
        <v>43390</v>
      </c>
      <c r="E1147" s="3">
        <v>21286</v>
      </c>
      <c r="F1147" t="s">
        <v>1951</v>
      </c>
      <c r="G1147" t="s">
        <v>1094</v>
      </c>
      <c r="H1147" t="s">
        <v>45</v>
      </c>
      <c r="I1147" s="3">
        <v>10031</v>
      </c>
      <c r="J1147" s="3">
        <v>1020540022</v>
      </c>
      <c r="K1147" s="3">
        <v>1061170</v>
      </c>
      <c r="L1147" t="s">
        <v>169</v>
      </c>
      <c r="M1147" s="4">
        <v>9</v>
      </c>
      <c r="N1147" t="s">
        <v>897</v>
      </c>
      <c r="O1147" t="s">
        <v>232</v>
      </c>
      <c r="P1147" s="4">
        <v>40.827955000000003</v>
      </c>
      <c r="Q1147" s="4">
        <v>-73.940721999999994</v>
      </c>
      <c r="R1147" s="4">
        <v>40.828161000000001</v>
      </c>
      <c r="S1147" s="4">
        <v>-73.940916999999999</v>
      </c>
      <c r="T1147" s="2">
        <v>43390</v>
      </c>
      <c r="U1147" t="s">
        <v>49</v>
      </c>
      <c r="V1147" t="s">
        <v>71</v>
      </c>
      <c r="W1147" t="s">
        <v>51</v>
      </c>
      <c r="X1147" s="4">
        <v>1</v>
      </c>
      <c r="Y1147" s="4">
        <v>7</v>
      </c>
      <c r="Z1147" s="4">
        <v>7</v>
      </c>
      <c r="AC1147" s="4">
        <v>1</v>
      </c>
      <c r="AF1147" s="4">
        <v>3</v>
      </c>
      <c r="AG1147" s="4">
        <v>5</v>
      </c>
      <c r="AH1147" s="4">
        <v>8</v>
      </c>
      <c r="AL1147" s="4">
        <v>16</v>
      </c>
      <c r="AN1147" s="4">
        <v>16</v>
      </c>
      <c r="AO1147" s="4">
        <v>16</v>
      </c>
    </row>
    <row r="1148" spans="1:41" hidden="1" x14ac:dyDescent="0.2">
      <c r="A1148" t="s">
        <v>1990</v>
      </c>
      <c r="B1148" t="s">
        <v>1991</v>
      </c>
      <c r="C1148" s="2">
        <v>42185</v>
      </c>
      <c r="D1148" s="2">
        <v>43312</v>
      </c>
      <c r="E1148" s="3">
        <v>967329</v>
      </c>
      <c r="F1148" t="s">
        <v>120</v>
      </c>
      <c r="G1148" t="s">
        <v>1699</v>
      </c>
      <c r="H1148" t="s">
        <v>45</v>
      </c>
      <c r="I1148" s="3">
        <v>10002</v>
      </c>
      <c r="J1148" s="3">
        <v>1003467501</v>
      </c>
      <c r="K1148" s="3">
        <v>1089660</v>
      </c>
      <c r="L1148" t="s">
        <v>64</v>
      </c>
      <c r="M1148" s="4">
        <v>1</v>
      </c>
      <c r="N1148" t="s">
        <v>122</v>
      </c>
      <c r="O1148" t="s">
        <v>66</v>
      </c>
      <c r="P1148" s="4">
        <v>40.716610000000003</v>
      </c>
      <c r="Q1148" s="4">
        <v>-73.986374999999995</v>
      </c>
      <c r="R1148" s="4">
        <v>40.716582000000002</v>
      </c>
      <c r="S1148" s="4">
        <v>-73.986756999999997</v>
      </c>
      <c r="T1148" s="2">
        <v>43312</v>
      </c>
      <c r="U1148" t="s">
        <v>117</v>
      </c>
      <c r="V1148" t="s">
        <v>71</v>
      </c>
      <c r="W1148" t="s">
        <v>51</v>
      </c>
      <c r="Y1148" s="4">
        <v>6</v>
      </c>
      <c r="Z1148" s="4">
        <v>53</v>
      </c>
      <c r="AA1148" s="4">
        <v>17</v>
      </c>
      <c r="AB1148" s="4">
        <v>28</v>
      </c>
      <c r="AD1148" s="4">
        <v>40</v>
      </c>
      <c r="AE1148" s="4">
        <v>17</v>
      </c>
      <c r="AF1148" s="4">
        <v>42</v>
      </c>
      <c r="AG1148" s="4">
        <v>5</v>
      </c>
      <c r="AL1148" s="4">
        <v>104</v>
      </c>
      <c r="AN1148" s="4">
        <v>104</v>
      </c>
      <c r="AO1148" s="4">
        <v>211</v>
      </c>
    </row>
    <row r="1149" spans="1:41" hidden="1" x14ac:dyDescent="0.2">
      <c r="A1149" t="s">
        <v>1992</v>
      </c>
      <c r="B1149" t="s">
        <v>1993</v>
      </c>
      <c r="C1149" s="2">
        <v>42185</v>
      </c>
      <c r="D1149" s="2">
        <v>43461</v>
      </c>
      <c r="E1149" s="3">
        <v>972598</v>
      </c>
      <c r="F1149" t="s">
        <v>427</v>
      </c>
      <c r="G1149" t="s">
        <v>1994</v>
      </c>
      <c r="H1149" t="s">
        <v>45</v>
      </c>
      <c r="I1149" s="3">
        <v>10002</v>
      </c>
      <c r="J1149" s="3">
        <v>1003527501</v>
      </c>
      <c r="K1149" s="3">
        <v>1090554</v>
      </c>
      <c r="L1149" t="s">
        <v>64</v>
      </c>
      <c r="M1149" s="4">
        <v>1</v>
      </c>
      <c r="N1149" t="s">
        <v>785</v>
      </c>
      <c r="O1149" t="s">
        <v>66</v>
      </c>
      <c r="P1149" s="4">
        <v>40.718508999999997</v>
      </c>
      <c r="Q1149" s="4">
        <v>-73.988084999999998</v>
      </c>
      <c r="R1149" s="4">
        <v>40.717919000000002</v>
      </c>
      <c r="S1149" s="4">
        <v>-73.988049000000004</v>
      </c>
      <c r="T1149" s="2">
        <v>43461</v>
      </c>
      <c r="U1149" t="s">
        <v>117</v>
      </c>
      <c r="V1149" t="s">
        <v>71</v>
      </c>
      <c r="W1149" t="s">
        <v>51</v>
      </c>
      <c r="Y1149" s="4">
        <v>6</v>
      </c>
      <c r="Z1149" s="4">
        <v>47</v>
      </c>
      <c r="AA1149" s="4">
        <v>18</v>
      </c>
      <c r="AB1149" s="4">
        <v>27</v>
      </c>
      <c r="AD1149" s="4">
        <v>36</v>
      </c>
      <c r="AE1149" s="4">
        <v>24</v>
      </c>
      <c r="AF1149" s="4">
        <v>32</v>
      </c>
      <c r="AG1149" s="4">
        <v>6</v>
      </c>
      <c r="AL1149" s="4">
        <v>98</v>
      </c>
      <c r="AN1149" s="4">
        <v>98</v>
      </c>
      <c r="AO1149" s="4">
        <v>195</v>
      </c>
    </row>
    <row r="1150" spans="1:41" hidden="1" x14ac:dyDescent="0.2">
      <c r="A1150" t="s">
        <v>1995</v>
      </c>
      <c r="B1150" t="s">
        <v>1996</v>
      </c>
      <c r="C1150" s="2">
        <v>42185</v>
      </c>
      <c r="D1150" s="2">
        <v>43053</v>
      </c>
      <c r="E1150" s="3">
        <v>957840</v>
      </c>
      <c r="F1150" t="s">
        <v>1997</v>
      </c>
      <c r="G1150" t="s">
        <v>1998</v>
      </c>
      <c r="H1150" t="s">
        <v>45</v>
      </c>
      <c r="I1150" s="3">
        <v>10022</v>
      </c>
      <c r="J1150" s="3">
        <v>1014350015</v>
      </c>
      <c r="K1150" s="3">
        <v>1089869</v>
      </c>
      <c r="L1150" t="s">
        <v>107</v>
      </c>
      <c r="M1150" s="4">
        <v>5</v>
      </c>
      <c r="N1150" t="s">
        <v>623</v>
      </c>
      <c r="O1150" t="s">
        <v>341</v>
      </c>
      <c r="P1150" s="4">
        <v>40.760674000000002</v>
      </c>
      <c r="Q1150" s="4">
        <v>-73.962513000000001</v>
      </c>
      <c r="R1150" s="4">
        <v>40.760942999999997</v>
      </c>
      <c r="S1150" s="4">
        <v>-73.962534000000005</v>
      </c>
      <c r="T1150" s="2">
        <v>43053</v>
      </c>
      <c r="U1150" t="s">
        <v>117</v>
      </c>
      <c r="V1150" t="s">
        <v>71</v>
      </c>
      <c r="W1150" t="s">
        <v>51</v>
      </c>
      <c r="Z1150" s="4">
        <v>20</v>
      </c>
      <c r="AE1150" s="4">
        <v>6</v>
      </c>
      <c r="AF1150" s="4">
        <v>14</v>
      </c>
      <c r="AL1150" s="4">
        <v>20</v>
      </c>
      <c r="AN1150" s="4">
        <v>20</v>
      </c>
      <c r="AO1150" s="4">
        <v>21</v>
      </c>
    </row>
    <row r="1151" spans="1:41" hidden="1" x14ac:dyDescent="0.2">
      <c r="A1151" t="s">
        <v>1999</v>
      </c>
      <c r="B1151" t="s">
        <v>2000</v>
      </c>
      <c r="C1151" s="2">
        <v>42185</v>
      </c>
      <c r="D1151" s="2">
        <v>42534</v>
      </c>
      <c r="E1151" s="3">
        <v>28144</v>
      </c>
      <c r="F1151" t="s">
        <v>1177</v>
      </c>
      <c r="G1151" t="s">
        <v>345</v>
      </c>
      <c r="H1151" t="s">
        <v>45</v>
      </c>
      <c r="I1151" s="3">
        <v>10026</v>
      </c>
      <c r="J1151" s="3">
        <v>1018230018</v>
      </c>
      <c r="K1151" s="3">
        <v>1055008</v>
      </c>
      <c r="L1151" t="s">
        <v>146</v>
      </c>
      <c r="M1151" s="4">
        <v>9</v>
      </c>
      <c r="N1151" t="s">
        <v>312</v>
      </c>
      <c r="O1151" t="s">
        <v>148</v>
      </c>
      <c r="P1151" s="4">
        <v>40.800887000000003</v>
      </c>
      <c r="Q1151" s="4">
        <v>-73.952506999999997</v>
      </c>
      <c r="R1151" s="4">
        <v>40.800801</v>
      </c>
      <c r="S1151" s="4">
        <v>-73.952157</v>
      </c>
      <c r="T1151" s="2">
        <v>42534</v>
      </c>
      <c r="U1151" t="s">
        <v>49</v>
      </c>
      <c r="V1151" t="s">
        <v>71</v>
      </c>
      <c r="W1151" t="s">
        <v>51</v>
      </c>
      <c r="Z1151" s="4">
        <v>53</v>
      </c>
      <c r="AF1151" s="4">
        <v>47</v>
      </c>
      <c r="AG1151" s="4">
        <v>6</v>
      </c>
      <c r="AL1151" s="4">
        <v>53</v>
      </c>
      <c r="AN1151" s="4">
        <v>53</v>
      </c>
      <c r="AO1151" s="4">
        <v>53</v>
      </c>
    </row>
    <row r="1152" spans="1:41" hidden="1" x14ac:dyDescent="0.2">
      <c r="A1152" t="s">
        <v>1999</v>
      </c>
      <c r="B1152" t="s">
        <v>2000</v>
      </c>
      <c r="C1152" s="2">
        <v>42185</v>
      </c>
      <c r="D1152" s="2">
        <v>42534</v>
      </c>
      <c r="E1152" s="3">
        <v>41416</v>
      </c>
      <c r="F1152" t="s">
        <v>62</v>
      </c>
      <c r="G1152" t="s">
        <v>626</v>
      </c>
      <c r="H1152" t="s">
        <v>45</v>
      </c>
      <c r="I1152" s="3">
        <v>10030</v>
      </c>
      <c r="J1152" s="3">
        <v>1020250044</v>
      </c>
      <c r="K1152" s="3">
        <v>1060377</v>
      </c>
      <c r="L1152" t="s">
        <v>146</v>
      </c>
      <c r="M1152" s="4">
        <v>9</v>
      </c>
      <c r="N1152" t="s">
        <v>222</v>
      </c>
      <c r="O1152" t="s">
        <v>177</v>
      </c>
      <c r="P1152" s="4">
        <v>40.818755000000003</v>
      </c>
      <c r="Q1152" s="4">
        <v>-73.942085000000006</v>
      </c>
      <c r="R1152" s="4">
        <v>40.818742</v>
      </c>
      <c r="S1152" s="4">
        <v>-73.942634999999996</v>
      </c>
      <c r="T1152" s="2">
        <v>42534</v>
      </c>
      <c r="U1152" t="s">
        <v>49</v>
      </c>
      <c r="V1152" t="s">
        <v>71</v>
      </c>
      <c r="W1152" t="s">
        <v>51</v>
      </c>
      <c r="Y1152" s="4">
        <v>7</v>
      </c>
      <c r="Z1152" s="4">
        <v>6</v>
      </c>
      <c r="AA1152" s="4">
        <v>5</v>
      </c>
      <c r="AF1152" s="4">
        <v>8</v>
      </c>
      <c r="AG1152" s="4">
        <v>10</v>
      </c>
      <c r="AL1152" s="4">
        <v>18</v>
      </c>
      <c r="AN1152" s="4">
        <v>18</v>
      </c>
      <c r="AO1152" s="4">
        <v>18</v>
      </c>
    </row>
    <row r="1153" spans="1:41" hidden="1" x14ac:dyDescent="0.2">
      <c r="A1153" t="s">
        <v>1999</v>
      </c>
      <c r="B1153" t="s">
        <v>2000</v>
      </c>
      <c r="C1153" s="2">
        <v>42185</v>
      </c>
      <c r="D1153" s="2">
        <v>42534</v>
      </c>
      <c r="E1153" s="3">
        <v>41418</v>
      </c>
      <c r="F1153" t="s">
        <v>313</v>
      </c>
      <c r="G1153" t="s">
        <v>626</v>
      </c>
      <c r="H1153" t="s">
        <v>45</v>
      </c>
      <c r="I1153" s="3">
        <v>10030</v>
      </c>
      <c r="J1153" s="3">
        <v>1020250046</v>
      </c>
      <c r="K1153" s="3">
        <v>1060378</v>
      </c>
      <c r="L1153" t="s">
        <v>146</v>
      </c>
      <c r="M1153" s="4">
        <v>9</v>
      </c>
      <c r="N1153" t="s">
        <v>222</v>
      </c>
      <c r="O1153" t="s">
        <v>177</v>
      </c>
      <c r="P1153" s="4">
        <v>40.818772000000003</v>
      </c>
      <c r="Q1153" s="4">
        <v>-73.942125000000004</v>
      </c>
      <c r="R1153" s="4">
        <v>40.818793999999997</v>
      </c>
      <c r="S1153" s="4">
        <v>-73.942753999999994</v>
      </c>
      <c r="T1153" s="2">
        <v>42531</v>
      </c>
      <c r="U1153" t="s">
        <v>49</v>
      </c>
      <c r="V1153" t="s">
        <v>71</v>
      </c>
      <c r="W1153" t="s">
        <v>51</v>
      </c>
      <c r="Y1153" s="4">
        <v>7</v>
      </c>
      <c r="Z1153" s="4">
        <v>6</v>
      </c>
      <c r="AA1153" s="4">
        <v>5</v>
      </c>
      <c r="AF1153" s="4">
        <v>8</v>
      </c>
      <c r="AG1153" s="4">
        <v>10</v>
      </c>
      <c r="AL1153" s="4">
        <v>18</v>
      </c>
      <c r="AN1153" s="4">
        <v>18</v>
      </c>
      <c r="AO1153" s="4">
        <v>18</v>
      </c>
    </row>
    <row r="1154" spans="1:41" hidden="1" x14ac:dyDescent="0.2">
      <c r="A1154" t="s">
        <v>1999</v>
      </c>
      <c r="B1154" t="s">
        <v>2000</v>
      </c>
      <c r="C1154" s="2">
        <v>42185</v>
      </c>
      <c r="D1154" s="2">
        <v>42534</v>
      </c>
      <c r="E1154" s="3">
        <v>41420</v>
      </c>
      <c r="F1154" t="s">
        <v>1118</v>
      </c>
      <c r="G1154" t="s">
        <v>626</v>
      </c>
      <c r="H1154" t="s">
        <v>45</v>
      </c>
      <c r="I1154" s="3">
        <v>10030</v>
      </c>
      <c r="J1154" s="3">
        <v>1020250047</v>
      </c>
      <c r="K1154" s="3">
        <v>1060379</v>
      </c>
      <c r="L1154" t="s">
        <v>146</v>
      </c>
      <c r="M1154" s="4">
        <v>9</v>
      </c>
      <c r="N1154" t="s">
        <v>222</v>
      </c>
      <c r="O1154" t="s">
        <v>177</v>
      </c>
      <c r="P1154" s="4">
        <v>40.818787999999998</v>
      </c>
      <c r="Q1154" s="4">
        <v>-73.942165000000003</v>
      </c>
      <c r="R1154" s="4">
        <v>40.818843999999999</v>
      </c>
      <c r="S1154" s="4">
        <v>-73.942873000000006</v>
      </c>
      <c r="T1154" s="2">
        <v>42531</v>
      </c>
      <c r="U1154" t="s">
        <v>49</v>
      </c>
      <c r="V1154" t="s">
        <v>71</v>
      </c>
      <c r="W1154" t="s">
        <v>51</v>
      </c>
      <c r="Y1154" s="4">
        <v>8</v>
      </c>
      <c r="Z1154" s="4">
        <v>5</v>
      </c>
      <c r="AA1154" s="4">
        <v>5</v>
      </c>
      <c r="AF1154" s="4">
        <v>8</v>
      </c>
      <c r="AG1154" s="4">
        <v>6</v>
      </c>
      <c r="AH1154" s="4">
        <v>4</v>
      </c>
      <c r="AL1154" s="4">
        <v>18</v>
      </c>
      <c r="AN1154" s="4">
        <v>18</v>
      </c>
      <c r="AO1154" s="4">
        <v>18</v>
      </c>
    </row>
    <row r="1155" spans="1:41" hidden="1" x14ac:dyDescent="0.2">
      <c r="A1155" t="s">
        <v>1999</v>
      </c>
      <c r="B1155" t="s">
        <v>2000</v>
      </c>
      <c r="C1155" s="2">
        <v>42185</v>
      </c>
      <c r="D1155" s="2">
        <v>42534</v>
      </c>
      <c r="E1155" s="3">
        <v>41422</v>
      </c>
      <c r="F1155" t="s">
        <v>312</v>
      </c>
      <c r="G1155" t="s">
        <v>626</v>
      </c>
      <c r="H1155" t="s">
        <v>45</v>
      </c>
      <c r="I1155" s="3">
        <v>10030</v>
      </c>
      <c r="J1155" s="3">
        <v>1020250049</v>
      </c>
      <c r="K1155" s="3">
        <v>1060380</v>
      </c>
      <c r="L1155" t="s">
        <v>146</v>
      </c>
      <c r="M1155" s="4">
        <v>9</v>
      </c>
      <c r="N1155" t="s">
        <v>222</v>
      </c>
      <c r="O1155" t="s">
        <v>177</v>
      </c>
      <c r="P1155" s="4">
        <v>40.818804999999998</v>
      </c>
      <c r="Q1155" s="4">
        <v>-73.942205000000001</v>
      </c>
      <c r="R1155" s="4">
        <v>40.818896000000002</v>
      </c>
      <c r="S1155" s="4">
        <v>-73.942995999999994</v>
      </c>
      <c r="T1155" s="2">
        <v>42531</v>
      </c>
      <c r="U1155" t="s">
        <v>49</v>
      </c>
      <c r="V1155" t="s">
        <v>71</v>
      </c>
      <c r="W1155" t="s">
        <v>51</v>
      </c>
      <c r="Y1155" s="4">
        <v>8</v>
      </c>
      <c r="Z1155" s="4">
        <v>5</v>
      </c>
      <c r="AA1155" s="4">
        <v>5</v>
      </c>
      <c r="AF1155" s="4">
        <v>8</v>
      </c>
      <c r="AG1155" s="4">
        <v>10</v>
      </c>
      <c r="AL1155" s="4">
        <v>18</v>
      </c>
      <c r="AN1155" s="4">
        <v>18</v>
      </c>
      <c r="AO1155" s="4">
        <v>18</v>
      </c>
    </row>
    <row r="1156" spans="1:41" hidden="1" x14ac:dyDescent="0.2">
      <c r="A1156" t="s">
        <v>1999</v>
      </c>
      <c r="B1156" t="s">
        <v>2000</v>
      </c>
      <c r="C1156" s="2">
        <v>42185</v>
      </c>
      <c r="D1156" s="2">
        <v>42534</v>
      </c>
      <c r="E1156" s="3">
        <v>41904</v>
      </c>
      <c r="F1156" t="s">
        <v>2001</v>
      </c>
      <c r="G1156" t="s">
        <v>439</v>
      </c>
      <c r="H1156" t="s">
        <v>45</v>
      </c>
      <c r="I1156" s="3">
        <v>10039</v>
      </c>
      <c r="J1156" s="3">
        <v>1020310012</v>
      </c>
      <c r="K1156" s="3">
        <v>1060475</v>
      </c>
      <c r="L1156" t="s">
        <v>146</v>
      </c>
      <c r="M1156" s="4">
        <v>9</v>
      </c>
      <c r="N1156" t="s">
        <v>425</v>
      </c>
      <c r="O1156" t="s">
        <v>177</v>
      </c>
      <c r="P1156" s="4">
        <v>40.822169000000002</v>
      </c>
      <c r="Q1156" s="4">
        <v>-73.940312000000006</v>
      </c>
      <c r="R1156" s="4">
        <v>40.822668999999998</v>
      </c>
      <c r="S1156" s="4">
        <v>-73.940788999999995</v>
      </c>
      <c r="T1156" s="2">
        <v>42531</v>
      </c>
      <c r="U1156" t="s">
        <v>49</v>
      </c>
      <c r="V1156" t="s">
        <v>71</v>
      </c>
      <c r="W1156" t="s">
        <v>51</v>
      </c>
      <c r="Z1156" s="4">
        <v>35</v>
      </c>
      <c r="AA1156" s="4">
        <v>6</v>
      </c>
      <c r="AE1156" s="4">
        <v>5</v>
      </c>
      <c r="AF1156" s="4">
        <v>31</v>
      </c>
      <c r="AG1156" s="4">
        <v>5</v>
      </c>
      <c r="AL1156" s="4">
        <v>41</v>
      </c>
      <c r="AN1156" s="4">
        <v>41</v>
      </c>
      <c r="AO1156" s="4">
        <v>41</v>
      </c>
    </row>
    <row r="1157" spans="1:41" hidden="1" x14ac:dyDescent="0.2">
      <c r="A1157" t="s">
        <v>1999</v>
      </c>
      <c r="B1157" t="s">
        <v>2000</v>
      </c>
      <c r="C1157" s="2">
        <v>42185</v>
      </c>
      <c r="D1157" s="2">
        <v>42534</v>
      </c>
      <c r="E1157" s="3">
        <v>41907</v>
      </c>
      <c r="F1157" t="s">
        <v>518</v>
      </c>
      <c r="G1157" t="s">
        <v>439</v>
      </c>
      <c r="H1157" t="s">
        <v>45</v>
      </c>
      <c r="I1157" s="3">
        <v>10039</v>
      </c>
      <c r="J1157" s="3">
        <v>1020310007</v>
      </c>
      <c r="K1157" s="3">
        <v>1060473</v>
      </c>
      <c r="L1157" t="s">
        <v>146</v>
      </c>
      <c r="M1157" s="4">
        <v>9</v>
      </c>
      <c r="N1157" t="s">
        <v>425</v>
      </c>
      <c r="O1157" t="s">
        <v>177</v>
      </c>
      <c r="P1157" s="4">
        <v>40.822237999999999</v>
      </c>
      <c r="Q1157" s="4">
        <v>-73.940471000000002</v>
      </c>
      <c r="R1157" s="4">
        <v>40.822806</v>
      </c>
      <c r="S1157" s="4">
        <v>-73.941117000000006</v>
      </c>
      <c r="T1157" s="2">
        <v>42534</v>
      </c>
      <c r="U1157" t="s">
        <v>49</v>
      </c>
      <c r="V1157" t="s">
        <v>71</v>
      </c>
      <c r="W1157" t="s">
        <v>51</v>
      </c>
      <c r="Z1157" s="4">
        <v>35</v>
      </c>
      <c r="AA1157" s="4">
        <v>6</v>
      </c>
      <c r="AE1157" s="4">
        <v>4</v>
      </c>
      <c r="AF1157" s="4">
        <v>32</v>
      </c>
      <c r="AG1157" s="4">
        <v>5</v>
      </c>
      <c r="AL1157" s="4">
        <v>41</v>
      </c>
      <c r="AN1157" s="4">
        <v>41</v>
      </c>
      <c r="AO1157" s="4">
        <v>41</v>
      </c>
    </row>
    <row r="1158" spans="1:41" hidden="1" x14ac:dyDescent="0.2">
      <c r="A1158" t="s">
        <v>2002</v>
      </c>
      <c r="B1158" t="s">
        <v>2003</v>
      </c>
      <c r="C1158" s="2">
        <v>42184</v>
      </c>
      <c r="D1158" s="2">
        <v>43889</v>
      </c>
      <c r="E1158" s="3">
        <v>42095</v>
      </c>
      <c r="F1158" t="s">
        <v>694</v>
      </c>
      <c r="G1158" t="s">
        <v>1451</v>
      </c>
      <c r="H1158" t="s">
        <v>45</v>
      </c>
      <c r="I1158" s="3">
        <v>10039</v>
      </c>
      <c r="J1158" s="3">
        <v>1020330024</v>
      </c>
      <c r="K1158" s="3">
        <v>1060531</v>
      </c>
      <c r="L1158" t="s">
        <v>146</v>
      </c>
      <c r="M1158" s="4">
        <v>9</v>
      </c>
      <c r="N1158" t="s">
        <v>544</v>
      </c>
      <c r="O1158" t="s">
        <v>177</v>
      </c>
      <c r="P1158" s="4">
        <v>40.823205999999999</v>
      </c>
      <c r="Q1158" s="4">
        <v>-73.938747000000006</v>
      </c>
      <c r="R1158" s="4">
        <v>40.823461000000002</v>
      </c>
      <c r="S1158" s="4">
        <v>-73.938807999999995</v>
      </c>
      <c r="T1158" s="2">
        <v>43889</v>
      </c>
      <c r="U1158" t="s">
        <v>49</v>
      </c>
      <c r="V1158" t="s">
        <v>71</v>
      </c>
      <c r="W1158" t="s">
        <v>51</v>
      </c>
      <c r="X1158" s="4">
        <v>1</v>
      </c>
      <c r="Y1158" s="4">
        <v>12</v>
      </c>
      <c r="Z1158" s="4">
        <v>2</v>
      </c>
      <c r="AF1158" s="4">
        <v>1</v>
      </c>
      <c r="AG1158" s="4">
        <v>7</v>
      </c>
      <c r="AH1158" s="4">
        <v>7</v>
      </c>
      <c r="AL1158" s="4">
        <v>2</v>
      </c>
      <c r="AM1158" s="4">
        <v>13</v>
      </c>
      <c r="AN1158" s="4">
        <v>15</v>
      </c>
      <c r="AO1158" s="4">
        <v>15</v>
      </c>
    </row>
    <row r="1159" spans="1:41" hidden="1" x14ac:dyDescent="0.2">
      <c r="A1159" t="s">
        <v>2004</v>
      </c>
      <c r="B1159" t="s">
        <v>2005</v>
      </c>
      <c r="C1159" s="2">
        <v>42184</v>
      </c>
      <c r="D1159" s="2">
        <v>42184</v>
      </c>
      <c r="E1159" s="3">
        <v>24101</v>
      </c>
      <c r="F1159" t="s">
        <v>2006</v>
      </c>
      <c r="G1159" t="s">
        <v>334</v>
      </c>
      <c r="H1159" t="s">
        <v>45</v>
      </c>
      <c r="I1159" s="3">
        <v>10035</v>
      </c>
      <c r="J1159" s="3">
        <v>1017750020</v>
      </c>
      <c r="K1159" s="3">
        <v>1076474</v>
      </c>
      <c r="L1159" t="s">
        <v>153</v>
      </c>
      <c r="M1159" s="4">
        <v>8</v>
      </c>
      <c r="N1159" t="s">
        <v>1018</v>
      </c>
      <c r="O1159" t="s">
        <v>155</v>
      </c>
      <c r="P1159" s="4">
        <v>40.805135999999997</v>
      </c>
      <c r="Q1159" s="4">
        <v>-73.936852000000002</v>
      </c>
      <c r="R1159" s="4">
        <v>40.805067000000001</v>
      </c>
      <c r="S1159" s="4">
        <v>-73.936386999999996</v>
      </c>
      <c r="T1159" s="2">
        <v>42184</v>
      </c>
      <c r="U1159" t="s">
        <v>49</v>
      </c>
      <c r="V1159" t="s">
        <v>50</v>
      </c>
      <c r="W1159" t="s">
        <v>51</v>
      </c>
      <c r="Y1159" s="4">
        <v>40</v>
      </c>
      <c r="AD1159" s="4">
        <v>40</v>
      </c>
      <c r="AL1159" s="4">
        <v>40</v>
      </c>
      <c r="AN1159" s="4">
        <v>40</v>
      </c>
      <c r="AO1159" s="4">
        <v>40</v>
      </c>
    </row>
    <row r="1160" spans="1:41" hidden="1" x14ac:dyDescent="0.2">
      <c r="A1160" t="s">
        <v>2007</v>
      </c>
      <c r="B1160" t="s">
        <v>2008</v>
      </c>
      <c r="C1160" s="2">
        <v>42184</v>
      </c>
      <c r="D1160" s="2">
        <v>44353</v>
      </c>
      <c r="E1160" s="3">
        <v>9911</v>
      </c>
      <c r="F1160" t="s">
        <v>916</v>
      </c>
      <c r="G1160" t="s">
        <v>896</v>
      </c>
      <c r="H1160" t="s">
        <v>45</v>
      </c>
      <c r="I1160" s="3">
        <v>10031</v>
      </c>
      <c r="J1160" s="3">
        <v>1020570046</v>
      </c>
      <c r="K1160" s="3">
        <v>1061204</v>
      </c>
      <c r="L1160" t="s">
        <v>169</v>
      </c>
      <c r="M1160" s="4">
        <v>9</v>
      </c>
      <c r="N1160" t="s">
        <v>420</v>
      </c>
      <c r="O1160" t="s">
        <v>232</v>
      </c>
      <c r="P1160" s="4">
        <v>40.821896000000002</v>
      </c>
      <c r="Q1160" s="4">
        <v>-73.948254000000006</v>
      </c>
      <c r="R1160" s="4">
        <v>40.822032999999998</v>
      </c>
      <c r="S1160" s="4">
        <v>-73.948477999999994</v>
      </c>
      <c r="T1160" s="2">
        <v>44353</v>
      </c>
      <c r="U1160" t="s">
        <v>49</v>
      </c>
      <c r="V1160" t="s">
        <v>71</v>
      </c>
      <c r="W1160" t="s">
        <v>51</v>
      </c>
      <c r="Y1160" s="4">
        <v>3</v>
      </c>
      <c r="Z1160" s="4">
        <v>55</v>
      </c>
      <c r="AA1160" s="4">
        <v>2</v>
      </c>
      <c r="AF1160" s="4">
        <v>60</v>
      </c>
      <c r="AL1160" s="4">
        <v>60</v>
      </c>
      <c r="AN1160" s="4">
        <v>60</v>
      </c>
      <c r="AO1160" s="4">
        <v>60</v>
      </c>
    </row>
    <row r="1161" spans="1:41" hidden="1" x14ac:dyDescent="0.2">
      <c r="A1161" t="s">
        <v>2009</v>
      </c>
      <c r="B1161" t="s">
        <v>2010</v>
      </c>
      <c r="C1161" s="2">
        <v>42184</v>
      </c>
      <c r="D1161" s="2">
        <v>42184</v>
      </c>
      <c r="E1161" s="3">
        <v>41412</v>
      </c>
      <c r="F1161" t="s">
        <v>192</v>
      </c>
      <c r="G1161" t="s">
        <v>626</v>
      </c>
      <c r="H1161" t="s">
        <v>45</v>
      </c>
      <c r="I1161" s="3">
        <v>10030</v>
      </c>
      <c r="J1161" s="3">
        <v>1020250041</v>
      </c>
      <c r="K1161" s="3">
        <v>1060375</v>
      </c>
      <c r="L1161" t="s">
        <v>146</v>
      </c>
      <c r="M1161" s="4">
        <v>9</v>
      </c>
      <c r="N1161" t="s">
        <v>222</v>
      </c>
      <c r="O1161" t="s">
        <v>177</v>
      </c>
      <c r="P1161" s="4">
        <v>40.818722000000001</v>
      </c>
      <c r="Q1161" s="4">
        <v>-73.942006000000006</v>
      </c>
      <c r="R1161" s="4">
        <v>40.818640000000002</v>
      </c>
      <c r="S1161" s="4">
        <v>-73.942389000000006</v>
      </c>
      <c r="T1161" s="2">
        <v>42184</v>
      </c>
      <c r="U1161" t="s">
        <v>49</v>
      </c>
      <c r="V1161" t="s">
        <v>50</v>
      </c>
      <c r="W1161" t="s">
        <v>51</v>
      </c>
      <c r="Y1161" s="4">
        <v>2</v>
      </c>
      <c r="Z1161" s="4">
        <v>11</v>
      </c>
      <c r="AB1161" s="4">
        <v>4</v>
      </c>
      <c r="AC1161" s="4">
        <v>1</v>
      </c>
      <c r="AF1161" s="4">
        <v>18</v>
      </c>
      <c r="AL1161" s="4">
        <v>18</v>
      </c>
      <c r="AN1161" s="4">
        <v>18</v>
      </c>
      <c r="AO1161" s="4">
        <v>18</v>
      </c>
    </row>
    <row r="1162" spans="1:41" hidden="1" x14ac:dyDescent="0.2">
      <c r="A1162" t="s">
        <v>2009</v>
      </c>
      <c r="B1162" t="s">
        <v>2010</v>
      </c>
      <c r="C1162" s="2">
        <v>42184</v>
      </c>
      <c r="D1162" s="2">
        <v>42184</v>
      </c>
      <c r="E1162" s="3">
        <v>41424</v>
      </c>
      <c r="F1162" t="s">
        <v>318</v>
      </c>
      <c r="G1162" t="s">
        <v>626</v>
      </c>
      <c r="H1162" t="s">
        <v>45</v>
      </c>
      <c r="I1162" s="3">
        <v>10030</v>
      </c>
      <c r="J1162" s="3">
        <v>1020250050</v>
      </c>
      <c r="K1162" s="3">
        <v>1060381</v>
      </c>
      <c r="L1162" t="s">
        <v>146</v>
      </c>
      <c r="M1162" s="4">
        <v>9</v>
      </c>
      <c r="N1162" t="s">
        <v>222</v>
      </c>
      <c r="O1162" t="s">
        <v>177</v>
      </c>
      <c r="P1162" s="4">
        <v>40.818821</v>
      </c>
      <c r="Q1162" s="4">
        <v>-73.942244000000002</v>
      </c>
      <c r="R1162" s="4">
        <v>40.818944999999999</v>
      </c>
      <c r="S1162" s="4">
        <v>-73.943115000000006</v>
      </c>
      <c r="T1162" s="2">
        <v>42184</v>
      </c>
      <c r="U1162" t="s">
        <v>49</v>
      </c>
      <c r="V1162" t="s">
        <v>50</v>
      </c>
      <c r="W1162" t="s">
        <v>51</v>
      </c>
      <c r="Y1162" s="4">
        <v>4</v>
      </c>
      <c r="Z1162" s="4">
        <v>9</v>
      </c>
      <c r="AB1162" s="4">
        <v>5</v>
      </c>
      <c r="AE1162" s="4">
        <v>5</v>
      </c>
      <c r="AF1162" s="4">
        <v>8</v>
      </c>
      <c r="AG1162" s="4">
        <v>5</v>
      </c>
      <c r="AL1162" s="4">
        <v>18</v>
      </c>
      <c r="AN1162" s="4">
        <v>18</v>
      </c>
      <c r="AO1162" s="4">
        <v>18</v>
      </c>
    </row>
    <row r="1163" spans="1:41" hidden="1" x14ac:dyDescent="0.2">
      <c r="A1163" t="s">
        <v>2009</v>
      </c>
      <c r="B1163" t="s">
        <v>2010</v>
      </c>
      <c r="C1163" s="2">
        <v>42184</v>
      </c>
      <c r="D1163" s="2">
        <v>42184</v>
      </c>
      <c r="E1163" s="3">
        <v>41425</v>
      </c>
      <c r="F1163" t="s">
        <v>256</v>
      </c>
      <c r="G1163" t="s">
        <v>626</v>
      </c>
      <c r="H1163" t="s">
        <v>45</v>
      </c>
      <c r="I1163" s="3">
        <v>10030</v>
      </c>
      <c r="J1163" s="3">
        <v>1020250052</v>
      </c>
      <c r="K1163" s="3">
        <v>1060382</v>
      </c>
      <c r="L1163" t="s">
        <v>146</v>
      </c>
      <c r="M1163" s="4">
        <v>9</v>
      </c>
      <c r="N1163" t="s">
        <v>222</v>
      </c>
      <c r="O1163" t="s">
        <v>177</v>
      </c>
      <c r="P1163" s="4">
        <v>40.818838</v>
      </c>
      <c r="Q1163" s="4">
        <v>-73.942284000000001</v>
      </c>
      <c r="R1163" s="4">
        <v>40.818998000000001</v>
      </c>
      <c r="S1163" s="4">
        <v>-73.943237999999994</v>
      </c>
      <c r="T1163" s="2">
        <v>42184</v>
      </c>
      <c r="U1163" t="s">
        <v>49</v>
      </c>
      <c r="V1163" t="s">
        <v>50</v>
      </c>
      <c r="W1163" t="s">
        <v>51</v>
      </c>
      <c r="Y1163" s="4">
        <v>3</v>
      </c>
      <c r="Z1163" s="4">
        <v>10</v>
      </c>
      <c r="AB1163" s="4">
        <v>5</v>
      </c>
      <c r="AF1163" s="4">
        <v>18</v>
      </c>
      <c r="AL1163" s="4">
        <v>18</v>
      </c>
      <c r="AN1163" s="4">
        <v>18</v>
      </c>
      <c r="AO1163" s="4">
        <v>18</v>
      </c>
    </row>
    <row r="1164" spans="1:41" hidden="1" x14ac:dyDescent="0.2">
      <c r="A1164" t="s">
        <v>2009</v>
      </c>
      <c r="B1164" t="s">
        <v>2010</v>
      </c>
      <c r="C1164" s="2">
        <v>42184</v>
      </c>
      <c r="D1164" s="2">
        <v>42184</v>
      </c>
      <c r="E1164" s="3">
        <v>41426</v>
      </c>
      <c r="F1164" t="s">
        <v>147</v>
      </c>
      <c r="G1164" t="s">
        <v>626</v>
      </c>
      <c r="H1164" t="s">
        <v>45</v>
      </c>
      <c r="I1164" s="3">
        <v>10030</v>
      </c>
      <c r="J1164" s="3">
        <v>1020250053</v>
      </c>
      <c r="K1164" s="3">
        <v>1060383</v>
      </c>
      <c r="L1164" t="s">
        <v>146</v>
      </c>
      <c r="M1164" s="4">
        <v>9</v>
      </c>
      <c r="N1164" t="s">
        <v>222</v>
      </c>
      <c r="O1164" t="s">
        <v>177</v>
      </c>
      <c r="P1164" s="4">
        <v>40.818854000000002</v>
      </c>
      <c r="Q1164" s="4">
        <v>-73.942323999999999</v>
      </c>
      <c r="R1164" s="4">
        <v>40.819049999999997</v>
      </c>
      <c r="S1164" s="4">
        <v>-73.943357000000006</v>
      </c>
      <c r="T1164" s="2">
        <v>42184</v>
      </c>
      <c r="U1164" t="s">
        <v>49</v>
      </c>
      <c r="V1164" t="s">
        <v>50</v>
      </c>
      <c r="W1164" t="s">
        <v>51</v>
      </c>
      <c r="Y1164" s="4">
        <v>5</v>
      </c>
      <c r="Z1164" s="4">
        <v>8</v>
      </c>
      <c r="AB1164" s="4">
        <v>5</v>
      </c>
      <c r="AF1164" s="4">
        <v>18</v>
      </c>
      <c r="AL1164" s="4">
        <v>18</v>
      </c>
      <c r="AN1164" s="4">
        <v>18</v>
      </c>
      <c r="AO1164" s="4">
        <v>18</v>
      </c>
    </row>
    <row r="1165" spans="1:41" hidden="1" x14ac:dyDescent="0.2">
      <c r="A1165" t="s">
        <v>2009</v>
      </c>
      <c r="B1165" t="s">
        <v>2010</v>
      </c>
      <c r="C1165" s="2">
        <v>42184</v>
      </c>
      <c r="D1165" s="2">
        <v>42184</v>
      </c>
      <c r="E1165" s="3">
        <v>41438</v>
      </c>
      <c r="F1165" t="s">
        <v>315</v>
      </c>
      <c r="G1165" t="s">
        <v>626</v>
      </c>
      <c r="H1165" t="s">
        <v>45</v>
      </c>
      <c r="I1165" s="3">
        <v>10030</v>
      </c>
      <c r="J1165" s="3">
        <v>1020260007</v>
      </c>
      <c r="K1165" s="3">
        <v>1060399</v>
      </c>
      <c r="L1165" t="s">
        <v>146</v>
      </c>
      <c r="M1165" s="4">
        <v>9</v>
      </c>
      <c r="N1165" t="s">
        <v>222</v>
      </c>
      <c r="O1165" t="s">
        <v>177</v>
      </c>
      <c r="P1165" s="4">
        <v>40.819235999999997</v>
      </c>
      <c r="Q1165" s="4">
        <v>-73.943179999999998</v>
      </c>
      <c r="R1165" s="4">
        <v>40.819563000000002</v>
      </c>
      <c r="S1165" s="4">
        <v>-73.943385000000006</v>
      </c>
      <c r="T1165" s="2">
        <v>42184</v>
      </c>
      <c r="U1165" t="s">
        <v>49</v>
      </c>
      <c r="V1165" t="s">
        <v>50</v>
      </c>
      <c r="W1165" t="s">
        <v>51</v>
      </c>
      <c r="Y1165" s="4">
        <v>4</v>
      </c>
      <c r="Z1165" s="4">
        <v>14</v>
      </c>
      <c r="AB1165" s="4">
        <v>1</v>
      </c>
      <c r="AC1165" s="4">
        <v>1</v>
      </c>
      <c r="AF1165" s="4">
        <v>20</v>
      </c>
      <c r="AL1165" s="4">
        <v>20</v>
      </c>
      <c r="AN1165" s="4">
        <v>20</v>
      </c>
      <c r="AO1165" s="4">
        <v>20</v>
      </c>
    </row>
    <row r="1166" spans="1:41" hidden="1" x14ac:dyDescent="0.2">
      <c r="A1166" t="s">
        <v>2011</v>
      </c>
      <c r="B1166" t="s">
        <v>2012</v>
      </c>
      <c r="C1166" s="2">
        <v>42180</v>
      </c>
      <c r="D1166" s="2">
        <v>42180</v>
      </c>
      <c r="E1166" s="3">
        <v>19134</v>
      </c>
      <c r="F1166" t="s">
        <v>56</v>
      </c>
      <c r="G1166" t="s">
        <v>1489</v>
      </c>
      <c r="H1166" t="s">
        <v>45</v>
      </c>
      <c r="I1166" s="3">
        <v>10029</v>
      </c>
      <c r="J1166" s="3">
        <v>1016350017</v>
      </c>
      <c r="K1166" s="3">
        <v>1088453</v>
      </c>
      <c r="L1166" t="s">
        <v>153</v>
      </c>
      <c r="M1166" s="4">
        <v>8</v>
      </c>
      <c r="N1166" t="s">
        <v>600</v>
      </c>
      <c r="O1166" t="s">
        <v>267</v>
      </c>
      <c r="P1166" s="4">
        <v>40.793174</v>
      </c>
      <c r="Q1166" s="4">
        <v>-73.946365999999998</v>
      </c>
      <c r="R1166" s="4">
        <v>40.793346999999997</v>
      </c>
      <c r="S1166" s="4">
        <v>-73.946090999999996</v>
      </c>
      <c r="T1166" s="2">
        <v>42180</v>
      </c>
      <c r="U1166" t="s">
        <v>49</v>
      </c>
      <c r="V1166" t="s">
        <v>50</v>
      </c>
      <c r="W1166" t="s">
        <v>51</v>
      </c>
      <c r="X1166" s="4">
        <v>82</v>
      </c>
      <c r="Y1166" s="4">
        <v>18</v>
      </c>
      <c r="Z1166" s="4">
        <v>7</v>
      </c>
      <c r="AC1166" s="4">
        <v>1</v>
      </c>
      <c r="AF1166" s="4">
        <v>1</v>
      </c>
      <c r="AK1166" s="4">
        <v>107</v>
      </c>
      <c r="AL1166" s="4">
        <v>108</v>
      </c>
      <c r="AN1166" s="4">
        <v>108</v>
      </c>
      <c r="AO1166" s="4">
        <v>108</v>
      </c>
    </row>
    <row r="1167" spans="1:41" hidden="1" x14ac:dyDescent="0.2">
      <c r="A1167" t="s">
        <v>2013</v>
      </c>
      <c r="B1167" t="s">
        <v>2014</v>
      </c>
      <c r="C1167" s="2">
        <v>42180</v>
      </c>
      <c r="D1167" s="2">
        <v>43311</v>
      </c>
      <c r="E1167" s="3">
        <v>2660</v>
      </c>
      <c r="F1167" t="s">
        <v>2015</v>
      </c>
      <c r="G1167" t="s">
        <v>832</v>
      </c>
      <c r="H1167" t="s">
        <v>45</v>
      </c>
      <c r="I1167" s="3">
        <v>10035</v>
      </c>
      <c r="J1167" s="3">
        <v>1017260037</v>
      </c>
      <c r="K1167" s="3">
        <v>1053697</v>
      </c>
      <c r="L1167" t="s">
        <v>146</v>
      </c>
      <c r="M1167" s="4">
        <v>9</v>
      </c>
      <c r="N1167" t="s">
        <v>305</v>
      </c>
      <c r="O1167" t="s">
        <v>177</v>
      </c>
      <c r="P1167" s="4">
        <v>40.808782999999998</v>
      </c>
      <c r="Q1167" s="4">
        <v>-73.940544000000003</v>
      </c>
      <c r="R1167" s="4">
        <v>40.808838000000002</v>
      </c>
      <c r="S1167" s="4">
        <v>-73.940920000000006</v>
      </c>
      <c r="T1167" s="2">
        <v>43011</v>
      </c>
      <c r="U1167" t="s">
        <v>49</v>
      </c>
      <c r="V1167" t="s">
        <v>71</v>
      </c>
      <c r="W1167" t="s">
        <v>51</v>
      </c>
      <c r="Z1167" s="4">
        <v>26</v>
      </c>
      <c r="AC1167" s="4">
        <v>1</v>
      </c>
      <c r="AE1167" s="4">
        <v>13</v>
      </c>
      <c r="AF1167" s="4">
        <v>13</v>
      </c>
      <c r="AH1167" s="4">
        <v>1</v>
      </c>
      <c r="AL1167" s="4">
        <v>27</v>
      </c>
      <c r="AN1167" s="4">
        <v>27</v>
      </c>
      <c r="AO1167" s="4">
        <v>27</v>
      </c>
    </row>
    <row r="1168" spans="1:41" hidden="1" x14ac:dyDescent="0.2">
      <c r="A1168" t="s">
        <v>2013</v>
      </c>
      <c r="B1168" t="s">
        <v>2014</v>
      </c>
      <c r="C1168" s="2">
        <v>42180</v>
      </c>
      <c r="D1168" s="2">
        <v>43311</v>
      </c>
      <c r="E1168" s="3">
        <v>4055</v>
      </c>
      <c r="F1168" t="s">
        <v>2016</v>
      </c>
      <c r="G1168" t="s">
        <v>175</v>
      </c>
      <c r="H1168" t="s">
        <v>45</v>
      </c>
      <c r="I1168" s="3">
        <v>10027</v>
      </c>
      <c r="J1168" s="3">
        <v>1019550017</v>
      </c>
      <c r="K1168" s="3">
        <v>1059403</v>
      </c>
      <c r="L1168" t="s">
        <v>146</v>
      </c>
      <c r="M1168" s="4">
        <v>9</v>
      </c>
      <c r="N1168" t="s">
        <v>379</v>
      </c>
      <c r="O1168" t="s">
        <v>177</v>
      </c>
      <c r="P1168" s="4">
        <v>40.812652</v>
      </c>
      <c r="Q1168" s="4">
        <v>-73.949365999999998</v>
      </c>
      <c r="R1168" s="4">
        <v>40.812728999999997</v>
      </c>
      <c r="S1168" s="4">
        <v>-73.949655000000007</v>
      </c>
      <c r="T1168" s="2">
        <v>42895</v>
      </c>
      <c r="U1168" t="s">
        <v>49</v>
      </c>
      <c r="V1168" t="s">
        <v>71</v>
      </c>
      <c r="W1168" t="s">
        <v>51</v>
      </c>
      <c r="Z1168" s="4">
        <v>9</v>
      </c>
      <c r="AE1168" s="4">
        <v>5</v>
      </c>
      <c r="AF1168" s="4">
        <v>4</v>
      </c>
      <c r="AL1168" s="4">
        <v>9</v>
      </c>
      <c r="AN1168" s="4">
        <v>9</v>
      </c>
      <c r="AO1168" s="4">
        <v>9</v>
      </c>
    </row>
    <row r="1169" spans="1:41" hidden="1" x14ac:dyDescent="0.2">
      <c r="A1169" t="s">
        <v>2013</v>
      </c>
      <c r="B1169" t="s">
        <v>2014</v>
      </c>
      <c r="C1169" s="2">
        <v>42180</v>
      </c>
      <c r="D1169" s="2">
        <v>43311</v>
      </c>
      <c r="E1169" s="3">
        <v>4060</v>
      </c>
      <c r="F1169" t="s">
        <v>2017</v>
      </c>
      <c r="G1169" t="s">
        <v>175</v>
      </c>
      <c r="H1169" t="s">
        <v>45</v>
      </c>
      <c r="I1169" s="3">
        <v>10027</v>
      </c>
      <c r="J1169" s="3">
        <v>1019580018</v>
      </c>
      <c r="K1169" s="3">
        <v>1059415</v>
      </c>
      <c r="L1169" t="s">
        <v>146</v>
      </c>
      <c r="M1169" s="4">
        <v>9</v>
      </c>
      <c r="N1169" t="s">
        <v>379</v>
      </c>
      <c r="O1169" t="s">
        <v>177</v>
      </c>
      <c r="P1169" s="4">
        <v>40.814188000000001</v>
      </c>
      <c r="Q1169" s="4">
        <v>-73.948249000000004</v>
      </c>
      <c r="R1169" s="4">
        <v>40.814342000000003</v>
      </c>
      <c r="S1169" s="4">
        <v>-73.948526999999999</v>
      </c>
      <c r="T1169" s="2">
        <v>42901</v>
      </c>
      <c r="U1169" t="s">
        <v>49</v>
      </c>
      <c r="V1169" t="s">
        <v>71</v>
      </c>
      <c r="W1169" t="s">
        <v>51</v>
      </c>
      <c r="Z1169" s="4">
        <v>8</v>
      </c>
      <c r="AC1169" s="4">
        <v>1</v>
      </c>
      <c r="AE1169" s="4">
        <v>1</v>
      </c>
      <c r="AF1169" s="4">
        <v>8</v>
      </c>
      <c r="AL1169" s="4">
        <v>9</v>
      </c>
      <c r="AN1169" s="4">
        <v>9</v>
      </c>
      <c r="AO1169" s="4">
        <v>9</v>
      </c>
    </row>
    <row r="1170" spans="1:41" hidden="1" x14ac:dyDescent="0.2">
      <c r="A1170" t="s">
        <v>2013</v>
      </c>
      <c r="B1170" t="s">
        <v>2014</v>
      </c>
      <c r="C1170" s="2">
        <v>42180</v>
      </c>
      <c r="D1170" s="2">
        <v>43311</v>
      </c>
      <c r="E1170" s="3">
        <v>4067</v>
      </c>
      <c r="F1170" t="s">
        <v>2018</v>
      </c>
      <c r="G1170" t="s">
        <v>175</v>
      </c>
      <c r="H1170" t="s">
        <v>45</v>
      </c>
      <c r="I1170" s="3">
        <v>10027</v>
      </c>
      <c r="J1170" s="3">
        <v>1019580026</v>
      </c>
      <c r="K1170" s="3">
        <v>1059421</v>
      </c>
      <c r="L1170" t="s">
        <v>146</v>
      </c>
      <c r="M1170" s="4">
        <v>9</v>
      </c>
      <c r="N1170" t="s">
        <v>379</v>
      </c>
      <c r="O1170" t="s">
        <v>177</v>
      </c>
      <c r="P1170" s="4">
        <v>40.814723000000001</v>
      </c>
      <c r="Q1170" s="4">
        <v>-73.947857999999997</v>
      </c>
      <c r="R1170" s="4">
        <v>40.814841999999999</v>
      </c>
      <c r="S1170" s="4">
        <v>-73.948161999999996</v>
      </c>
      <c r="T1170" s="2">
        <v>43028</v>
      </c>
      <c r="U1170" t="s">
        <v>49</v>
      </c>
      <c r="V1170" t="s">
        <v>71</v>
      </c>
      <c r="W1170" t="s">
        <v>51</v>
      </c>
      <c r="Y1170" s="4">
        <v>1</v>
      </c>
      <c r="Z1170" s="4">
        <v>13</v>
      </c>
      <c r="AE1170" s="4">
        <v>6</v>
      </c>
      <c r="AF1170" s="4">
        <v>8</v>
      </c>
      <c r="AL1170" s="4">
        <v>14</v>
      </c>
      <c r="AN1170" s="4">
        <v>14</v>
      </c>
      <c r="AO1170" s="4">
        <v>14</v>
      </c>
    </row>
    <row r="1171" spans="1:41" hidden="1" x14ac:dyDescent="0.2">
      <c r="A1171" t="s">
        <v>2013</v>
      </c>
      <c r="B1171" t="s">
        <v>2014</v>
      </c>
      <c r="C1171" s="2">
        <v>42180</v>
      </c>
      <c r="D1171" s="2">
        <v>43311</v>
      </c>
      <c r="E1171" s="3">
        <v>23590</v>
      </c>
      <c r="F1171" t="s">
        <v>2019</v>
      </c>
      <c r="G1171" t="s">
        <v>274</v>
      </c>
      <c r="H1171" t="s">
        <v>45</v>
      </c>
      <c r="I1171" s="3">
        <v>10037</v>
      </c>
      <c r="J1171" s="3">
        <v>1017280069</v>
      </c>
      <c r="K1171" s="3">
        <v>1053811</v>
      </c>
      <c r="L1171" t="s">
        <v>146</v>
      </c>
      <c r="M1171" s="4">
        <v>9</v>
      </c>
      <c r="N1171" t="s">
        <v>305</v>
      </c>
      <c r="O1171" t="s">
        <v>177</v>
      </c>
      <c r="P1171" s="4">
        <v>40.811469000000002</v>
      </c>
      <c r="Q1171" s="4">
        <v>-73.942778000000004</v>
      </c>
      <c r="R1171" s="4">
        <v>40.811337000000002</v>
      </c>
      <c r="S1171" s="4">
        <v>-73.942457000000005</v>
      </c>
      <c r="T1171" s="2">
        <v>42922</v>
      </c>
      <c r="U1171" t="s">
        <v>49</v>
      </c>
      <c r="V1171" t="s">
        <v>71</v>
      </c>
      <c r="W1171" t="s">
        <v>51</v>
      </c>
      <c r="Z1171" s="4">
        <v>8</v>
      </c>
      <c r="AF1171" s="4">
        <v>8</v>
      </c>
      <c r="AL1171" s="4">
        <v>8</v>
      </c>
      <c r="AN1171" s="4">
        <v>8</v>
      </c>
      <c r="AO1171" s="4">
        <v>8</v>
      </c>
    </row>
    <row r="1172" spans="1:41" hidden="1" x14ac:dyDescent="0.2">
      <c r="A1172" t="s">
        <v>2013</v>
      </c>
      <c r="B1172" t="s">
        <v>2014</v>
      </c>
      <c r="C1172" s="2">
        <v>42180</v>
      </c>
      <c r="D1172" s="2">
        <v>43311</v>
      </c>
      <c r="E1172" s="3">
        <v>28111</v>
      </c>
      <c r="F1172" t="s">
        <v>2019</v>
      </c>
      <c r="G1172" t="s">
        <v>345</v>
      </c>
      <c r="H1172" t="s">
        <v>45</v>
      </c>
      <c r="I1172" s="3">
        <v>10027</v>
      </c>
      <c r="J1172" s="3">
        <v>1019580061</v>
      </c>
      <c r="K1172" s="3">
        <v>1059445</v>
      </c>
      <c r="L1172" t="s">
        <v>146</v>
      </c>
      <c r="M1172" s="4">
        <v>9</v>
      </c>
      <c r="N1172" t="s">
        <v>379</v>
      </c>
      <c r="O1172" t="s">
        <v>177</v>
      </c>
      <c r="P1172" s="4">
        <v>40.814568000000001</v>
      </c>
      <c r="Q1172" s="4">
        <v>-73.949288999999993</v>
      </c>
      <c r="R1172" s="4">
        <v>40.81429</v>
      </c>
      <c r="S1172" s="4">
        <v>-73.949094000000002</v>
      </c>
      <c r="T1172" s="2">
        <v>42908</v>
      </c>
      <c r="U1172" t="s">
        <v>49</v>
      </c>
      <c r="V1172" t="s">
        <v>71</v>
      </c>
      <c r="W1172" t="s">
        <v>51</v>
      </c>
      <c r="Z1172" s="4">
        <v>10</v>
      </c>
      <c r="AE1172" s="4">
        <v>6</v>
      </c>
      <c r="AF1172" s="4">
        <v>4</v>
      </c>
      <c r="AL1172" s="4">
        <v>10</v>
      </c>
      <c r="AN1172" s="4">
        <v>10</v>
      </c>
      <c r="AO1172" s="4">
        <v>10</v>
      </c>
    </row>
    <row r="1173" spans="1:41" hidden="1" x14ac:dyDescent="0.2">
      <c r="A1173" t="s">
        <v>2013</v>
      </c>
      <c r="B1173" t="s">
        <v>2014</v>
      </c>
      <c r="C1173" s="2">
        <v>42180</v>
      </c>
      <c r="D1173" s="2">
        <v>43311</v>
      </c>
      <c r="E1173" s="3">
        <v>39782</v>
      </c>
      <c r="F1173" t="s">
        <v>1892</v>
      </c>
      <c r="G1173" t="s">
        <v>1547</v>
      </c>
      <c r="H1173" t="s">
        <v>45</v>
      </c>
      <c r="I1173" s="3">
        <v>10027</v>
      </c>
      <c r="J1173" s="3">
        <v>1019120008</v>
      </c>
      <c r="K1173" s="3">
        <v>1057902</v>
      </c>
      <c r="L1173" t="s">
        <v>146</v>
      </c>
      <c r="M1173" s="4">
        <v>9</v>
      </c>
      <c r="N1173" t="s">
        <v>244</v>
      </c>
      <c r="O1173" t="s">
        <v>177</v>
      </c>
      <c r="P1173" s="4">
        <v>40.809652999999997</v>
      </c>
      <c r="Q1173" s="4">
        <v>-73.945882999999995</v>
      </c>
      <c r="R1173" s="4">
        <v>40.810122999999997</v>
      </c>
      <c r="S1173" s="4">
        <v>-73.946456999999995</v>
      </c>
      <c r="T1173" s="2">
        <v>42922</v>
      </c>
      <c r="U1173" t="s">
        <v>49</v>
      </c>
      <c r="V1173" t="s">
        <v>71</v>
      </c>
      <c r="W1173" t="s">
        <v>51</v>
      </c>
      <c r="Z1173" s="4">
        <v>24</v>
      </c>
      <c r="AD1173" s="4">
        <v>2</v>
      </c>
      <c r="AE1173" s="4">
        <v>10</v>
      </c>
      <c r="AF1173" s="4">
        <v>12</v>
      </c>
      <c r="AL1173" s="4">
        <v>24</v>
      </c>
      <c r="AN1173" s="4">
        <v>24</v>
      </c>
      <c r="AO1173" s="4">
        <v>24</v>
      </c>
    </row>
    <row r="1174" spans="1:41" hidden="1" x14ac:dyDescent="0.2">
      <c r="A1174" t="s">
        <v>2013</v>
      </c>
      <c r="B1174" t="s">
        <v>2014</v>
      </c>
      <c r="C1174" s="2">
        <v>42180</v>
      </c>
      <c r="D1174" s="2">
        <v>43311</v>
      </c>
      <c r="E1174" s="3">
        <v>39807</v>
      </c>
      <c r="F1174" t="s">
        <v>607</v>
      </c>
      <c r="G1174" t="s">
        <v>1547</v>
      </c>
      <c r="H1174" t="s">
        <v>45</v>
      </c>
      <c r="I1174" s="3">
        <v>10027</v>
      </c>
      <c r="J1174" s="3">
        <v>1017240050</v>
      </c>
      <c r="K1174" s="3">
        <v>1053578</v>
      </c>
      <c r="L1174" t="s">
        <v>146</v>
      </c>
      <c r="M1174" s="4">
        <v>9</v>
      </c>
      <c r="N1174" t="s">
        <v>305</v>
      </c>
      <c r="O1174" t="s">
        <v>177</v>
      </c>
      <c r="P1174" s="4">
        <v>40.808154999999999</v>
      </c>
      <c r="Q1174" s="4">
        <v>-73.942391000000001</v>
      </c>
      <c r="R1174" s="4">
        <v>40.808067999999999</v>
      </c>
      <c r="S1174" s="4">
        <v>-73.942745000000002</v>
      </c>
      <c r="T1174" s="2">
        <v>42908</v>
      </c>
      <c r="U1174" t="s">
        <v>49</v>
      </c>
      <c r="V1174" t="s">
        <v>71</v>
      </c>
      <c r="W1174" t="s">
        <v>51</v>
      </c>
      <c r="Z1174" s="4">
        <v>23</v>
      </c>
      <c r="AC1174" s="4">
        <v>1</v>
      </c>
      <c r="AD1174" s="4">
        <v>1</v>
      </c>
      <c r="AE1174" s="4">
        <v>11</v>
      </c>
      <c r="AF1174" s="4">
        <v>12</v>
      </c>
      <c r="AL1174" s="4">
        <v>24</v>
      </c>
      <c r="AN1174" s="4">
        <v>24</v>
      </c>
      <c r="AO1174" s="4">
        <v>24</v>
      </c>
    </row>
    <row r="1175" spans="1:41" hidden="1" x14ac:dyDescent="0.2">
      <c r="A1175" t="s">
        <v>2013</v>
      </c>
      <c r="B1175" t="s">
        <v>2014</v>
      </c>
      <c r="C1175" s="2">
        <v>42180</v>
      </c>
      <c r="D1175" s="2">
        <v>43311</v>
      </c>
      <c r="E1175" s="3">
        <v>39869</v>
      </c>
      <c r="F1175" t="s">
        <v>1179</v>
      </c>
      <c r="G1175" t="s">
        <v>1547</v>
      </c>
      <c r="H1175" t="s">
        <v>45</v>
      </c>
      <c r="I1175" s="3">
        <v>10027</v>
      </c>
      <c r="J1175" s="3">
        <v>1017250009</v>
      </c>
      <c r="K1175" s="3">
        <v>1053615</v>
      </c>
      <c r="L1175" t="s">
        <v>146</v>
      </c>
      <c r="M1175" s="4">
        <v>9</v>
      </c>
      <c r="N1175" t="s">
        <v>305</v>
      </c>
      <c r="O1175" t="s">
        <v>177</v>
      </c>
      <c r="P1175" s="4">
        <v>40.808523999999998</v>
      </c>
      <c r="Q1175" s="4">
        <v>-73.943218000000002</v>
      </c>
      <c r="R1175" s="4">
        <v>40.808881</v>
      </c>
      <c r="S1175" s="4">
        <v>-73.943503000000007</v>
      </c>
      <c r="T1175" s="2">
        <v>42901</v>
      </c>
      <c r="U1175" t="s">
        <v>49</v>
      </c>
      <c r="V1175" t="s">
        <v>71</v>
      </c>
      <c r="W1175" t="s">
        <v>51</v>
      </c>
      <c r="Y1175" s="4">
        <v>3</v>
      </c>
      <c r="Z1175" s="4">
        <v>15</v>
      </c>
      <c r="AE1175" s="4">
        <v>2</v>
      </c>
      <c r="AF1175" s="4">
        <v>10</v>
      </c>
      <c r="AG1175" s="4">
        <v>6</v>
      </c>
      <c r="AL1175" s="4">
        <v>18</v>
      </c>
      <c r="AN1175" s="4">
        <v>18</v>
      </c>
      <c r="AO1175" s="4">
        <v>18</v>
      </c>
    </row>
    <row r="1176" spans="1:41" hidden="1" x14ac:dyDescent="0.2">
      <c r="A1176" t="s">
        <v>2013</v>
      </c>
      <c r="B1176" t="s">
        <v>2014</v>
      </c>
      <c r="C1176" s="2">
        <v>42180</v>
      </c>
      <c r="D1176" s="2">
        <v>43311</v>
      </c>
      <c r="E1176" s="3">
        <v>40049</v>
      </c>
      <c r="F1176" t="s">
        <v>296</v>
      </c>
      <c r="G1176" t="s">
        <v>428</v>
      </c>
      <c r="H1176" t="s">
        <v>45</v>
      </c>
      <c r="I1176" s="3">
        <v>10027</v>
      </c>
      <c r="J1176" s="3">
        <v>1017260049</v>
      </c>
      <c r="K1176" s="3">
        <v>1053701</v>
      </c>
      <c r="L1176" t="s">
        <v>146</v>
      </c>
      <c r="M1176" s="4">
        <v>9</v>
      </c>
      <c r="N1176" t="s">
        <v>305</v>
      </c>
      <c r="O1176" t="s">
        <v>177</v>
      </c>
      <c r="P1176" s="4">
        <v>40.809497</v>
      </c>
      <c r="Q1176" s="4">
        <v>-73.941699999999997</v>
      </c>
      <c r="R1176" s="4">
        <v>40.809283000000001</v>
      </c>
      <c r="S1176" s="4">
        <v>-73.941757999999993</v>
      </c>
      <c r="T1176" s="2">
        <v>42804</v>
      </c>
      <c r="U1176" t="s">
        <v>49</v>
      </c>
      <c r="V1176" t="s">
        <v>71</v>
      </c>
      <c r="W1176" t="s">
        <v>51</v>
      </c>
      <c r="Z1176" s="4">
        <v>29</v>
      </c>
      <c r="AD1176" s="4">
        <v>7</v>
      </c>
      <c r="AE1176" s="4">
        <v>17</v>
      </c>
      <c r="AF1176" s="4">
        <v>5</v>
      </c>
      <c r="AL1176" s="4">
        <v>29</v>
      </c>
      <c r="AN1176" s="4">
        <v>29</v>
      </c>
      <c r="AO1176" s="4">
        <v>29</v>
      </c>
    </row>
    <row r="1177" spans="1:41" hidden="1" x14ac:dyDescent="0.2">
      <c r="A1177" t="s">
        <v>2013</v>
      </c>
      <c r="B1177" t="s">
        <v>2014</v>
      </c>
      <c r="C1177" s="2">
        <v>42180</v>
      </c>
      <c r="D1177" s="2">
        <v>43311</v>
      </c>
      <c r="E1177" s="3">
        <v>40053</v>
      </c>
      <c r="F1177" t="s">
        <v>1010</v>
      </c>
      <c r="G1177" t="s">
        <v>428</v>
      </c>
      <c r="H1177" t="s">
        <v>45</v>
      </c>
      <c r="I1177" s="3">
        <v>10027</v>
      </c>
      <c r="J1177" s="3">
        <v>1017260051</v>
      </c>
      <c r="K1177" s="3">
        <v>1053702</v>
      </c>
      <c r="L1177" t="s">
        <v>146</v>
      </c>
      <c r="M1177" s="4">
        <v>9</v>
      </c>
      <c r="N1177" t="s">
        <v>305</v>
      </c>
      <c r="O1177" t="s">
        <v>177</v>
      </c>
      <c r="P1177" s="4">
        <v>40.809530000000002</v>
      </c>
      <c r="Q1177" s="4">
        <v>-73.941776000000004</v>
      </c>
      <c r="R1177" s="4">
        <v>40.809330000000003</v>
      </c>
      <c r="S1177" s="4">
        <v>-73.941873000000001</v>
      </c>
      <c r="T1177" s="2">
        <v>42804</v>
      </c>
      <c r="U1177" t="s">
        <v>49</v>
      </c>
      <c r="V1177" t="s">
        <v>71</v>
      </c>
      <c r="W1177" t="s">
        <v>51</v>
      </c>
      <c r="Z1177" s="4">
        <v>4</v>
      </c>
      <c r="AE1177" s="4">
        <v>1</v>
      </c>
      <c r="AF1177" s="4">
        <v>3</v>
      </c>
      <c r="AL1177" s="4">
        <v>4</v>
      </c>
      <c r="AN1177" s="4">
        <v>4</v>
      </c>
      <c r="AO1177" s="4">
        <v>4</v>
      </c>
    </row>
    <row r="1178" spans="1:41" hidden="1" x14ac:dyDescent="0.2">
      <c r="A1178" t="s">
        <v>2013</v>
      </c>
      <c r="B1178" t="s">
        <v>2014</v>
      </c>
      <c r="C1178" s="2">
        <v>42180</v>
      </c>
      <c r="D1178" s="2">
        <v>43311</v>
      </c>
      <c r="E1178" s="3">
        <v>40055</v>
      </c>
      <c r="F1178" t="s">
        <v>944</v>
      </c>
      <c r="G1178" t="s">
        <v>428</v>
      </c>
      <c r="H1178" t="s">
        <v>45</v>
      </c>
      <c r="I1178" s="3">
        <v>10027</v>
      </c>
      <c r="J1178" s="3">
        <v>1017260052</v>
      </c>
      <c r="K1178" s="3">
        <v>1053703</v>
      </c>
      <c r="L1178" t="s">
        <v>146</v>
      </c>
      <c r="M1178" s="4">
        <v>9</v>
      </c>
      <c r="N1178" t="s">
        <v>305</v>
      </c>
      <c r="O1178" t="s">
        <v>177</v>
      </c>
      <c r="P1178" s="4">
        <v>40.809544000000002</v>
      </c>
      <c r="Q1178" s="4">
        <v>-73.941815000000005</v>
      </c>
      <c r="R1178" s="4">
        <v>40.809356999999999</v>
      </c>
      <c r="S1178" s="4">
        <v>-73.941935000000001</v>
      </c>
      <c r="T1178" s="2">
        <v>42901</v>
      </c>
      <c r="U1178" t="s">
        <v>49</v>
      </c>
      <c r="V1178" t="s">
        <v>71</v>
      </c>
      <c r="W1178" t="s">
        <v>51</v>
      </c>
      <c r="Z1178" s="4">
        <v>4</v>
      </c>
      <c r="AE1178" s="4">
        <v>4</v>
      </c>
      <c r="AL1178" s="4">
        <v>4</v>
      </c>
      <c r="AN1178" s="4">
        <v>4</v>
      </c>
      <c r="AO1178" s="4">
        <v>4</v>
      </c>
    </row>
    <row r="1179" spans="1:41" hidden="1" x14ac:dyDescent="0.2">
      <c r="A1179" t="s">
        <v>2013</v>
      </c>
      <c r="B1179" t="s">
        <v>2014</v>
      </c>
      <c r="C1179" s="2">
        <v>42180</v>
      </c>
      <c r="D1179" s="2">
        <v>43311</v>
      </c>
      <c r="E1179" s="3">
        <v>40059</v>
      </c>
      <c r="F1179" t="s">
        <v>457</v>
      </c>
      <c r="G1179" t="s">
        <v>428</v>
      </c>
      <c r="H1179" t="s">
        <v>45</v>
      </c>
      <c r="I1179" s="3">
        <v>10027</v>
      </c>
      <c r="J1179" s="3">
        <v>1017260053</v>
      </c>
      <c r="K1179" s="3">
        <v>1053704</v>
      </c>
      <c r="L1179" t="s">
        <v>146</v>
      </c>
      <c r="M1179" s="4">
        <v>9</v>
      </c>
      <c r="N1179" t="s">
        <v>305</v>
      </c>
      <c r="O1179" t="s">
        <v>177</v>
      </c>
      <c r="P1179" s="4">
        <v>40.809576999999997</v>
      </c>
      <c r="Q1179" s="4">
        <v>-73.941890999999998</v>
      </c>
      <c r="R1179" s="4">
        <v>40.809407</v>
      </c>
      <c r="S1179" s="4">
        <v>-73.942053999999999</v>
      </c>
      <c r="T1179" s="2">
        <v>42804</v>
      </c>
      <c r="U1179" t="s">
        <v>49</v>
      </c>
      <c r="V1179" t="s">
        <v>71</v>
      </c>
      <c r="W1179" t="s">
        <v>51</v>
      </c>
      <c r="Z1179" s="4">
        <v>4</v>
      </c>
      <c r="AE1179" s="4">
        <v>1</v>
      </c>
      <c r="AF1179" s="4">
        <v>3</v>
      </c>
      <c r="AL1179" s="4">
        <v>4</v>
      </c>
      <c r="AN1179" s="4">
        <v>4</v>
      </c>
      <c r="AO1179" s="4">
        <v>4</v>
      </c>
    </row>
    <row r="1180" spans="1:41" hidden="1" x14ac:dyDescent="0.2">
      <c r="A1180" t="s">
        <v>2013</v>
      </c>
      <c r="B1180" t="s">
        <v>2014</v>
      </c>
      <c r="C1180" s="2">
        <v>42180</v>
      </c>
      <c r="D1180" s="2">
        <v>43311</v>
      </c>
      <c r="E1180" s="3">
        <v>40225</v>
      </c>
      <c r="F1180" t="s">
        <v>405</v>
      </c>
      <c r="G1180" t="s">
        <v>2020</v>
      </c>
      <c r="H1180" t="s">
        <v>45</v>
      </c>
      <c r="I1180" s="3">
        <v>10037</v>
      </c>
      <c r="J1180" s="3">
        <v>1017280006</v>
      </c>
      <c r="K1180" s="3">
        <v>1053773</v>
      </c>
      <c r="L1180" t="s">
        <v>146</v>
      </c>
      <c r="M1180" s="4">
        <v>9</v>
      </c>
      <c r="N1180" t="s">
        <v>305</v>
      </c>
      <c r="O1180" t="s">
        <v>177</v>
      </c>
      <c r="P1180" s="4">
        <v>40.810431000000001</v>
      </c>
      <c r="Q1180" s="4">
        <v>-73.941941</v>
      </c>
      <c r="R1180" s="4">
        <v>40.810873000000001</v>
      </c>
      <c r="S1180" s="4">
        <v>-73.942428000000007</v>
      </c>
      <c r="T1180" s="2">
        <v>42895</v>
      </c>
      <c r="U1180" t="s">
        <v>49</v>
      </c>
      <c r="V1180" t="s">
        <v>71</v>
      </c>
      <c r="W1180" t="s">
        <v>51</v>
      </c>
      <c r="Z1180" s="4">
        <v>13</v>
      </c>
      <c r="AC1180" s="4">
        <v>1</v>
      </c>
      <c r="AF1180" s="4">
        <v>14</v>
      </c>
      <c r="AL1180" s="4">
        <v>14</v>
      </c>
      <c r="AN1180" s="4">
        <v>14</v>
      </c>
      <c r="AO1180" s="4">
        <v>14</v>
      </c>
    </row>
    <row r="1181" spans="1:41" hidden="1" x14ac:dyDescent="0.2">
      <c r="A1181" t="s">
        <v>2013</v>
      </c>
      <c r="B1181" t="s">
        <v>2014</v>
      </c>
      <c r="C1181" s="2">
        <v>42180</v>
      </c>
      <c r="D1181" s="2">
        <v>43311</v>
      </c>
      <c r="E1181" s="3">
        <v>40339</v>
      </c>
      <c r="F1181" t="s">
        <v>607</v>
      </c>
      <c r="G1181" t="s">
        <v>434</v>
      </c>
      <c r="H1181" t="s">
        <v>45</v>
      </c>
      <c r="I1181" s="3">
        <v>10037</v>
      </c>
      <c r="J1181" s="3">
        <v>1017280051</v>
      </c>
      <c r="K1181" s="3">
        <v>1053802</v>
      </c>
      <c r="L1181" t="s">
        <v>146</v>
      </c>
      <c r="M1181" s="4">
        <v>9</v>
      </c>
      <c r="N1181" t="s">
        <v>305</v>
      </c>
      <c r="O1181" t="s">
        <v>177</v>
      </c>
      <c r="P1181" s="4">
        <v>40.810651999999997</v>
      </c>
      <c r="Q1181" s="4">
        <v>-73.940563999999995</v>
      </c>
      <c r="R1181" s="4">
        <v>40.810594999999999</v>
      </c>
      <c r="S1181" s="4">
        <v>-73.941005000000004</v>
      </c>
      <c r="T1181" s="2">
        <v>42895</v>
      </c>
      <c r="U1181" t="s">
        <v>49</v>
      </c>
      <c r="V1181" t="s">
        <v>71</v>
      </c>
      <c r="W1181" t="s">
        <v>51</v>
      </c>
      <c r="Y1181" s="4">
        <v>3</v>
      </c>
      <c r="Z1181" s="4">
        <v>21</v>
      </c>
      <c r="AC1181" s="4">
        <v>1</v>
      </c>
      <c r="AD1181" s="4">
        <v>3</v>
      </c>
      <c r="AE1181" s="4">
        <v>10</v>
      </c>
      <c r="AF1181" s="4">
        <v>7</v>
      </c>
      <c r="AG1181" s="4">
        <v>5</v>
      </c>
      <c r="AL1181" s="4">
        <v>25</v>
      </c>
      <c r="AN1181" s="4">
        <v>25</v>
      </c>
      <c r="AO1181" s="4">
        <v>25</v>
      </c>
    </row>
    <row r="1182" spans="1:41" hidden="1" x14ac:dyDescent="0.2">
      <c r="A1182" t="s">
        <v>2013</v>
      </c>
      <c r="B1182" t="s">
        <v>2014</v>
      </c>
      <c r="C1182" s="2">
        <v>42180</v>
      </c>
      <c r="D1182" s="2">
        <v>43311</v>
      </c>
      <c r="E1182" s="3">
        <v>40350</v>
      </c>
      <c r="F1182" t="s">
        <v>1488</v>
      </c>
      <c r="G1182" t="s">
        <v>434</v>
      </c>
      <c r="H1182" t="s">
        <v>45</v>
      </c>
      <c r="I1182" s="3">
        <v>10037</v>
      </c>
      <c r="J1182" s="3">
        <v>1017280042</v>
      </c>
      <c r="K1182" s="3">
        <v>1081379</v>
      </c>
      <c r="L1182" t="s">
        <v>146</v>
      </c>
      <c r="M1182" s="4">
        <v>9</v>
      </c>
      <c r="N1182" t="s">
        <v>305</v>
      </c>
      <c r="O1182" t="s">
        <v>177</v>
      </c>
      <c r="P1182" s="4">
        <v>40.810420999999998</v>
      </c>
      <c r="Q1182" s="4">
        <v>-73.940016</v>
      </c>
      <c r="R1182" s="4">
        <v>40.810302999999998</v>
      </c>
      <c r="S1182" s="4">
        <v>-73.940301000000005</v>
      </c>
      <c r="T1182" s="2">
        <v>42901</v>
      </c>
      <c r="U1182" t="s">
        <v>49</v>
      </c>
      <c r="V1182" t="s">
        <v>71</v>
      </c>
      <c r="W1182" t="s">
        <v>51</v>
      </c>
      <c r="Z1182" s="4">
        <v>8</v>
      </c>
      <c r="AD1182" s="4">
        <v>1</v>
      </c>
      <c r="AE1182" s="4">
        <v>4</v>
      </c>
      <c r="AF1182" s="4">
        <v>3</v>
      </c>
      <c r="AL1182" s="4">
        <v>8</v>
      </c>
      <c r="AN1182" s="4">
        <v>8</v>
      </c>
      <c r="AO1182" s="4">
        <v>8</v>
      </c>
    </row>
    <row r="1183" spans="1:41" hidden="1" x14ac:dyDescent="0.2">
      <c r="A1183" t="s">
        <v>2013</v>
      </c>
      <c r="B1183" t="s">
        <v>2014</v>
      </c>
      <c r="C1183" s="2">
        <v>42180</v>
      </c>
      <c r="D1183" s="2">
        <v>43311</v>
      </c>
      <c r="E1183" s="3">
        <v>40378</v>
      </c>
      <c r="F1183" t="s">
        <v>100</v>
      </c>
      <c r="G1183" t="s">
        <v>434</v>
      </c>
      <c r="H1183" t="s">
        <v>45</v>
      </c>
      <c r="I1183" s="3">
        <v>10037</v>
      </c>
      <c r="J1183" s="3">
        <v>1017290006</v>
      </c>
      <c r="K1183" s="3">
        <v>1053829</v>
      </c>
      <c r="L1183" t="s">
        <v>146</v>
      </c>
      <c r="M1183" s="4">
        <v>9</v>
      </c>
      <c r="N1183" t="s">
        <v>305</v>
      </c>
      <c r="O1183" t="s">
        <v>177</v>
      </c>
      <c r="P1183" s="4">
        <v>40.811075000000002</v>
      </c>
      <c r="Q1183" s="4">
        <v>-73.941529000000003</v>
      </c>
      <c r="R1183" s="4">
        <v>40.811487</v>
      </c>
      <c r="S1183" s="4">
        <v>-73.941944000000007</v>
      </c>
      <c r="T1183" s="2">
        <v>42927</v>
      </c>
      <c r="U1183" t="s">
        <v>49</v>
      </c>
      <c r="V1183" t="s">
        <v>71</v>
      </c>
      <c r="W1183" t="s">
        <v>51</v>
      </c>
      <c r="Z1183" s="4">
        <v>4</v>
      </c>
      <c r="AE1183" s="4">
        <v>4</v>
      </c>
      <c r="AL1183" s="4">
        <v>4</v>
      </c>
      <c r="AN1183" s="4">
        <v>4</v>
      </c>
      <c r="AO1183" s="4">
        <v>4</v>
      </c>
    </row>
    <row r="1184" spans="1:41" hidden="1" x14ac:dyDescent="0.2">
      <c r="A1184" t="s">
        <v>2013</v>
      </c>
      <c r="B1184" t="s">
        <v>2014</v>
      </c>
      <c r="C1184" s="2">
        <v>42180</v>
      </c>
      <c r="D1184" s="2">
        <v>43311</v>
      </c>
      <c r="E1184" s="3">
        <v>40379</v>
      </c>
      <c r="F1184" t="s">
        <v>503</v>
      </c>
      <c r="G1184" t="s">
        <v>434</v>
      </c>
      <c r="H1184" t="s">
        <v>45</v>
      </c>
      <c r="I1184" s="3">
        <v>10037</v>
      </c>
      <c r="J1184" s="3">
        <v>1017280067</v>
      </c>
      <c r="K1184" s="3">
        <v>1053810</v>
      </c>
      <c r="L1184" t="s">
        <v>146</v>
      </c>
      <c r="M1184" s="4">
        <v>9</v>
      </c>
      <c r="N1184" t="s">
        <v>305</v>
      </c>
      <c r="O1184" t="s">
        <v>177</v>
      </c>
      <c r="P1184" s="4">
        <v>40.811075000000002</v>
      </c>
      <c r="Q1184" s="4">
        <v>-73.941571999999994</v>
      </c>
      <c r="R1184" s="4">
        <v>40.811106000000002</v>
      </c>
      <c r="S1184" s="4">
        <v>-73.942217999999997</v>
      </c>
      <c r="T1184" s="2">
        <v>42927</v>
      </c>
      <c r="U1184" t="s">
        <v>49</v>
      </c>
      <c r="V1184" t="s">
        <v>71</v>
      </c>
      <c r="W1184" t="s">
        <v>51</v>
      </c>
      <c r="Y1184" s="4">
        <v>1</v>
      </c>
      <c r="Z1184" s="4">
        <v>3</v>
      </c>
      <c r="AE1184" s="4">
        <v>4</v>
      </c>
      <c r="AL1184" s="4">
        <v>4</v>
      </c>
      <c r="AN1184" s="4">
        <v>4</v>
      </c>
      <c r="AO1184" s="4">
        <v>4</v>
      </c>
    </row>
    <row r="1185" spans="1:41" hidden="1" x14ac:dyDescent="0.2">
      <c r="A1185" t="s">
        <v>2013</v>
      </c>
      <c r="B1185" t="s">
        <v>2014</v>
      </c>
      <c r="C1185" s="2">
        <v>42180</v>
      </c>
      <c r="D1185" s="2">
        <v>43311</v>
      </c>
      <c r="E1185" s="3">
        <v>40380</v>
      </c>
      <c r="F1185" t="s">
        <v>72</v>
      </c>
      <c r="G1185" t="s">
        <v>434</v>
      </c>
      <c r="H1185" t="s">
        <v>45</v>
      </c>
      <c r="I1185" s="3">
        <v>10037</v>
      </c>
      <c r="J1185" s="3">
        <v>1017290105</v>
      </c>
      <c r="K1185" s="3">
        <v>1053875</v>
      </c>
      <c r="L1185" t="s">
        <v>146</v>
      </c>
      <c r="M1185" s="4">
        <v>9</v>
      </c>
      <c r="N1185" t="s">
        <v>305</v>
      </c>
      <c r="O1185" t="s">
        <v>177</v>
      </c>
      <c r="P1185" s="4">
        <v>40.811095000000002</v>
      </c>
      <c r="Q1185" s="4">
        <v>-73.941575</v>
      </c>
      <c r="R1185" s="4">
        <v>40.811509000000001</v>
      </c>
      <c r="S1185" s="4">
        <v>-73.941993999999994</v>
      </c>
      <c r="T1185" s="2">
        <v>43021</v>
      </c>
      <c r="U1185" t="s">
        <v>49</v>
      </c>
      <c r="V1185" t="s">
        <v>71</v>
      </c>
      <c r="W1185" t="s">
        <v>51</v>
      </c>
      <c r="Z1185" s="4">
        <v>4</v>
      </c>
      <c r="AE1185" s="4">
        <v>4</v>
      </c>
      <c r="AL1185" s="4">
        <v>4</v>
      </c>
      <c r="AN1185" s="4">
        <v>4</v>
      </c>
      <c r="AO1185" s="4">
        <v>4</v>
      </c>
    </row>
    <row r="1186" spans="1:41" hidden="1" x14ac:dyDescent="0.2">
      <c r="A1186" t="s">
        <v>2013</v>
      </c>
      <c r="B1186" t="s">
        <v>2014</v>
      </c>
      <c r="C1186" s="2">
        <v>42180</v>
      </c>
      <c r="D1186" s="2">
        <v>43311</v>
      </c>
      <c r="E1186" s="3">
        <v>40383</v>
      </c>
      <c r="F1186" t="s">
        <v>711</v>
      </c>
      <c r="G1186" t="s">
        <v>434</v>
      </c>
      <c r="H1186" t="s">
        <v>45</v>
      </c>
      <c r="I1186" s="3">
        <v>10037</v>
      </c>
      <c r="J1186" s="3">
        <v>1017280143</v>
      </c>
      <c r="K1186" s="3">
        <v>1053821</v>
      </c>
      <c r="L1186" t="s">
        <v>146</v>
      </c>
      <c r="M1186" s="4">
        <v>9</v>
      </c>
      <c r="N1186" t="s">
        <v>305</v>
      </c>
      <c r="O1186" t="s">
        <v>177</v>
      </c>
      <c r="P1186" s="4">
        <v>40.810459999999999</v>
      </c>
      <c r="Q1186" s="4">
        <v>-73.940109000000007</v>
      </c>
      <c r="R1186" s="4">
        <v>40.810341999999999</v>
      </c>
      <c r="S1186" s="4">
        <v>-73.940383999999995</v>
      </c>
      <c r="T1186" s="2">
        <v>42901</v>
      </c>
      <c r="U1186" t="s">
        <v>49</v>
      </c>
      <c r="V1186" t="s">
        <v>71</v>
      </c>
      <c r="W1186" t="s">
        <v>51</v>
      </c>
      <c r="Y1186" s="4">
        <v>1</v>
      </c>
      <c r="Z1186" s="4">
        <v>3</v>
      </c>
      <c r="AE1186" s="4">
        <v>4</v>
      </c>
      <c r="AL1186" s="4">
        <v>4</v>
      </c>
      <c r="AN1186" s="4">
        <v>4</v>
      </c>
      <c r="AO1186" s="4">
        <v>4</v>
      </c>
    </row>
    <row r="1187" spans="1:41" hidden="1" x14ac:dyDescent="0.2">
      <c r="A1187" t="s">
        <v>2013</v>
      </c>
      <c r="B1187" t="s">
        <v>2014</v>
      </c>
      <c r="C1187" s="2">
        <v>42180</v>
      </c>
      <c r="D1187" s="2">
        <v>43311</v>
      </c>
      <c r="E1187" s="3">
        <v>40956</v>
      </c>
      <c r="F1187" t="s">
        <v>537</v>
      </c>
      <c r="G1187" t="s">
        <v>326</v>
      </c>
      <c r="H1187" t="s">
        <v>45</v>
      </c>
      <c r="I1187" s="3">
        <v>10030</v>
      </c>
      <c r="J1187" s="3">
        <v>1020060028</v>
      </c>
      <c r="K1187" s="3">
        <v>1060001</v>
      </c>
      <c r="L1187" t="s">
        <v>146</v>
      </c>
      <c r="M1187" s="4">
        <v>9</v>
      </c>
      <c r="N1187" t="s">
        <v>322</v>
      </c>
      <c r="O1187" t="s">
        <v>177</v>
      </c>
      <c r="P1187" s="4">
        <v>40.815623000000002</v>
      </c>
      <c r="Q1187" s="4">
        <v>-73.940411999999995</v>
      </c>
      <c r="R1187" s="4">
        <v>40.815807</v>
      </c>
      <c r="S1187" s="4">
        <v>-73.940289000000007</v>
      </c>
      <c r="T1187" s="2">
        <v>42996</v>
      </c>
      <c r="U1187" t="s">
        <v>49</v>
      </c>
      <c r="V1187" t="s">
        <v>71</v>
      </c>
      <c r="W1187" t="s">
        <v>51</v>
      </c>
      <c r="Z1187" s="4">
        <v>10</v>
      </c>
      <c r="AD1187" s="4">
        <v>1</v>
      </c>
      <c r="AF1187" s="4">
        <v>9</v>
      </c>
      <c r="AL1187" s="4">
        <v>10</v>
      </c>
      <c r="AN1187" s="4">
        <v>10</v>
      </c>
      <c r="AO1187" s="4">
        <v>10</v>
      </c>
    </row>
    <row r="1188" spans="1:41" hidden="1" x14ac:dyDescent="0.2">
      <c r="A1188" t="s">
        <v>2013</v>
      </c>
      <c r="B1188" t="s">
        <v>2014</v>
      </c>
      <c r="C1188" s="2">
        <v>42180</v>
      </c>
      <c r="D1188" s="2">
        <v>43311</v>
      </c>
      <c r="E1188" s="3">
        <v>40957</v>
      </c>
      <c r="F1188" t="s">
        <v>1243</v>
      </c>
      <c r="G1188" t="s">
        <v>326</v>
      </c>
      <c r="H1188" t="s">
        <v>45</v>
      </c>
      <c r="I1188" s="3">
        <v>10030</v>
      </c>
      <c r="J1188" s="3">
        <v>1020060027</v>
      </c>
      <c r="K1188" s="3">
        <v>1060000</v>
      </c>
      <c r="L1188" t="s">
        <v>146</v>
      </c>
      <c r="M1188" s="4">
        <v>9</v>
      </c>
      <c r="N1188" t="s">
        <v>322</v>
      </c>
      <c r="O1188" t="s">
        <v>177</v>
      </c>
      <c r="P1188" s="4">
        <v>40.815638999999997</v>
      </c>
      <c r="Q1188" s="4">
        <v>-73.940448000000004</v>
      </c>
      <c r="R1188" s="4">
        <v>40.815851000000002</v>
      </c>
      <c r="S1188" s="4">
        <v>-73.940386000000004</v>
      </c>
      <c r="T1188" s="2">
        <v>43021</v>
      </c>
      <c r="U1188" t="s">
        <v>49</v>
      </c>
      <c r="V1188" t="s">
        <v>71</v>
      </c>
      <c r="W1188" t="s">
        <v>51</v>
      </c>
      <c r="Y1188" s="4">
        <v>2</v>
      </c>
      <c r="Z1188" s="4">
        <v>14</v>
      </c>
      <c r="AC1188" s="4">
        <v>1</v>
      </c>
      <c r="AD1188" s="4">
        <v>1</v>
      </c>
      <c r="AE1188" s="4">
        <v>12</v>
      </c>
      <c r="AF1188" s="4">
        <v>4</v>
      </c>
      <c r="AL1188" s="4">
        <v>17</v>
      </c>
      <c r="AN1188" s="4">
        <v>17</v>
      </c>
      <c r="AO1188" s="4">
        <v>17</v>
      </c>
    </row>
    <row r="1189" spans="1:41" hidden="1" x14ac:dyDescent="0.2">
      <c r="A1189" t="s">
        <v>2013</v>
      </c>
      <c r="B1189" t="s">
        <v>2014</v>
      </c>
      <c r="C1189" s="2">
        <v>42180</v>
      </c>
      <c r="D1189" s="2">
        <v>43311</v>
      </c>
      <c r="E1189" s="3">
        <v>40974</v>
      </c>
      <c r="F1189" t="s">
        <v>55</v>
      </c>
      <c r="G1189" t="s">
        <v>326</v>
      </c>
      <c r="H1189" t="s">
        <v>45</v>
      </c>
      <c r="I1189" s="3">
        <v>10030</v>
      </c>
      <c r="J1189" s="3">
        <v>1020060017</v>
      </c>
      <c r="K1189" s="3">
        <v>1059995</v>
      </c>
      <c r="L1189" t="s">
        <v>146</v>
      </c>
      <c r="M1189" s="4">
        <v>9</v>
      </c>
      <c r="N1189" t="s">
        <v>322</v>
      </c>
      <c r="O1189" t="s">
        <v>177</v>
      </c>
      <c r="P1189" s="4">
        <v>40.815801</v>
      </c>
      <c r="Q1189" s="4">
        <v>-73.940833999999995</v>
      </c>
      <c r="R1189" s="4">
        <v>40.816175000000001</v>
      </c>
      <c r="S1189" s="4">
        <v>-73.941158999999999</v>
      </c>
      <c r="T1189" s="2">
        <v>43307</v>
      </c>
      <c r="U1189" t="s">
        <v>49</v>
      </c>
      <c r="V1189" t="s">
        <v>71</v>
      </c>
      <c r="W1189" t="s">
        <v>51</v>
      </c>
      <c r="Y1189" s="4">
        <v>3</v>
      </c>
      <c r="Z1189" s="4">
        <v>7</v>
      </c>
      <c r="AF1189" s="4">
        <v>2</v>
      </c>
      <c r="AG1189" s="4">
        <v>8</v>
      </c>
      <c r="AL1189" s="4">
        <v>10</v>
      </c>
      <c r="AN1189" s="4">
        <v>10</v>
      </c>
      <c r="AO1189" s="4">
        <v>10</v>
      </c>
    </row>
    <row r="1190" spans="1:41" hidden="1" x14ac:dyDescent="0.2">
      <c r="A1190" t="s">
        <v>2013</v>
      </c>
      <c r="B1190" t="s">
        <v>2014</v>
      </c>
      <c r="C1190" s="2">
        <v>42180</v>
      </c>
      <c r="D1190" s="2">
        <v>43311</v>
      </c>
      <c r="E1190" s="3">
        <v>40976</v>
      </c>
      <c r="F1190" t="s">
        <v>56</v>
      </c>
      <c r="G1190" t="s">
        <v>326</v>
      </c>
      <c r="H1190" t="s">
        <v>45</v>
      </c>
      <c r="I1190" s="3">
        <v>10030</v>
      </c>
      <c r="J1190" s="3">
        <v>1020060016</v>
      </c>
      <c r="K1190" s="3">
        <v>1059994</v>
      </c>
      <c r="L1190" t="s">
        <v>146</v>
      </c>
      <c r="M1190" s="4">
        <v>9</v>
      </c>
      <c r="N1190" t="s">
        <v>322</v>
      </c>
      <c r="O1190" t="s">
        <v>177</v>
      </c>
      <c r="P1190" s="4">
        <v>40.815818</v>
      </c>
      <c r="Q1190" s="4">
        <v>-73.940870000000004</v>
      </c>
      <c r="R1190" s="4">
        <v>40.816208000000003</v>
      </c>
      <c r="S1190" s="4">
        <v>-73.941235000000006</v>
      </c>
      <c r="T1190" s="2">
        <v>42937</v>
      </c>
      <c r="U1190" t="s">
        <v>49</v>
      </c>
      <c r="V1190" t="s">
        <v>71</v>
      </c>
      <c r="W1190" t="s">
        <v>51</v>
      </c>
      <c r="Y1190" s="4">
        <v>1</v>
      </c>
      <c r="Z1190" s="4">
        <v>9</v>
      </c>
      <c r="AD1190" s="4">
        <v>1</v>
      </c>
      <c r="AF1190" s="4">
        <v>5</v>
      </c>
      <c r="AG1190" s="4">
        <v>4</v>
      </c>
      <c r="AL1190" s="4">
        <v>10</v>
      </c>
      <c r="AN1190" s="4">
        <v>10</v>
      </c>
      <c r="AO1190" s="4">
        <v>10</v>
      </c>
    </row>
    <row r="1191" spans="1:41" hidden="1" x14ac:dyDescent="0.2">
      <c r="A1191" t="s">
        <v>2013</v>
      </c>
      <c r="B1191" t="s">
        <v>2014</v>
      </c>
      <c r="C1191" s="2">
        <v>42180</v>
      </c>
      <c r="D1191" s="2">
        <v>43311</v>
      </c>
      <c r="E1191" s="3">
        <v>40978</v>
      </c>
      <c r="F1191" t="s">
        <v>1452</v>
      </c>
      <c r="G1191" t="s">
        <v>326</v>
      </c>
      <c r="H1191" t="s">
        <v>45</v>
      </c>
      <c r="I1191" s="3">
        <v>10030</v>
      </c>
      <c r="J1191" s="3">
        <v>1020060015</v>
      </c>
      <c r="K1191" s="3">
        <v>1059993</v>
      </c>
      <c r="L1191" t="s">
        <v>146</v>
      </c>
      <c r="M1191" s="4">
        <v>9</v>
      </c>
      <c r="N1191" t="s">
        <v>322</v>
      </c>
      <c r="O1191" t="s">
        <v>177</v>
      </c>
      <c r="P1191" s="4">
        <v>40.815834000000002</v>
      </c>
      <c r="Q1191" s="4">
        <v>-73.940910000000002</v>
      </c>
      <c r="R1191" s="4">
        <v>40.816240999999998</v>
      </c>
      <c r="S1191" s="4">
        <v>-73.941314000000006</v>
      </c>
      <c r="T1191" s="2">
        <v>42928</v>
      </c>
      <c r="U1191" t="s">
        <v>49</v>
      </c>
      <c r="V1191" t="s">
        <v>71</v>
      </c>
      <c r="W1191" t="s">
        <v>51</v>
      </c>
      <c r="Y1191" s="4">
        <v>1</v>
      </c>
      <c r="Z1191" s="4">
        <v>9</v>
      </c>
      <c r="AD1191" s="4">
        <v>1</v>
      </c>
      <c r="AF1191" s="4">
        <v>5</v>
      </c>
      <c r="AG1191" s="4">
        <v>4</v>
      </c>
      <c r="AL1191" s="4">
        <v>10</v>
      </c>
      <c r="AN1191" s="4">
        <v>10</v>
      </c>
      <c r="AO1191" s="4">
        <v>10</v>
      </c>
    </row>
    <row r="1192" spans="1:41" hidden="1" x14ac:dyDescent="0.2">
      <c r="A1192" t="s">
        <v>2013</v>
      </c>
      <c r="B1192" t="s">
        <v>2014</v>
      </c>
      <c r="C1192" s="2">
        <v>42180</v>
      </c>
      <c r="D1192" s="2">
        <v>43311</v>
      </c>
      <c r="E1192" s="3">
        <v>40979</v>
      </c>
      <c r="F1192" t="s">
        <v>436</v>
      </c>
      <c r="G1192" t="s">
        <v>326</v>
      </c>
      <c r="H1192" t="s">
        <v>45</v>
      </c>
      <c r="I1192" s="3">
        <v>10030</v>
      </c>
      <c r="J1192" s="3">
        <v>1020060014</v>
      </c>
      <c r="K1192" s="3">
        <v>1059992</v>
      </c>
      <c r="L1192" t="s">
        <v>146</v>
      </c>
      <c r="M1192" s="4">
        <v>9</v>
      </c>
      <c r="N1192" t="s">
        <v>322</v>
      </c>
      <c r="O1192" t="s">
        <v>177</v>
      </c>
      <c r="P1192" s="4">
        <v>40.815851000000002</v>
      </c>
      <c r="Q1192" s="4">
        <v>-73.940950000000001</v>
      </c>
      <c r="R1192" s="4">
        <v>40.816274</v>
      </c>
      <c r="S1192" s="4">
        <v>-73.941394000000003</v>
      </c>
      <c r="T1192" s="2">
        <v>43311</v>
      </c>
      <c r="U1192" t="s">
        <v>49</v>
      </c>
      <c r="V1192" t="s">
        <v>71</v>
      </c>
      <c r="W1192" t="s">
        <v>51</v>
      </c>
      <c r="Y1192" s="4">
        <v>5</v>
      </c>
      <c r="Z1192" s="4">
        <v>14</v>
      </c>
      <c r="AD1192" s="4">
        <v>9</v>
      </c>
      <c r="AE1192" s="4">
        <v>10</v>
      </c>
      <c r="AL1192" s="4">
        <v>19</v>
      </c>
      <c r="AN1192" s="4">
        <v>19</v>
      </c>
      <c r="AO1192" s="4">
        <v>19</v>
      </c>
    </row>
    <row r="1193" spans="1:41" hidden="1" x14ac:dyDescent="0.2">
      <c r="A1193" t="s">
        <v>2013</v>
      </c>
      <c r="B1193" t="s">
        <v>2014</v>
      </c>
      <c r="C1193" s="2">
        <v>42180</v>
      </c>
      <c r="D1193" s="2">
        <v>43311</v>
      </c>
      <c r="E1193" s="3">
        <v>41105</v>
      </c>
      <c r="F1193" t="s">
        <v>43</v>
      </c>
      <c r="G1193" t="s">
        <v>2021</v>
      </c>
      <c r="H1193" t="s">
        <v>45</v>
      </c>
      <c r="I1193" s="3">
        <v>10030</v>
      </c>
      <c r="J1193" s="3">
        <v>1020060038</v>
      </c>
      <c r="K1193" s="3">
        <v>1060009</v>
      </c>
      <c r="L1193" t="s">
        <v>146</v>
      </c>
      <c r="M1193" s="4">
        <v>9</v>
      </c>
      <c r="N1193" t="s">
        <v>322</v>
      </c>
      <c r="O1193" t="s">
        <v>177</v>
      </c>
      <c r="P1193" s="4">
        <v>40.816223999999998</v>
      </c>
      <c r="Q1193" s="4">
        <v>-73.939942000000002</v>
      </c>
      <c r="R1193" s="4">
        <v>40.816102999999998</v>
      </c>
      <c r="S1193" s="4">
        <v>-73.940226999999993</v>
      </c>
      <c r="T1193" s="2">
        <v>43307</v>
      </c>
      <c r="U1193" t="s">
        <v>49</v>
      </c>
      <c r="V1193" t="s">
        <v>71</v>
      </c>
      <c r="W1193" t="s">
        <v>51</v>
      </c>
      <c r="Y1193" s="4">
        <v>5</v>
      </c>
      <c r="Z1193" s="4">
        <v>19</v>
      </c>
      <c r="AF1193" s="4">
        <v>24</v>
      </c>
      <c r="AL1193" s="4">
        <v>24</v>
      </c>
      <c r="AN1193" s="4">
        <v>24</v>
      </c>
      <c r="AO1193" s="4">
        <v>24</v>
      </c>
    </row>
    <row r="1194" spans="1:41" hidden="1" x14ac:dyDescent="0.2">
      <c r="A1194" t="s">
        <v>2013</v>
      </c>
      <c r="B1194" t="s">
        <v>2014</v>
      </c>
      <c r="C1194" s="2">
        <v>42180</v>
      </c>
      <c r="D1194" s="2">
        <v>43311</v>
      </c>
      <c r="E1194" s="3">
        <v>41124</v>
      </c>
      <c r="F1194" t="s">
        <v>1150</v>
      </c>
      <c r="G1194" t="s">
        <v>2021</v>
      </c>
      <c r="H1194" t="s">
        <v>45</v>
      </c>
      <c r="I1194" s="3">
        <v>10030</v>
      </c>
      <c r="J1194" s="3">
        <v>1020070009</v>
      </c>
      <c r="K1194" s="3">
        <v>1060020</v>
      </c>
      <c r="L1194" t="s">
        <v>146</v>
      </c>
      <c r="M1194" s="4">
        <v>9</v>
      </c>
      <c r="N1194" t="s">
        <v>222</v>
      </c>
      <c r="O1194" t="s">
        <v>177</v>
      </c>
      <c r="P1194" s="4">
        <v>40.816839000000002</v>
      </c>
      <c r="Q1194" s="4">
        <v>-73.941365000000005</v>
      </c>
      <c r="R1194" s="4">
        <v>40.817059</v>
      </c>
      <c r="S1194" s="4">
        <v>-73.941321000000002</v>
      </c>
      <c r="T1194" s="2">
        <v>43311</v>
      </c>
      <c r="U1194" t="s">
        <v>49</v>
      </c>
      <c r="V1194" t="s">
        <v>71</v>
      </c>
      <c r="W1194" t="s">
        <v>51</v>
      </c>
      <c r="Y1194" s="4">
        <v>2</v>
      </c>
      <c r="Z1194" s="4">
        <v>9</v>
      </c>
      <c r="AD1194" s="4">
        <v>1</v>
      </c>
      <c r="AE1194" s="4">
        <v>2</v>
      </c>
      <c r="AF1194" s="4">
        <v>4</v>
      </c>
      <c r="AG1194" s="4">
        <v>4</v>
      </c>
      <c r="AL1194" s="4">
        <v>11</v>
      </c>
      <c r="AN1194" s="4">
        <v>11</v>
      </c>
      <c r="AO1194" s="4">
        <v>11</v>
      </c>
    </row>
    <row r="1195" spans="1:41" hidden="1" x14ac:dyDescent="0.2">
      <c r="A1195" t="s">
        <v>2022</v>
      </c>
      <c r="B1195" t="s">
        <v>2023</v>
      </c>
      <c r="C1195" s="2">
        <v>42179</v>
      </c>
      <c r="D1195" s="2">
        <v>42930</v>
      </c>
      <c r="E1195" s="3">
        <v>5578</v>
      </c>
      <c r="F1195" t="s">
        <v>2024</v>
      </c>
      <c r="G1195" t="s">
        <v>87</v>
      </c>
      <c r="H1195" t="s">
        <v>45</v>
      </c>
      <c r="I1195" s="3">
        <v>10031</v>
      </c>
      <c r="J1195" s="3">
        <v>1019870033</v>
      </c>
      <c r="K1195" s="3">
        <v>1059740</v>
      </c>
      <c r="L1195" t="s">
        <v>169</v>
      </c>
      <c r="M1195" s="4">
        <v>7</v>
      </c>
      <c r="N1195" t="s">
        <v>170</v>
      </c>
      <c r="O1195" t="s">
        <v>171</v>
      </c>
      <c r="P1195" s="4">
        <v>40.817942000000002</v>
      </c>
      <c r="Q1195" s="4">
        <v>-73.952950000000001</v>
      </c>
      <c r="R1195" s="4">
        <v>40.818047</v>
      </c>
      <c r="S1195" s="4">
        <v>-73.953267999999994</v>
      </c>
      <c r="T1195" s="2">
        <v>42930</v>
      </c>
      <c r="U1195" t="s">
        <v>49</v>
      </c>
      <c r="V1195" t="s">
        <v>71</v>
      </c>
      <c r="W1195" t="s">
        <v>51</v>
      </c>
      <c r="Y1195" s="4">
        <v>10</v>
      </c>
      <c r="Z1195" s="4">
        <v>8</v>
      </c>
      <c r="AE1195" s="4">
        <v>2</v>
      </c>
      <c r="AF1195" s="4">
        <v>15</v>
      </c>
      <c r="AG1195" s="4">
        <v>1</v>
      </c>
      <c r="AL1195" s="4">
        <v>18</v>
      </c>
      <c r="AN1195" s="4">
        <v>18</v>
      </c>
      <c r="AO1195" s="4">
        <v>18</v>
      </c>
    </row>
    <row r="1196" spans="1:41" hidden="1" x14ac:dyDescent="0.2">
      <c r="A1196" t="s">
        <v>2022</v>
      </c>
      <c r="B1196" t="s">
        <v>2023</v>
      </c>
      <c r="C1196" s="2">
        <v>42179</v>
      </c>
      <c r="D1196" s="2">
        <v>42930</v>
      </c>
      <c r="E1196" s="3">
        <v>5579</v>
      </c>
      <c r="F1196" t="s">
        <v>2025</v>
      </c>
      <c r="G1196" t="s">
        <v>87</v>
      </c>
      <c r="H1196" t="s">
        <v>45</v>
      </c>
      <c r="I1196" s="3">
        <v>10031</v>
      </c>
      <c r="J1196" s="3">
        <v>1019870034</v>
      </c>
      <c r="K1196" s="3">
        <v>1059741</v>
      </c>
      <c r="L1196" t="s">
        <v>169</v>
      </c>
      <c r="M1196" s="4">
        <v>7</v>
      </c>
      <c r="N1196" t="s">
        <v>170</v>
      </c>
      <c r="O1196" t="s">
        <v>171</v>
      </c>
      <c r="P1196" s="4">
        <v>40.818021999999999</v>
      </c>
      <c r="Q1196" s="4">
        <v>-73.952888000000002</v>
      </c>
      <c r="R1196" s="4">
        <v>40.818142999999999</v>
      </c>
      <c r="S1196" s="4">
        <v>-73.953198999999998</v>
      </c>
      <c r="T1196" s="2">
        <v>42930</v>
      </c>
      <c r="U1196" t="s">
        <v>49</v>
      </c>
      <c r="V1196" t="s">
        <v>71</v>
      </c>
      <c r="W1196" t="s">
        <v>51</v>
      </c>
      <c r="X1196" s="4">
        <v>1</v>
      </c>
      <c r="Y1196" s="4">
        <v>10</v>
      </c>
      <c r="Z1196" s="4">
        <v>7</v>
      </c>
      <c r="AE1196" s="4">
        <v>2</v>
      </c>
      <c r="AF1196" s="4">
        <v>15</v>
      </c>
      <c r="AG1196" s="4">
        <v>1</v>
      </c>
      <c r="AL1196" s="4">
        <v>18</v>
      </c>
      <c r="AN1196" s="4">
        <v>18</v>
      </c>
      <c r="AO1196" s="4">
        <v>18</v>
      </c>
    </row>
    <row r="1197" spans="1:41" hidden="1" x14ac:dyDescent="0.2">
      <c r="A1197" t="s">
        <v>2022</v>
      </c>
      <c r="B1197" t="s">
        <v>2023</v>
      </c>
      <c r="C1197" s="2">
        <v>42179</v>
      </c>
      <c r="D1197" s="2">
        <v>42930</v>
      </c>
      <c r="E1197" s="3">
        <v>5580</v>
      </c>
      <c r="F1197" t="s">
        <v>2026</v>
      </c>
      <c r="G1197" t="s">
        <v>87</v>
      </c>
      <c r="H1197" t="s">
        <v>45</v>
      </c>
      <c r="I1197" s="3">
        <v>10031</v>
      </c>
      <c r="J1197" s="3">
        <v>1019870036</v>
      </c>
      <c r="K1197" s="3">
        <v>1059742</v>
      </c>
      <c r="L1197" t="s">
        <v>169</v>
      </c>
      <c r="M1197" s="4">
        <v>7</v>
      </c>
      <c r="N1197" t="s">
        <v>170</v>
      </c>
      <c r="O1197" t="s">
        <v>171</v>
      </c>
      <c r="P1197" s="4">
        <v>40.818103999999998</v>
      </c>
      <c r="Q1197" s="4">
        <v>-73.952831000000003</v>
      </c>
      <c r="R1197" s="4">
        <v>40.818241999999998</v>
      </c>
      <c r="S1197" s="4">
        <v>-73.953126999999995</v>
      </c>
      <c r="T1197" s="2">
        <v>42930</v>
      </c>
      <c r="U1197" t="s">
        <v>49</v>
      </c>
      <c r="V1197" t="s">
        <v>71</v>
      </c>
      <c r="W1197" t="s">
        <v>51</v>
      </c>
      <c r="Y1197" s="4">
        <v>12</v>
      </c>
      <c r="Z1197" s="4">
        <v>10</v>
      </c>
      <c r="AE1197" s="4">
        <v>6</v>
      </c>
      <c r="AF1197" s="4">
        <v>16</v>
      </c>
      <c r="AL1197" s="4">
        <v>22</v>
      </c>
      <c r="AN1197" s="4">
        <v>22</v>
      </c>
      <c r="AO1197" s="4">
        <v>22</v>
      </c>
    </row>
    <row r="1198" spans="1:41" hidden="1" x14ac:dyDescent="0.2">
      <c r="A1198" t="s">
        <v>2027</v>
      </c>
      <c r="B1198" t="s">
        <v>2028</v>
      </c>
      <c r="C1198" s="2">
        <v>42179</v>
      </c>
      <c r="D1198" s="2">
        <v>43109</v>
      </c>
      <c r="E1198" s="3">
        <v>2713</v>
      </c>
      <c r="F1198" t="s">
        <v>2029</v>
      </c>
      <c r="G1198" t="s">
        <v>832</v>
      </c>
      <c r="H1198" t="s">
        <v>45</v>
      </c>
      <c r="I1198" s="3">
        <v>10037</v>
      </c>
      <c r="J1198" s="3">
        <v>1017630001</v>
      </c>
      <c r="K1198" s="3">
        <v>1054344</v>
      </c>
      <c r="L1198" t="s">
        <v>153</v>
      </c>
      <c r="M1198" s="4">
        <v>9</v>
      </c>
      <c r="N1198" t="s">
        <v>62</v>
      </c>
      <c r="O1198" t="s">
        <v>155</v>
      </c>
      <c r="P1198" s="4">
        <v>40.814945000000002</v>
      </c>
      <c r="Q1198" s="4">
        <v>-73.936012000000005</v>
      </c>
      <c r="R1198" s="4">
        <v>40.814768999999998</v>
      </c>
      <c r="S1198" s="4">
        <v>-73.935227999999995</v>
      </c>
      <c r="T1198" s="2">
        <v>43109</v>
      </c>
      <c r="U1198" t="s">
        <v>49</v>
      </c>
      <c r="V1198" t="s">
        <v>71</v>
      </c>
      <c r="W1198" t="s">
        <v>51</v>
      </c>
      <c r="AA1198" s="4">
        <v>297</v>
      </c>
      <c r="AD1198" s="4">
        <v>16</v>
      </c>
      <c r="AE1198" s="4">
        <v>191</v>
      </c>
      <c r="AF1198" s="4">
        <v>90</v>
      </c>
      <c r="AM1198" s="4">
        <v>297</v>
      </c>
      <c r="AN1198" s="4">
        <v>297</v>
      </c>
      <c r="AO1198" s="4">
        <v>297</v>
      </c>
    </row>
    <row r="1199" spans="1:41" hidden="1" x14ac:dyDescent="0.2">
      <c r="A1199" t="s">
        <v>2027</v>
      </c>
      <c r="B1199" t="s">
        <v>2028</v>
      </c>
      <c r="C1199" s="2">
        <v>42179</v>
      </c>
      <c r="D1199" s="2">
        <v>43109</v>
      </c>
      <c r="E1199" s="3">
        <v>2716</v>
      </c>
      <c r="F1199" t="s">
        <v>2030</v>
      </c>
      <c r="G1199" t="s">
        <v>832</v>
      </c>
      <c r="H1199" t="s">
        <v>45</v>
      </c>
      <c r="I1199" s="3">
        <v>10037</v>
      </c>
      <c r="J1199" s="3">
        <v>1017640001</v>
      </c>
      <c r="K1199" s="3">
        <v>1054345</v>
      </c>
      <c r="L1199" t="s">
        <v>153</v>
      </c>
      <c r="M1199" s="4">
        <v>9</v>
      </c>
      <c r="N1199" t="s">
        <v>62</v>
      </c>
      <c r="O1199" t="s">
        <v>155</v>
      </c>
      <c r="P1199" s="4">
        <v>40.815502000000002</v>
      </c>
      <c r="Q1199" s="4">
        <v>-73.935614000000001</v>
      </c>
      <c r="R1199" s="4">
        <v>40.815702000000002</v>
      </c>
      <c r="S1199" s="4">
        <v>-73.934881000000004</v>
      </c>
      <c r="T1199" s="2">
        <v>43109</v>
      </c>
      <c r="U1199" t="s">
        <v>49</v>
      </c>
      <c r="V1199" t="s">
        <v>71</v>
      </c>
      <c r="W1199" t="s">
        <v>51</v>
      </c>
      <c r="AA1199" s="4">
        <v>60</v>
      </c>
      <c r="AF1199" s="4">
        <v>52</v>
      </c>
      <c r="AG1199" s="4">
        <v>8</v>
      </c>
      <c r="AM1199" s="4">
        <v>60</v>
      </c>
      <c r="AN1199" s="4">
        <v>60</v>
      </c>
      <c r="AO1199" s="4">
        <v>60</v>
      </c>
    </row>
    <row r="1200" spans="1:41" hidden="1" x14ac:dyDescent="0.2">
      <c r="A1200" t="s">
        <v>2027</v>
      </c>
      <c r="B1200" t="s">
        <v>2028</v>
      </c>
      <c r="C1200" s="2">
        <v>42179</v>
      </c>
      <c r="D1200" s="2">
        <v>43109</v>
      </c>
      <c r="E1200" s="3">
        <v>804799</v>
      </c>
      <c r="F1200" t="s">
        <v>2031</v>
      </c>
      <c r="G1200" t="s">
        <v>832</v>
      </c>
      <c r="H1200" t="s">
        <v>45</v>
      </c>
      <c r="I1200" s="3">
        <v>10037</v>
      </c>
      <c r="J1200" s="3">
        <v>1017640001</v>
      </c>
      <c r="K1200" s="3">
        <v>1085294</v>
      </c>
      <c r="L1200" t="s">
        <v>153</v>
      </c>
      <c r="M1200" s="4">
        <v>9</v>
      </c>
      <c r="N1200" t="s">
        <v>62</v>
      </c>
      <c r="O1200" t="s">
        <v>155</v>
      </c>
      <c r="P1200" s="4">
        <v>40.816029</v>
      </c>
      <c r="Q1200" s="4">
        <v>-73.935226999999998</v>
      </c>
      <c r="R1200" s="4">
        <v>40.815702000000002</v>
      </c>
      <c r="S1200" s="4">
        <v>-73.934881000000004</v>
      </c>
      <c r="T1200" s="2">
        <v>43109</v>
      </c>
      <c r="U1200" t="s">
        <v>49</v>
      </c>
      <c r="V1200" t="s">
        <v>71</v>
      </c>
      <c r="W1200" t="s">
        <v>51</v>
      </c>
      <c r="AA1200" s="4">
        <v>84</v>
      </c>
      <c r="AD1200" s="4">
        <v>8</v>
      </c>
      <c r="AF1200" s="4">
        <v>60</v>
      </c>
      <c r="AG1200" s="4">
        <v>16</v>
      </c>
      <c r="AM1200" s="4">
        <v>84</v>
      </c>
      <c r="AN1200" s="4">
        <v>84</v>
      </c>
      <c r="AO1200" s="4">
        <v>84</v>
      </c>
    </row>
    <row r="1201" spans="1:41" hidden="1" x14ac:dyDescent="0.2">
      <c r="A1201" t="s">
        <v>2027</v>
      </c>
      <c r="B1201" t="s">
        <v>2028</v>
      </c>
      <c r="C1201" s="2">
        <v>42179</v>
      </c>
      <c r="D1201" s="2">
        <v>43109</v>
      </c>
      <c r="E1201" s="3">
        <v>904741</v>
      </c>
      <c r="F1201" t="s">
        <v>2032</v>
      </c>
      <c r="G1201" t="s">
        <v>832</v>
      </c>
      <c r="H1201" t="s">
        <v>45</v>
      </c>
      <c r="I1201" s="3">
        <v>10037</v>
      </c>
      <c r="J1201" s="3">
        <v>1017640001</v>
      </c>
      <c r="K1201" s="3">
        <v>1085296</v>
      </c>
      <c r="L1201" t="s">
        <v>153</v>
      </c>
      <c r="M1201" s="4">
        <v>9</v>
      </c>
      <c r="N1201" t="s">
        <v>62</v>
      </c>
      <c r="O1201" t="s">
        <v>155</v>
      </c>
      <c r="P1201" s="4">
        <v>40.816766999999999</v>
      </c>
      <c r="Q1201" s="4">
        <v>-73.934713000000002</v>
      </c>
      <c r="R1201" s="4">
        <v>40.815702000000002</v>
      </c>
      <c r="S1201" s="4">
        <v>-73.934881000000004</v>
      </c>
      <c r="T1201" s="2">
        <v>43109</v>
      </c>
      <c r="U1201" t="s">
        <v>49</v>
      </c>
      <c r="V1201" t="s">
        <v>71</v>
      </c>
      <c r="W1201" t="s">
        <v>51</v>
      </c>
      <c r="AA1201" s="4">
        <v>184</v>
      </c>
      <c r="AD1201" s="4">
        <v>7</v>
      </c>
      <c r="AE1201" s="4">
        <v>92</v>
      </c>
      <c r="AF1201" s="4">
        <v>61</v>
      </c>
      <c r="AG1201" s="4">
        <v>24</v>
      </c>
      <c r="AM1201" s="4">
        <v>184</v>
      </c>
      <c r="AN1201" s="4">
        <v>184</v>
      </c>
      <c r="AO1201" s="4">
        <v>184</v>
      </c>
    </row>
    <row r="1202" spans="1:41" hidden="1" x14ac:dyDescent="0.2">
      <c r="A1202" t="s">
        <v>2033</v>
      </c>
      <c r="B1202" t="s">
        <v>2034</v>
      </c>
      <c r="C1202" s="2">
        <v>42174</v>
      </c>
      <c r="D1202" s="2">
        <v>42871</v>
      </c>
      <c r="E1202" s="3">
        <v>43250</v>
      </c>
      <c r="F1202" t="s">
        <v>2035</v>
      </c>
      <c r="G1202" t="s">
        <v>1380</v>
      </c>
      <c r="H1202" t="s">
        <v>45</v>
      </c>
      <c r="I1202" s="3">
        <v>10033</v>
      </c>
      <c r="J1202" s="3">
        <v>1021310052</v>
      </c>
      <c r="K1202" s="3">
        <v>1063173</v>
      </c>
      <c r="L1202" t="s">
        <v>114</v>
      </c>
      <c r="M1202" s="4">
        <v>10</v>
      </c>
      <c r="N1202" t="s">
        <v>346</v>
      </c>
      <c r="O1202" t="s">
        <v>134</v>
      </c>
      <c r="P1202" s="4">
        <v>40.843693000000002</v>
      </c>
      <c r="Q1202" s="4">
        <v>-73.934473999999994</v>
      </c>
      <c r="R1202" s="4">
        <v>40.843995</v>
      </c>
      <c r="S1202" s="4">
        <v>-73.934622000000005</v>
      </c>
      <c r="T1202" s="2">
        <v>42871</v>
      </c>
      <c r="U1202" t="s">
        <v>49</v>
      </c>
      <c r="V1202" t="s">
        <v>71</v>
      </c>
      <c r="W1202" t="s">
        <v>51</v>
      </c>
      <c r="Z1202" s="4">
        <v>26</v>
      </c>
      <c r="AE1202" s="4">
        <v>5</v>
      </c>
      <c r="AF1202" s="4">
        <v>17</v>
      </c>
      <c r="AG1202" s="4">
        <v>4</v>
      </c>
      <c r="AL1202" s="4">
        <v>26</v>
      </c>
      <c r="AN1202" s="4">
        <v>26</v>
      </c>
      <c r="AO1202" s="4">
        <v>26</v>
      </c>
    </row>
    <row r="1203" spans="1:41" hidden="1" x14ac:dyDescent="0.2">
      <c r="A1203" t="s">
        <v>2036</v>
      </c>
      <c r="B1203" t="s">
        <v>2037</v>
      </c>
      <c r="C1203" s="2">
        <v>42167</v>
      </c>
      <c r="D1203" s="2">
        <v>43228</v>
      </c>
      <c r="E1203" s="3">
        <v>940179</v>
      </c>
      <c r="F1203" t="s">
        <v>1777</v>
      </c>
      <c r="G1203" t="s">
        <v>289</v>
      </c>
      <c r="H1203" t="s">
        <v>45</v>
      </c>
      <c r="I1203" s="3">
        <v>10035</v>
      </c>
      <c r="J1203" s="3">
        <v>1017110111</v>
      </c>
      <c r="K1203" s="3">
        <v>1088465</v>
      </c>
      <c r="L1203" t="s">
        <v>153</v>
      </c>
      <c r="M1203" s="4">
        <v>8</v>
      </c>
      <c r="N1203" t="s">
        <v>364</v>
      </c>
      <c r="O1203" t="s">
        <v>155</v>
      </c>
      <c r="P1203" s="4">
        <v>40.796398000000003</v>
      </c>
      <c r="Q1203" s="4">
        <v>-73.934217000000004</v>
      </c>
      <c r="R1203" s="4">
        <v>40.796458000000001</v>
      </c>
      <c r="S1203" s="4">
        <v>-73.933797999999996</v>
      </c>
      <c r="T1203" s="2">
        <v>43228</v>
      </c>
      <c r="U1203" t="s">
        <v>117</v>
      </c>
      <c r="V1203" t="s">
        <v>71</v>
      </c>
      <c r="W1203" t="s">
        <v>51</v>
      </c>
      <c r="Z1203" s="4">
        <v>2</v>
      </c>
      <c r="AD1203" s="4">
        <v>1</v>
      </c>
      <c r="AE1203" s="4">
        <v>1</v>
      </c>
      <c r="AL1203" s="4">
        <v>2</v>
      </c>
      <c r="AN1203" s="4">
        <v>2</v>
      </c>
      <c r="AO1203" s="4">
        <v>8</v>
      </c>
    </row>
    <row r="1204" spans="1:41" hidden="1" x14ac:dyDescent="0.2">
      <c r="A1204" t="s">
        <v>2038</v>
      </c>
      <c r="B1204" t="s">
        <v>2039</v>
      </c>
      <c r="C1204" s="2">
        <v>42166</v>
      </c>
      <c r="D1204" s="2">
        <v>43383</v>
      </c>
      <c r="E1204" s="3">
        <v>972438</v>
      </c>
      <c r="F1204" t="s">
        <v>2040</v>
      </c>
      <c r="G1204" t="s">
        <v>221</v>
      </c>
      <c r="H1204" t="s">
        <v>45</v>
      </c>
      <c r="I1204" s="3">
        <v>10037</v>
      </c>
      <c r="J1204" s="3">
        <v>1017367502</v>
      </c>
      <c r="K1204" s="3">
        <v>1090308</v>
      </c>
      <c r="L1204" t="s">
        <v>146</v>
      </c>
      <c r="M1204" s="4">
        <v>9</v>
      </c>
      <c r="N1204" t="s">
        <v>313</v>
      </c>
      <c r="O1204" t="s">
        <v>177</v>
      </c>
      <c r="P1204" s="4">
        <v>40.816282999999999</v>
      </c>
      <c r="Q1204" s="4">
        <v>-73.938095000000004</v>
      </c>
      <c r="R1204" s="4">
        <v>40.816132000000003</v>
      </c>
      <c r="S1204" s="4">
        <v>-73.938367</v>
      </c>
      <c r="T1204" s="2">
        <v>43383</v>
      </c>
      <c r="U1204" t="s">
        <v>117</v>
      </c>
      <c r="V1204" t="s">
        <v>71</v>
      </c>
      <c r="W1204" t="s">
        <v>51</v>
      </c>
      <c r="Z1204" s="4">
        <v>6</v>
      </c>
      <c r="AB1204" s="4">
        <v>36</v>
      </c>
      <c r="AE1204" s="4">
        <v>21</v>
      </c>
      <c r="AF1204" s="4">
        <v>21</v>
      </c>
      <c r="AM1204" s="4">
        <v>42</v>
      </c>
      <c r="AN1204" s="4">
        <v>42</v>
      </c>
      <c r="AO1204" s="4">
        <v>64</v>
      </c>
    </row>
    <row r="1205" spans="1:41" hidden="1" x14ac:dyDescent="0.2">
      <c r="A1205" t="s">
        <v>2041</v>
      </c>
      <c r="B1205" t="s">
        <v>2042</v>
      </c>
      <c r="C1205" s="2">
        <v>42165</v>
      </c>
      <c r="D1205" s="2">
        <v>43560</v>
      </c>
      <c r="E1205" s="3">
        <v>3607</v>
      </c>
      <c r="F1205" t="s">
        <v>2043</v>
      </c>
      <c r="G1205" t="s">
        <v>255</v>
      </c>
      <c r="H1205" t="s">
        <v>45</v>
      </c>
      <c r="I1205" s="3">
        <v>10030</v>
      </c>
      <c r="J1205" s="3">
        <v>1020290035</v>
      </c>
      <c r="K1205" s="3">
        <v>1060435</v>
      </c>
      <c r="L1205" t="s">
        <v>146</v>
      </c>
      <c r="M1205" s="4">
        <v>9</v>
      </c>
      <c r="N1205" t="s">
        <v>425</v>
      </c>
      <c r="O1205" t="s">
        <v>177</v>
      </c>
      <c r="P1205" s="4">
        <v>40.820754999999998</v>
      </c>
      <c r="Q1205" s="4">
        <v>-73.939732000000006</v>
      </c>
      <c r="R1205" s="4">
        <v>40.820953000000003</v>
      </c>
      <c r="S1205" s="4">
        <v>-73.940038999999999</v>
      </c>
      <c r="T1205" s="2">
        <v>43560</v>
      </c>
      <c r="U1205" t="s">
        <v>49</v>
      </c>
      <c r="V1205" t="s">
        <v>71</v>
      </c>
      <c r="W1205" t="s">
        <v>51</v>
      </c>
      <c r="Z1205" s="4">
        <v>8</v>
      </c>
      <c r="AE1205" s="4">
        <v>8</v>
      </c>
      <c r="AL1205" s="4">
        <v>8</v>
      </c>
      <c r="AN1205" s="4">
        <v>8</v>
      </c>
      <c r="AO1205" s="4">
        <v>8</v>
      </c>
    </row>
    <row r="1206" spans="1:41" hidden="1" x14ac:dyDescent="0.2">
      <c r="A1206" t="s">
        <v>2041</v>
      </c>
      <c r="B1206" t="s">
        <v>2042</v>
      </c>
      <c r="C1206" s="2">
        <v>42165</v>
      </c>
      <c r="D1206" s="2">
        <v>43560</v>
      </c>
      <c r="E1206" s="3">
        <v>4163</v>
      </c>
      <c r="F1206" t="s">
        <v>2044</v>
      </c>
      <c r="G1206" t="s">
        <v>175</v>
      </c>
      <c r="H1206" t="s">
        <v>45</v>
      </c>
      <c r="I1206" s="3">
        <v>10039</v>
      </c>
      <c r="J1206" s="3">
        <v>1020450074</v>
      </c>
      <c r="K1206" s="3">
        <v>1060834</v>
      </c>
      <c r="L1206" t="s">
        <v>146</v>
      </c>
      <c r="M1206" s="4">
        <v>9</v>
      </c>
      <c r="N1206" t="s">
        <v>909</v>
      </c>
      <c r="O1206" t="s">
        <v>177</v>
      </c>
      <c r="P1206" s="4">
        <v>40.825166000000003</v>
      </c>
      <c r="Q1206" s="4">
        <v>-73.940225999999996</v>
      </c>
      <c r="R1206" s="4">
        <v>40.825287000000003</v>
      </c>
      <c r="S1206" s="4">
        <v>-73.940526000000006</v>
      </c>
      <c r="T1206" s="2">
        <v>43144</v>
      </c>
      <c r="U1206" t="s">
        <v>49</v>
      </c>
      <c r="V1206" t="s">
        <v>71</v>
      </c>
      <c r="W1206" t="s">
        <v>51</v>
      </c>
      <c r="Z1206" s="4">
        <v>7</v>
      </c>
      <c r="AA1206" s="4">
        <v>1</v>
      </c>
      <c r="AF1206" s="4">
        <v>8</v>
      </c>
      <c r="AL1206" s="4">
        <v>8</v>
      </c>
      <c r="AN1206" s="4">
        <v>8</v>
      </c>
      <c r="AO1206" s="4">
        <v>8</v>
      </c>
    </row>
    <row r="1207" spans="1:41" hidden="1" x14ac:dyDescent="0.2">
      <c r="A1207" t="s">
        <v>2041</v>
      </c>
      <c r="B1207" t="s">
        <v>2042</v>
      </c>
      <c r="C1207" s="2">
        <v>42165</v>
      </c>
      <c r="D1207" s="2">
        <v>43560</v>
      </c>
      <c r="E1207" s="3">
        <v>7470</v>
      </c>
      <c r="F1207" t="s">
        <v>461</v>
      </c>
      <c r="G1207" t="s">
        <v>810</v>
      </c>
      <c r="H1207" t="s">
        <v>45</v>
      </c>
      <c r="I1207" s="3">
        <v>10039</v>
      </c>
      <c r="J1207" s="3">
        <v>1020460041</v>
      </c>
      <c r="K1207" s="3">
        <v>1060868</v>
      </c>
      <c r="L1207" t="s">
        <v>146</v>
      </c>
      <c r="M1207" s="4">
        <v>9</v>
      </c>
      <c r="N1207" t="s">
        <v>176</v>
      </c>
      <c r="O1207" t="s">
        <v>177</v>
      </c>
      <c r="P1207" s="4">
        <v>40.827452000000001</v>
      </c>
      <c r="Q1207" s="4">
        <v>-73.939826999999994</v>
      </c>
      <c r="R1207" s="4">
        <v>40.827421999999999</v>
      </c>
      <c r="S1207" s="4">
        <v>-73.939454999999995</v>
      </c>
      <c r="T1207" s="2">
        <v>43187</v>
      </c>
      <c r="U1207" t="s">
        <v>49</v>
      </c>
      <c r="V1207" t="s">
        <v>71</v>
      </c>
      <c r="W1207" t="s">
        <v>51</v>
      </c>
      <c r="Y1207" s="4">
        <v>6</v>
      </c>
      <c r="Z1207" s="4">
        <v>14</v>
      </c>
      <c r="AD1207" s="4">
        <v>1</v>
      </c>
      <c r="AE1207" s="4">
        <v>10</v>
      </c>
      <c r="AF1207" s="4">
        <v>4</v>
      </c>
      <c r="AG1207" s="4">
        <v>1</v>
      </c>
      <c r="AH1207" s="4">
        <v>4</v>
      </c>
      <c r="AL1207" s="4">
        <v>20</v>
      </c>
      <c r="AN1207" s="4">
        <v>20</v>
      </c>
      <c r="AO1207" s="4">
        <v>20</v>
      </c>
    </row>
    <row r="1208" spans="1:41" hidden="1" x14ac:dyDescent="0.2">
      <c r="A1208" t="s">
        <v>2041</v>
      </c>
      <c r="B1208" t="s">
        <v>2042</v>
      </c>
      <c r="C1208" s="2">
        <v>42165</v>
      </c>
      <c r="D1208" s="2">
        <v>43560</v>
      </c>
      <c r="E1208" s="3">
        <v>42323</v>
      </c>
      <c r="F1208" t="s">
        <v>425</v>
      </c>
      <c r="G1208" t="s">
        <v>548</v>
      </c>
      <c r="H1208" t="s">
        <v>45</v>
      </c>
      <c r="I1208" s="3">
        <v>10039</v>
      </c>
      <c r="J1208" s="3">
        <v>1020340052</v>
      </c>
      <c r="K1208" s="3">
        <v>1060577</v>
      </c>
      <c r="L1208" t="s">
        <v>146</v>
      </c>
      <c r="M1208" s="4">
        <v>9</v>
      </c>
      <c r="N1208" t="s">
        <v>544</v>
      </c>
      <c r="O1208" t="s">
        <v>177</v>
      </c>
      <c r="P1208" s="4">
        <v>40.824655</v>
      </c>
      <c r="Q1208" s="4">
        <v>-73.938359000000005</v>
      </c>
      <c r="R1208" s="4">
        <v>40.824696000000003</v>
      </c>
      <c r="S1208" s="4">
        <v>-73.939034000000007</v>
      </c>
      <c r="T1208" s="2">
        <v>43138</v>
      </c>
      <c r="U1208" t="s">
        <v>49</v>
      </c>
      <c r="V1208" t="s">
        <v>71</v>
      </c>
      <c r="W1208" t="s">
        <v>51</v>
      </c>
      <c r="Y1208" s="4">
        <v>11</v>
      </c>
      <c r="Z1208" s="4">
        <v>7</v>
      </c>
      <c r="AD1208" s="4">
        <v>1</v>
      </c>
      <c r="AE1208" s="4">
        <v>5</v>
      </c>
      <c r="AF1208" s="4">
        <v>12</v>
      </c>
      <c r="AL1208" s="4">
        <v>18</v>
      </c>
      <c r="AN1208" s="4">
        <v>18</v>
      </c>
      <c r="AO1208" s="4">
        <v>18</v>
      </c>
    </row>
    <row r="1209" spans="1:41" hidden="1" x14ac:dyDescent="0.2">
      <c r="A1209" t="s">
        <v>2045</v>
      </c>
      <c r="B1209" t="s">
        <v>2046</v>
      </c>
      <c r="C1209" s="2">
        <v>42144</v>
      </c>
      <c r="D1209" s="2">
        <v>43619</v>
      </c>
      <c r="E1209" s="3">
        <v>13694</v>
      </c>
      <c r="F1209" t="s">
        <v>313</v>
      </c>
      <c r="G1209" t="s">
        <v>1130</v>
      </c>
      <c r="H1209" t="s">
        <v>45</v>
      </c>
      <c r="I1209" s="3">
        <v>10017</v>
      </c>
      <c r="J1209" s="3">
        <v>1013177501</v>
      </c>
      <c r="K1209" s="3">
        <v>1000000</v>
      </c>
      <c r="L1209" t="s">
        <v>165</v>
      </c>
      <c r="M1209" s="4">
        <v>4</v>
      </c>
      <c r="N1209" t="s">
        <v>358</v>
      </c>
      <c r="O1209" t="s">
        <v>239</v>
      </c>
      <c r="P1209" s="4">
        <v>40.751835999999997</v>
      </c>
      <c r="Q1209" s="4">
        <v>-73.972981000000004</v>
      </c>
      <c r="R1209" s="4">
        <v>40.751311999999999</v>
      </c>
      <c r="S1209" s="4">
        <v>-73.972689000000003</v>
      </c>
      <c r="T1209" s="2">
        <v>43619</v>
      </c>
      <c r="U1209" t="s">
        <v>117</v>
      </c>
      <c r="V1209" t="s">
        <v>71</v>
      </c>
      <c r="W1209" t="s">
        <v>51</v>
      </c>
      <c r="Y1209" s="4">
        <v>43</v>
      </c>
      <c r="Z1209" s="4">
        <v>44</v>
      </c>
      <c r="AB1209" s="4">
        <v>22</v>
      </c>
      <c r="AD1209" s="4">
        <v>39</v>
      </c>
      <c r="AE1209" s="4">
        <v>51</v>
      </c>
      <c r="AF1209" s="4">
        <v>19</v>
      </c>
      <c r="AL1209" s="4">
        <v>109</v>
      </c>
      <c r="AN1209" s="4">
        <v>109</v>
      </c>
      <c r="AO1209" s="4">
        <v>429</v>
      </c>
    </row>
    <row r="1210" spans="1:41" hidden="1" x14ac:dyDescent="0.2">
      <c r="A1210" t="s">
        <v>2047</v>
      </c>
      <c r="B1210" t="s">
        <v>2048</v>
      </c>
      <c r="C1210" s="2">
        <v>42139</v>
      </c>
      <c r="D1210" s="2">
        <v>43000</v>
      </c>
      <c r="E1210" s="3">
        <v>966330</v>
      </c>
      <c r="F1210" t="s">
        <v>405</v>
      </c>
      <c r="G1210" t="s">
        <v>152</v>
      </c>
      <c r="H1210" t="s">
        <v>45</v>
      </c>
      <c r="I1210" s="3">
        <v>10035</v>
      </c>
      <c r="J1210" s="3">
        <v>1017500028</v>
      </c>
      <c r="K1210" s="3">
        <v>1089917</v>
      </c>
      <c r="L1210" t="s">
        <v>153</v>
      </c>
      <c r="M1210" s="4">
        <v>9</v>
      </c>
      <c r="N1210" t="s">
        <v>833</v>
      </c>
      <c r="O1210" t="s">
        <v>155</v>
      </c>
      <c r="P1210" s="4">
        <v>40.805458999999999</v>
      </c>
      <c r="Q1210" s="4">
        <v>-73.939969000000005</v>
      </c>
      <c r="R1210" s="4">
        <v>40.805681</v>
      </c>
      <c r="S1210" s="4">
        <v>-73.939594</v>
      </c>
      <c r="T1210" s="2">
        <v>43000</v>
      </c>
      <c r="U1210" t="s">
        <v>117</v>
      </c>
      <c r="V1210" t="s">
        <v>71</v>
      </c>
      <c r="W1210" t="s">
        <v>51</v>
      </c>
      <c r="Z1210" s="4">
        <v>15</v>
      </c>
      <c r="AD1210" s="4">
        <v>3</v>
      </c>
      <c r="AE1210" s="4">
        <v>4</v>
      </c>
      <c r="AF1210" s="4">
        <v>8</v>
      </c>
      <c r="AL1210" s="4">
        <v>15</v>
      </c>
      <c r="AN1210" s="4">
        <v>15</v>
      </c>
      <c r="AO1210" s="4">
        <v>75</v>
      </c>
    </row>
    <row r="1211" spans="1:41" hidden="1" x14ac:dyDescent="0.2">
      <c r="A1211" t="s">
        <v>2049</v>
      </c>
      <c r="B1211" t="s">
        <v>2050</v>
      </c>
      <c r="C1211" s="2">
        <v>42138</v>
      </c>
      <c r="D1211" s="2">
        <v>42878</v>
      </c>
      <c r="E1211" s="3">
        <v>966614</v>
      </c>
      <c r="F1211" t="s">
        <v>1398</v>
      </c>
      <c r="G1211" t="s">
        <v>2051</v>
      </c>
      <c r="H1211" t="s">
        <v>45</v>
      </c>
      <c r="I1211" s="3">
        <v>10010</v>
      </c>
      <c r="J1211" s="3">
        <v>1008237507</v>
      </c>
      <c r="K1211" s="3">
        <v>1090231</v>
      </c>
      <c r="L1211" t="s">
        <v>655</v>
      </c>
      <c r="M1211" s="4">
        <v>3</v>
      </c>
      <c r="N1211" t="s">
        <v>1176</v>
      </c>
      <c r="O1211" t="s">
        <v>1127</v>
      </c>
      <c r="P1211" s="4">
        <v>40.740530999999997</v>
      </c>
      <c r="Q1211" s="4">
        <v>-73.991129999999998</v>
      </c>
      <c r="R1211" s="4">
        <v>40.740943000000001</v>
      </c>
      <c r="S1211" s="4">
        <v>-73.991129999999998</v>
      </c>
      <c r="T1211" s="2">
        <v>42878</v>
      </c>
      <c r="U1211" t="s">
        <v>117</v>
      </c>
      <c r="V1211" t="s">
        <v>71</v>
      </c>
      <c r="W1211" t="s">
        <v>51</v>
      </c>
      <c r="Z1211" s="4">
        <v>58</v>
      </c>
      <c r="AD1211" s="4">
        <v>12</v>
      </c>
      <c r="AE1211" s="4">
        <v>33</v>
      </c>
      <c r="AF1211" s="4">
        <v>12</v>
      </c>
      <c r="AG1211" s="4">
        <v>1</v>
      </c>
      <c r="AL1211" s="4">
        <v>58</v>
      </c>
      <c r="AN1211" s="4">
        <v>58</v>
      </c>
      <c r="AO1211" s="4">
        <v>289</v>
      </c>
    </row>
    <row r="1212" spans="1:41" hidden="1" x14ac:dyDescent="0.2">
      <c r="A1212" t="s">
        <v>2052</v>
      </c>
      <c r="B1212" t="s">
        <v>2053</v>
      </c>
      <c r="C1212" s="2">
        <v>42135</v>
      </c>
      <c r="D1212" s="2">
        <v>43383</v>
      </c>
      <c r="E1212" s="3">
        <v>966340</v>
      </c>
      <c r="F1212" t="s">
        <v>2054</v>
      </c>
      <c r="G1212" t="s">
        <v>620</v>
      </c>
      <c r="H1212" t="s">
        <v>45</v>
      </c>
      <c r="I1212" s="3">
        <v>10009</v>
      </c>
      <c r="J1212" s="3">
        <v>1003767501</v>
      </c>
      <c r="K1212" s="3">
        <v>1090645</v>
      </c>
      <c r="L1212" t="s">
        <v>64</v>
      </c>
      <c r="M1212" s="4">
        <v>2</v>
      </c>
      <c r="N1212" t="s">
        <v>603</v>
      </c>
      <c r="O1212" t="s">
        <v>197</v>
      </c>
      <c r="P1212" s="4">
        <v>40.722880000000004</v>
      </c>
      <c r="Q1212" s="4">
        <v>-73.977772999999999</v>
      </c>
      <c r="R1212" s="4">
        <v>40.722880000000004</v>
      </c>
      <c r="S1212" s="4">
        <v>-73.976975999999993</v>
      </c>
      <c r="T1212" s="2">
        <v>43383</v>
      </c>
      <c r="U1212" t="s">
        <v>117</v>
      </c>
      <c r="V1212" t="s">
        <v>71</v>
      </c>
      <c r="W1212" t="s">
        <v>51</v>
      </c>
      <c r="Y1212" s="4">
        <v>11</v>
      </c>
      <c r="Z1212" s="4">
        <v>11</v>
      </c>
      <c r="AB1212" s="4">
        <v>6</v>
      </c>
      <c r="AD1212" s="4">
        <v>10</v>
      </c>
      <c r="AE1212" s="4">
        <v>9</v>
      </c>
      <c r="AF1212" s="4">
        <v>8</v>
      </c>
      <c r="AG1212" s="4">
        <v>1</v>
      </c>
      <c r="AL1212" s="4">
        <v>28</v>
      </c>
      <c r="AN1212" s="4">
        <v>28</v>
      </c>
      <c r="AO1212" s="4">
        <v>110</v>
      </c>
    </row>
    <row r="1213" spans="1:41" x14ac:dyDescent="0.2">
      <c r="A1213" t="s">
        <v>2055</v>
      </c>
      <c r="B1213" t="s">
        <v>2056</v>
      </c>
      <c r="C1213" s="2">
        <v>42132</v>
      </c>
      <c r="D1213" s="2">
        <v>43538</v>
      </c>
      <c r="E1213" s="3">
        <v>966480</v>
      </c>
      <c r="F1213" t="s">
        <v>1115</v>
      </c>
      <c r="G1213" t="s">
        <v>2057</v>
      </c>
      <c r="H1213" t="s">
        <v>45</v>
      </c>
      <c r="I1213" s="3">
        <v>10038</v>
      </c>
      <c r="J1213" s="3">
        <v>1000780047</v>
      </c>
      <c r="K1213" s="3">
        <v>1090115</v>
      </c>
      <c r="L1213" t="s">
        <v>215</v>
      </c>
      <c r="M1213" s="4">
        <v>1</v>
      </c>
      <c r="N1213" t="s">
        <v>2058</v>
      </c>
      <c r="O1213" t="s">
        <v>217</v>
      </c>
      <c r="P1213" s="4">
        <v>40.710039999999999</v>
      </c>
      <c r="Q1213" s="4">
        <v>-74.007405000000006</v>
      </c>
      <c r="R1213" s="4">
        <v>40.709814000000001</v>
      </c>
      <c r="S1213" s="4">
        <v>-74.007379999999998</v>
      </c>
      <c r="T1213" s="2">
        <v>43538</v>
      </c>
      <c r="U1213" t="s">
        <v>117</v>
      </c>
      <c r="V1213" t="s">
        <v>71</v>
      </c>
      <c r="W1213" t="s">
        <v>51</v>
      </c>
      <c r="Z1213" s="4">
        <v>97</v>
      </c>
      <c r="AD1213" s="4">
        <v>31</v>
      </c>
      <c r="AE1213" s="4">
        <v>56</v>
      </c>
      <c r="AF1213" s="4">
        <v>10</v>
      </c>
      <c r="AL1213" s="4">
        <v>97</v>
      </c>
      <c r="AN1213" s="4">
        <v>97</v>
      </c>
      <c r="AO1213" s="4">
        <v>483</v>
      </c>
    </row>
    <row r="1214" spans="1:41" hidden="1" x14ac:dyDescent="0.2">
      <c r="A1214" t="s">
        <v>2059</v>
      </c>
      <c r="B1214" t="s">
        <v>2060</v>
      </c>
      <c r="C1214" s="2">
        <v>42128</v>
      </c>
      <c r="D1214" s="2">
        <v>43741</v>
      </c>
      <c r="E1214" s="3">
        <v>927213</v>
      </c>
      <c r="F1214" t="s">
        <v>2061</v>
      </c>
      <c r="G1214" t="s">
        <v>2062</v>
      </c>
      <c r="H1214" t="s">
        <v>45</v>
      </c>
      <c r="I1214" s="3">
        <v>10019</v>
      </c>
      <c r="J1214" s="3">
        <v>1010817501</v>
      </c>
      <c r="K1214" s="3">
        <v>1090143</v>
      </c>
      <c r="L1214" t="s">
        <v>78</v>
      </c>
      <c r="M1214" s="4">
        <v>3</v>
      </c>
      <c r="N1214" t="s">
        <v>2063</v>
      </c>
      <c r="O1214" t="s">
        <v>80</v>
      </c>
      <c r="P1214" s="4">
        <v>40.766520999999997</v>
      </c>
      <c r="Q1214" s="4">
        <v>-73.992253000000005</v>
      </c>
      <c r="R1214" s="4">
        <v>40.766837000000002</v>
      </c>
      <c r="S1214" s="4">
        <v>-73.991971000000007</v>
      </c>
      <c r="T1214" s="2">
        <v>43546</v>
      </c>
      <c r="U1214" t="s">
        <v>117</v>
      </c>
      <c r="V1214" t="s">
        <v>71</v>
      </c>
      <c r="W1214" t="s">
        <v>51</v>
      </c>
      <c r="Z1214" s="4">
        <v>24</v>
      </c>
      <c r="AA1214" s="4">
        <v>26</v>
      </c>
      <c r="AB1214" s="4">
        <v>52</v>
      </c>
      <c r="AC1214" s="4">
        <v>1</v>
      </c>
      <c r="AD1214" s="4">
        <v>14</v>
      </c>
      <c r="AE1214" s="4">
        <v>37</v>
      </c>
      <c r="AF1214" s="4">
        <v>48</v>
      </c>
      <c r="AG1214" s="4">
        <v>4</v>
      </c>
      <c r="AL1214" s="4">
        <v>103</v>
      </c>
      <c r="AN1214" s="4">
        <v>103</v>
      </c>
      <c r="AO1214" s="4">
        <v>103</v>
      </c>
    </row>
    <row r="1215" spans="1:41" hidden="1" x14ac:dyDescent="0.2">
      <c r="A1215" t="s">
        <v>2064</v>
      </c>
      <c r="B1215" t="s">
        <v>2065</v>
      </c>
      <c r="C1215" s="2">
        <v>42128</v>
      </c>
      <c r="D1215" s="2">
        <v>43264</v>
      </c>
      <c r="E1215" s="3">
        <v>927213</v>
      </c>
      <c r="F1215" t="s">
        <v>2061</v>
      </c>
      <c r="G1215" t="s">
        <v>2062</v>
      </c>
      <c r="H1215" t="s">
        <v>45</v>
      </c>
      <c r="I1215" s="3">
        <v>10019</v>
      </c>
      <c r="J1215" s="3">
        <v>1010817501</v>
      </c>
      <c r="K1215" s="3">
        <v>1090143</v>
      </c>
      <c r="L1215" t="s">
        <v>78</v>
      </c>
      <c r="M1215" s="4">
        <v>3</v>
      </c>
      <c r="N1215" t="s">
        <v>2063</v>
      </c>
      <c r="O1215" t="s">
        <v>80</v>
      </c>
      <c r="P1215" s="4">
        <v>40.766520999999997</v>
      </c>
      <c r="Q1215" s="4">
        <v>-73.992253000000005</v>
      </c>
      <c r="R1215" s="4">
        <v>40.766837000000002</v>
      </c>
      <c r="S1215" s="4">
        <v>-73.991971000000007</v>
      </c>
      <c r="T1215" s="2">
        <v>43264</v>
      </c>
      <c r="U1215" t="s">
        <v>117</v>
      </c>
      <c r="V1215" t="s">
        <v>71</v>
      </c>
      <c r="W1215" t="s">
        <v>51</v>
      </c>
      <c r="Z1215" s="4">
        <v>79</v>
      </c>
      <c r="AD1215" s="4">
        <v>19</v>
      </c>
      <c r="AE1215" s="4">
        <v>39</v>
      </c>
      <c r="AF1215" s="4">
        <v>21</v>
      </c>
      <c r="AL1215" s="4">
        <v>79</v>
      </c>
      <c r="AN1215" s="4">
        <v>79</v>
      </c>
      <c r="AO1215" s="4">
        <v>392</v>
      </c>
    </row>
    <row r="1216" spans="1:41" hidden="1" x14ac:dyDescent="0.2">
      <c r="A1216" t="s">
        <v>2066</v>
      </c>
      <c r="B1216" t="s">
        <v>2067</v>
      </c>
      <c r="C1216" s="2">
        <v>42122</v>
      </c>
      <c r="D1216" s="2">
        <v>42930</v>
      </c>
      <c r="E1216" s="3">
        <v>950146</v>
      </c>
      <c r="F1216" t="s">
        <v>656</v>
      </c>
      <c r="G1216" t="s">
        <v>1706</v>
      </c>
      <c r="H1216" t="s">
        <v>45</v>
      </c>
      <c r="I1216" s="3">
        <v>10014</v>
      </c>
      <c r="J1216" s="3">
        <v>1005800011</v>
      </c>
      <c r="K1216" s="3">
        <v>1090545</v>
      </c>
      <c r="L1216" t="s">
        <v>161</v>
      </c>
      <c r="M1216" s="4">
        <v>3</v>
      </c>
      <c r="N1216" t="s">
        <v>303</v>
      </c>
      <c r="O1216" t="s">
        <v>927</v>
      </c>
      <c r="P1216" s="4">
        <v>40.727235</v>
      </c>
      <c r="Q1216" s="4">
        <v>-74.006433000000001</v>
      </c>
      <c r="R1216" s="4">
        <v>40.72692</v>
      </c>
      <c r="S1216" s="4">
        <v>-74.006439999999998</v>
      </c>
      <c r="T1216" s="2">
        <v>42930</v>
      </c>
      <c r="U1216" t="s">
        <v>117</v>
      </c>
      <c r="V1216" t="s">
        <v>71</v>
      </c>
      <c r="W1216" t="s">
        <v>51</v>
      </c>
      <c r="Z1216" s="4">
        <v>29</v>
      </c>
      <c r="AD1216" s="4">
        <v>7</v>
      </c>
      <c r="AE1216" s="4">
        <v>2</v>
      </c>
      <c r="AF1216" s="4">
        <v>20</v>
      </c>
      <c r="AL1216" s="4">
        <v>29</v>
      </c>
      <c r="AN1216" s="4">
        <v>29</v>
      </c>
      <c r="AO1216" s="4">
        <v>122</v>
      </c>
    </row>
    <row r="1217" spans="1:41" hidden="1" x14ac:dyDescent="0.2">
      <c r="A1217" t="s">
        <v>2068</v>
      </c>
      <c r="B1217" t="s">
        <v>2069</v>
      </c>
      <c r="C1217" s="2">
        <v>42111</v>
      </c>
      <c r="D1217" s="2">
        <v>43936</v>
      </c>
      <c r="E1217" s="3">
        <v>31902</v>
      </c>
      <c r="F1217" t="s">
        <v>547</v>
      </c>
      <c r="G1217" t="s">
        <v>1126</v>
      </c>
      <c r="H1217" t="s">
        <v>45</v>
      </c>
      <c r="I1217" s="3">
        <v>10001</v>
      </c>
      <c r="J1217" s="3">
        <v>1007780033</v>
      </c>
      <c r="K1217" s="3">
        <v>1014260</v>
      </c>
      <c r="L1217" t="s">
        <v>655</v>
      </c>
      <c r="M1217" s="4">
        <v>3</v>
      </c>
      <c r="N1217" t="s">
        <v>900</v>
      </c>
      <c r="O1217" t="s">
        <v>1127</v>
      </c>
      <c r="P1217" s="4">
        <v>40.747511000000003</v>
      </c>
      <c r="Q1217" s="4">
        <v>-73.993983999999998</v>
      </c>
      <c r="R1217" s="4">
        <v>40.747700000000002</v>
      </c>
      <c r="S1217" s="4">
        <v>-73.993893999999997</v>
      </c>
      <c r="T1217" s="2">
        <v>43936</v>
      </c>
      <c r="U1217" t="s">
        <v>117</v>
      </c>
      <c r="V1217" t="s">
        <v>71</v>
      </c>
      <c r="W1217" t="s">
        <v>51</v>
      </c>
      <c r="Z1217" s="4">
        <v>37</v>
      </c>
      <c r="AD1217" s="4">
        <v>37</v>
      </c>
      <c r="AL1217" s="4">
        <v>37</v>
      </c>
      <c r="AN1217" s="4">
        <v>37</v>
      </c>
      <c r="AO1217" s="4">
        <v>37</v>
      </c>
    </row>
    <row r="1218" spans="1:41" hidden="1" x14ac:dyDescent="0.2">
      <c r="A1218" t="s">
        <v>2070</v>
      </c>
      <c r="B1218" t="s">
        <v>2071</v>
      </c>
      <c r="C1218" s="2">
        <v>42102</v>
      </c>
      <c r="D1218" s="2">
        <v>42102</v>
      </c>
      <c r="E1218" s="3">
        <v>945392</v>
      </c>
      <c r="F1218" t="s">
        <v>694</v>
      </c>
      <c r="G1218" t="s">
        <v>317</v>
      </c>
      <c r="H1218" t="s">
        <v>45</v>
      </c>
      <c r="I1218" s="3">
        <v>10026</v>
      </c>
      <c r="J1218" s="3">
        <v>1018310023</v>
      </c>
      <c r="K1218" s="3">
        <v>1088835</v>
      </c>
      <c r="L1218" t="s">
        <v>146</v>
      </c>
      <c r="M1218" s="4">
        <v>9</v>
      </c>
      <c r="N1218" t="s">
        <v>318</v>
      </c>
      <c r="O1218" t="s">
        <v>148</v>
      </c>
      <c r="P1218" s="4">
        <v>40.802762000000001</v>
      </c>
      <c r="Q1218" s="4">
        <v>-73.953541999999999</v>
      </c>
      <c r="R1218" s="4">
        <v>40.803102000000003</v>
      </c>
      <c r="S1218" s="4">
        <v>-73.953755000000001</v>
      </c>
      <c r="T1218" s="2">
        <v>42102</v>
      </c>
      <c r="U1218" t="s">
        <v>117</v>
      </c>
      <c r="V1218" t="s">
        <v>71</v>
      </c>
      <c r="W1218" t="s">
        <v>51</v>
      </c>
      <c r="Z1218" s="4">
        <v>10</v>
      </c>
      <c r="AE1218" s="4">
        <v>9</v>
      </c>
      <c r="AF1218" s="4">
        <v>1</v>
      </c>
      <c r="AL1218" s="4">
        <v>10</v>
      </c>
      <c r="AN1218" s="4">
        <v>10</v>
      </c>
      <c r="AO1218" s="4">
        <v>29</v>
      </c>
    </row>
    <row r="1219" spans="1:41" hidden="1" x14ac:dyDescent="0.2">
      <c r="A1219" t="s">
        <v>2072</v>
      </c>
      <c r="B1219" t="s">
        <v>2073</v>
      </c>
      <c r="C1219" s="2">
        <v>42089</v>
      </c>
      <c r="D1219" s="2">
        <v>42935</v>
      </c>
      <c r="E1219" s="3">
        <v>948170</v>
      </c>
      <c r="F1219" t="s">
        <v>2074</v>
      </c>
      <c r="G1219" t="s">
        <v>779</v>
      </c>
      <c r="H1219" t="s">
        <v>45</v>
      </c>
      <c r="I1219" s="3">
        <v>10018</v>
      </c>
      <c r="J1219" s="3">
        <v>1010697501</v>
      </c>
      <c r="K1219" s="3">
        <v>1000000</v>
      </c>
      <c r="L1219" t="s">
        <v>78</v>
      </c>
      <c r="M1219" s="4">
        <v>3</v>
      </c>
      <c r="N1219" t="s">
        <v>913</v>
      </c>
      <c r="O1219" t="s">
        <v>183</v>
      </c>
      <c r="P1219" s="4">
        <v>40.758778</v>
      </c>
      <c r="Q1219" s="4">
        <v>-73.996105</v>
      </c>
      <c r="R1219" s="4">
        <v>40.758758999999998</v>
      </c>
      <c r="S1219" s="4">
        <v>-73.996499</v>
      </c>
      <c r="T1219" s="2">
        <v>42935</v>
      </c>
      <c r="U1219" t="s">
        <v>117</v>
      </c>
      <c r="V1219" t="s">
        <v>71</v>
      </c>
      <c r="W1219" t="s">
        <v>51</v>
      </c>
      <c r="Z1219" s="4">
        <v>120</v>
      </c>
      <c r="AD1219" s="4">
        <v>21</v>
      </c>
      <c r="AE1219" s="4">
        <v>65</v>
      </c>
      <c r="AF1219" s="4">
        <v>29</v>
      </c>
      <c r="AG1219" s="4">
        <v>5</v>
      </c>
      <c r="AL1219" s="4">
        <v>120</v>
      </c>
      <c r="AN1219" s="4">
        <v>120</v>
      </c>
      <c r="AO1219" s="4">
        <v>598</v>
      </c>
    </row>
    <row r="1220" spans="1:41" hidden="1" x14ac:dyDescent="0.2">
      <c r="A1220" t="s">
        <v>2075</v>
      </c>
      <c r="B1220" t="s">
        <v>2076</v>
      </c>
      <c r="C1220" s="2">
        <v>42067</v>
      </c>
      <c r="D1220" s="2">
        <v>43641</v>
      </c>
      <c r="E1220" s="3">
        <v>953908</v>
      </c>
      <c r="F1220" t="s">
        <v>507</v>
      </c>
      <c r="G1220" t="s">
        <v>847</v>
      </c>
      <c r="H1220" t="s">
        <v>45</v>
      </c>
      <c r="I1220" s="3">
        <v>10018</v>
      </c>
      <c r="J1220" s="3">
        <v>1007107501</v>
      </c>
      <c r="K1220" s="3">
        <v>1089733</v>
      </c>
      <c r="L1220" t="s">
        <v>78</v>
      </c>
      <c r="M1220" s="4">
        <v>3</v>
      </c>
      <c r="N1220" t="s">
        <v>913</v>
      </c>
      <c r="O1220" t="s">
        <v>183</v>
      </c>
      <c r="P1220" s="4">
        <v>40.757342999999999</v>
      </c>
      <c r="Q1220" s="4">
        <v>-73.997831000000005</v>
      </c>
      <c r="R1220" s="4">
        <v>40.757683</v>
      </c>
      <c r="S1220" s="4">
        <v>-73.997971000000007</v>
      </c>
      <c r="T1220" s="2">
        <v>43641</v>
      </c>
      <c r="U1220" t="s">
        <v>117</v>
      </c>
      <c r="V1220" t="s">
        <v>71</v>
      </c>
      <c r="W1220" t="s">
        <v>51</v>
      </c>
      <c r="Z1220" s="4">
        <v>46</v>
      </c>
      <c r="AD1220" s="4">
        <v>15</v>
      </c>
      <c r="AE1220" s="4">
        <v>25</v>
      </c>
      <c r="AF1220" s="4">
        <v>6</v>
      </c>
      <c r="AL1220" s="4">
        <v>46</v>
      </c>
      <c r="AN1220" s="4">
        <v>46</v>
      </c>
      <c r="AO1220" s="4">
        <v>225</v>
      </c>
    </row>
    <row r="1221" spans="1:41" x14ac:dyDescent="0.2">
      <c r="A1221" t="s">
        <v>2077</v>
      </c>
      <c r="B1221" t="s">
        <v>2078</v>
      </c>
      <c r="C1221" s="2">
        <v>42061</v>
      </c>
      <c r="D1221" s="2">
        <v>43493</v>
      </c>
      <c r="E1221" s="3">
        <v>954103</v>
      </c>
      <c r="F1221" t="s">
        <v>1174</v>
      </c>
      <c r="G1221" t="s">
        <v>2057</v>
      </c>
      <c r="H1221" t="s">
        <v>45</v>
      </c>
      <c r="I1221" s="3">
        <v>10038</v>
      </c>
      <c r="J1221" s="3">
        <v>1000760006</v>
      </c>
      <c r="K1221" s="3">
        <v>1090416</v>
      </c>
      <c r="L1221" t="s">
        <v>215</v>
      </c>
      <c r="M1221" s="4">
        <v>1</v>
      </c>
      <c r="N1221" t="s">
        <v>2058</v>
      </c>
      <c r="O1221" t="s">
        <v>217</v>
      </c>
      <c r="P1221" s="4">
        <v>40.708500000000001</v>
      </c>
      <c r="Q1221" s="4">
        <v>-74.004915999999994</v>
      </c>
      <c r="R1221" s="4">
        <v>40.708525000000002</v>
      </c>
      <c r="S1221" s="4">
        <v>-74.005168999999995</v>
      </c>
      <c r="T1221" s="2">
        <v>43493</v>
      </c>
      <c r="U1221" t="s">
        <v>117</v>
      </c>
      <c r="V1221" t="s">
        <v>71</v>
      </c>
      <c r="W1221" t="s">
        <v>51</v>
      </c>
      <c r="Y1221" s="4">
        <v>12</v>
      </c>
      <c r="Z1221" s="4">
        <v>12</v>
      </c>
      <c r="AB1221" s="4">
        <v>6</v>
      </c>
      <c r="AD1221" s="4">
        <v>9</v>
      </c>
      <c r="AE1221" s="4">
        <v>10</v>
      </c>
      <c r="AF1221" s="4">
        <v>11</v>
      </c>
      <c r="AL1221" s="4">
        <v>30</v>
      </c>
      <c r="AN1221" s="4">
        <v>30</v>
      </c>
      <c r="AO1221" s="4">
        <v>120</v>
      </c>
    </row>
    <row r="1222" spans="1:41" hidden="1" x14ac:dyDescent="0.2">
      <c r="A1222" t="s">
        <v>2079</v>
      </c>
      <c r="B1222" t="s">
        <v>2080</v>
      </c>
      <c r="C1222" s="2">
        <v>42044</v>
      </c>
      <c r="D1222" s="2">
        <v>42044</v>
      </c>
      <c r="E1222" s="3">
        <v>27652</v>
      </c>
      <c r="F1222" t="s">
        <v>513</v>
      </c>
      <c r="G1222" t="s">
        <v>1699</v>
      </c>
      <c r="H1222" t="s">
        <v>45</v>
      </c>
      <c r="I1222" s="3">
        <v>10002</v>
      </c>
      <c r="J1222" s="3">
        <v>1002467501</v>
      </c>
      <c r="K1222" s="3">
        <v>1084530</v>
      </c>
      <c r="L1222" t="s">
        <v>64</v>
      </c>
      <c r="M1222" s="4">
        <v>1</v>
      </c>
      <c r="N1222" t="s">
        <v>484</v>
      </c>
      <c r="O1222" t="s">
        <v>485</v>
      </c>
      <c r="P1222" s="4">
        <v>40.711207999999999</v>
      </c>
      <c r="Q1222" s="4">
        <v>-73.986718999999994</v>
      </c>
      <c r="R1222" s="4">
        <v>40.711162000000002</v>
      </c>
      <c r="S1222" s="4">
        <v>-73.987472999999994</v>
      </c>
      <c r="T1222" s="2">
        <v>42044</v>
      </c>
      <c r="U1222" t="s">
        <v>49</v>
      </c>
      <c r="V1222" t="s">
        <v>50</v>
      </c>
      <c r="W1222" t="s">
        <v>51</v>
      </c>
      <c r="AA1222" s="4">
        <v>39</v>
      </c>
      <c r="AB1222" s="4">
        <v>89</v>
      </c>
      <c r="AC1222" s="4">
        <v>1</v>
      </c>
      <c r="AD1222" s="4">
        <v>18</v>
      </c>
      <c r="AE1222" s="4">
        <v>28</v>
      </c>
      <c r="AF1222" s="4">
        <v>54</v>
      </c>
      <c r="AG1222" s="4">
        <v>29</v>
      </c>
      <c r="AL1222" s="4">
        <v>129</v>
      </c>
      <c r="AN1222" s="4">
        <v>129</v>
      </c>
      <c r="AO1222" s="4">
        <v>256</v>
      </c>
    </row>
    <row r="1223" spans="1:41" hidden="1" x14ac:dyDescent="0.2">
      <c r="A1223" t="s">
        <v>2081</v>
      </c>
      <c r="B1223" t="s">
        <v>2082</v>
      </c>
      <c r="C1223" s="2">
        <v>42041</v>
      </c>
      <c r="D1223" s="2">
        <v>43164</v>
      </c>
      <c r="E1223" s="3">
        <v>11890</v>
      </c>
      <c r="F1223" t="s">
        <v>709</v>
      </c>
      <c r="G1223" t="s">
        <v>1229</v>
      </c>
      <c r="H1223" t="s">
        <v>45</v>
      </c>
      <c r="I1223" s="3">
        <v>10003</v>
      </c>
      <c r="J1223" s="3">
        <v>1005590055</v>
      </c>
      <c r="K1223" s="3">
        <v>1084305</v>
      </c>
      <c r="L1223" t="s">
        <v>64</v>
      </c>
      <c r="M1223" s="4">
        <v>2</v>
      </c>
      <c r="N1223" t="s">
        <v>1143</v>
      </c>
      <c r="O1223" t="s">
        <v>197</v>
      </c>
      <c r="P1223" s="4">
        <v>40.733350000000002</v>
      </c>
      <c r="Q1223" s="4">
        <v>-73.989430999999996</v>
      </c>
      <c r="R1223" s="4">
        <v>40.733393999999997</v>
      </c>
      <c r="S1223" s="4">
        <v>-73.988966000000005</v>
      </c>
      <c r="T1223" s="2">
        <v>43164</v>
      </c>
      <c r="U1223" t="s">
        <v>49</v>
      </c>
      <c r="V1223" t="s">
        <v>50</v>
      </c>
      <c r="W1223" t="s">
        <v>51</v>
      </c>
      <c r="Z1223" s="4">
        <v>90</v>
      </c>
      <c r="AE1223" s="4">
        <v>40</v>
      </c>
      <c r="AF1223" s="4">
        <v>30</v>
      </c>
      <c r="AG1223" s="4">
        <v>20</v>
      </c>
      <c r="AL1223" s="4">
        <v>90</v>
      </c>
      <c r="AN1223" s="4">
        <v>90</v>
      </c>
      <c r="AO1223" s="4">
        <v>90</v>
      </c>
    </row>
    <row r="1224" spans="1:41" hidden="1" x14ac:dyDescent="0.2">
      <c r="A1224" t="s">
        <v>2083</v>
      </c>
      <c r="B1224" t="s">
        <v>2084</v>
      </c>
      <c r="C1224" s="2">
        <v>41997</v>
      </c>
      <c r="D1224" s="2">
        <v>43067</v>
      </c>
      <c r="E1224" s="3">
        <v>375</v>
      </c>
      <c r="F1224" t="s">
        <v>2085</v>
      </c>
      <c r="G1224" t="s">
        <v>339</v>
      </c>
      <c r="H1224" t="s">
        <v>45</v>
      </c>
      <c r="I1224" s="3">
        <v>10029</v>
      </c>
      <c r="J1224" s="3">
        <v>1016910002</v>
      </c>
      <c r="K1224" s="3">
        <v>1052997</v>
      </c>
      <c r="L1224" t="s">
        <v>153</v>
      </c>
      <c r="M1224" s="4">
        <v>8</v>
      </c>
      <c r="N1224" t="s">
        <v>1251</v>
      </c>
      <c r="O1224" t="s">
        <v>267</v>
      </c>
      <c r="P1224" s="4">
        <v>40.784984999999999</v>
      </c>
      <c r="Q1224" s="4">
        <v>-73.943444</v>
      </c>
      <c r="R1224" s="4">
        <v>40.784663999999999</v>
      </c>
      <c r="S1224" s="4">
        <v>-73.943076000000005</v>
      </c>
      <c r="T1224" s="2">
        <v>43067</v>
      </c>
      <c r="U1224" t="s">
        <v>49</v>
      </c>
      <c r="V1224" t="s">
        <v>71</v>
      </c>
      <c r="W1224" t="s">
        <v>123</v>
      </c>
      <c r="X1224" s="4">
        <v>202</v>
      </c>
      <c r="AC1224" s="4">
        <v>1</v>
      </c>
      <c r="AD1224" s="4">
        <v>2</v>
      </c>
      <c r="AE1224" s="4">
        <v>200</v>
      </c>
      <c r="AF1224" s="4">
        <v>1</v>
      </c>
      <c r="AL1224" s="4">
        <v>203</v>
      </c>
      <c r="AN1224" s="4">
        <v>203</v>
      </c>
      <c r="AO1224" s="4">
        <v>203</v>
      </c>
    </row>
    <row r="1225" spans="1:41" hidden="1" x14ac:dyDescent="0.2">
      <c r="A1225" t="s">
        <v>2086</v>
      </c>
      <c r="B1225" t="s">
        <v>2087</v>
      </c>
      <c r="C1225" s="2">
        <v>41996</v>
      </c>
      <c r="D1225" s="2">
        <v>42726</v>
      </c>
      <c r="E1225" s="3">
        <v>10709</v>
      </c>
      <c r="F1225" t="s">
        <v>1930</v>
      </c>
      <c r="G1225" t="s">
        <v>1175</v>
      </c>
      <c r="H1225" t="s">
        <v>45</v>
      </c>
      <c r="I1225" s="3">
        <v>10009</v>
      </c>
      <c r="J1225" s="3">
        <v>1003870048</v>
      </c>
      <c r="K1225" s="3">
        <v>1004650</v>
      </c>
      <c r="L1225" t="s">
        <v>64</v>
      </c>
      <c r="M1225" s="4">
        <v>2</v>
      </c>
      <c r="N1225" t="s">
        <v>196</v>
      </c>
      <c r="O1225" t="s">
        <v>197</v>
      </c>
      <c r="P1225" s="4">
        <v>40.722715999999998</v>
      </c>
      <c r="Q1225" s="4">
        <v>-73.981167999999997</v>
      </c>
      <c r="R1225" s="4">
        <v>40.722889000000002</v>
      </c>
      <c r="S1225" s="4">
        <v>-73.981031000000002</v>
      </c>
      <c r="T1225" s="2">
        <v>42726</v>
      </c>
      <c r="U1225" t="s">
        <v>49</v>
      </c>
      <c r="V1225" t="s">
        <v>71</v>
      </c>
      <c r="W1225" t="s">
        <v>51</v>
      </c>
      <c r="Z1225" s="4">
        <v>24</v>
      </c>
      <c r="AK1225" s="4">
        <v>24</v>
      </c>
      <c r="AL1225" s="4">
        <v>24</v>
      </c>
      <c r="AN1225" s="4">
        <v>24</v>
      </c>
      <c r="AO1225" s="4">
        <v>24</v>
      </c>
    </row>
    <row r="1226" spans="1:41" hidden="1" x14ac:dyDescent="0.2">
      <c r="A1226" t="s">
        <v>2086</v>
      </c>
      <c r="B1226" t="s">
        <v>2087</v>
      </c>
      <c r="C1226" s="2">
        <v>41996</v>
      </c>
      <c r="D1226" s="2">
        <v>42726</v>
      </c>
      <c r="E1226" s="3">
        <v>11879</v>
      </c>
      <c r="F1226" t="s">
        <v>1931</v>
      </c>
      <c r="G1226" t="s">
        <v>1209</v>
      </c>
      <c r="H1226" t="s">
        <v>45</v>
      </c>
      <c r="I1226" s="3">
        <v>10009</v>
      </c>
      <c r="J1226" s="3">
        <v>1003950009</v>
      </c>
      <c r="K1226" s="3">
        <v>1079061</v>
      </c>
      <c r="L1226" t="s">
        <v>64</v>
      </c>
      <c r="M1226" s="4">
        <v>2</v>
      </c>
      <c r="N1226" t="s">
        <v>607</v>
      </c>
      <c r="O1226" t="s">
        <v>197</v>
      </c>
      <c r="P1226" s="4">
        <v>40.727477999999998</v>
      </c>
      <c r="Q1226" s="4">
        <v>-73.977519000000001</v>
      </c>
      <c r="R1226" s="4">
        <v>40.727843</v>
      </c>
      <c r="S1226" s="4">
        <v>-73.977684999999994</v>
      </c>
      <c r="T1226" s="2">
        <v>42726</v>
      </c>
      <c r="U1226" t="s">
        <v>49</v>
      </c>
      <c r="V1226" t="s">
        <v>71</v>
      </c>
      <c r="W1226" t="s">
        <v>51</v>
      </c>
      <c r="Z1226" s="4">
        <v>269</v>
      </c>
      <c r="AK1226" s="4">
        <v>269</v>
      </c>
      <c r="AL1226" s="4">
        <v>269</v>
      </c>
      <c r="AN1226" s="4">
        <v>269</v>
      </c>
      <c r="AO1226" s="4">
        <v>269</v>
      </c>
    </row>
    <row r="1227" spans="1:41" hidden="1" x14ac:dyDescent="0.2">
      <c r="A1227" t="s">
        <v>2086</v>
      </c>
      <c r="B1227" t="s">
        <v>2087</v>
      </c>
      <c r="C1227" s="2">
        <v>41996</v>
      </c>
      <c r="D1227" s="2">
        <v>42726</v>
      </c>
      <c r="E1227" s="3">
        <v>20311</v>
      </c>
      <c r="F1227" t="s">
        <v>2088</v>
      </c>
      <c r="G1227" t="s">
        <v>1500</v>
      </c>
      <c r="H1227" t="s">
        <v>45</v>
      </c>
      <c r="I1227" s="3">
        <v>10035</v>
      </c>
      <c r="J1227" s="3">
        <v>1018070030</v>
      </c>
      <c r="K1227" s="3">
        <v>1054869</v>
      </c>
      <c r="L1227" t="s">
        <v>153</v>
      </c>
      <c r="M1227" s="4">
        <v>8</v>
      </c>
      <c r="N1227" t="s">
        <v>1800</v>
      </c>
      <c r="O1227" t="s">
        <v>155</v>
      </c>
      <c r="P1227" s="4">
        <v>40.797964</v>
      </c>
      <c r="Q1227" s="4">
        <v>-73.932051999999999</v>
      </c>
      <c r="R1227" s="4">
        <v>40.797691999999998</v>
      </c>
      <c r="S1227" s="4">
        <v>-73.932049000000006</v>
      </c>
      <c r="T1227" s="2">
        <v>42726</v>
      </c>
      <c r="U1227" t="s">
        <v>49</v>
      </c>
      <c r="V1227" t="s">
        <v>71</v>
      </c>
      <c r="W1227" t="s">
        <v>51</v>
      </c>
      <c r="Z1227" s="4">
        <v>42</v>
      </c>
      <c r="AK1227" s="4">
        <v>42</v>
      </c>
      <c r="AL1227" s="4">
        <v>42</v>
      </c>
      <c r="AN1227" s="4">
        <v>42</v>
      </c>
      <c r="AO1227" s="4">
        <v>42</v>
      </c>
    </row>
    <row r="1228" spans="1:41" hidden="1" x14ac:dyDescent="0.2">
      <c r="A1228" t="s">
        <v>2086</v>
      </c>
      <c r="B1228" t="s">
        <v>2087</v>
      </c>
      <c r="C1228" s="2">
        <v>41996</v>
      </c>
      <c r="D1228" s="2">
        <v>42726</v>
      </c>
      <c r="E1228" s="3">
        <v>805037</v>
      </c>
      <c r="F1228" t="s">
        <v>105</v>
      </c>
      <c r="G1228" t="s">
        <v>191</v>
      </c>
      <c r="H1228" t="s">
        <v>45</v>
      </c>
      <c r="I1228" s="3">
        <v>10035</v>
      </c>
      <c r="J1228" s="3">
        <v>1016220017</v>
      </c>
      <c r="K1228" s="3">
        <v>1080650</v>
      </c>
      <c r="L1228" t="s">
        <v>153</v>
      </c>
      <c r="M1228" s="4">
        <v>9</v>
      </c>
      <c r="N1228" t="s">
        <v>789</v>
      </c>
      <c r="O1228" t="s">
        <v>155</v>
      </c>
      <c r="P1228" s="4">
        <v>40.800311999999998</v>
      </c>
      <c r="Q1228" s="4">
        <v>-73.944623000000007</v>
      </c>
      <c r="R1228" s="4">
        <v>40.800694</v>
      </c>
      <c r="S1228" s="4">
        <v>-73.945085000000006</v>
      </c>
      <c r="T1228" s="2">
        <v>42726</v>
      </c>
      <c r="U1228" t="s">
        <v>49</v>
      </c>
      <c r="V1228" t="s">
        <v>71</v>
      </c>
      <c r="W1228" t="s">
        <v>51</v>
      </c>
      <c r="Z1228" s="4">
        <v>80</v>
      </c>
      <c r="AK1228" s="4">
        <v>80</v>
      </c>
      <c r="AL1228" s="4">
        <v>80</v>
      </c>
      <c r="AN1228" s="4">
        <v>80</v>
      </c>
      <c r="AO1228" s="4">
        <v>80</v>
      </c>
    </row>
    <row r="1229" spans="1:41" hidden="1" x14ac:dyDescent="0.2">
      <c r="A1229" t="s">
        <v>2089</v>
      </c>
      <c r="B1229" t="s">
        <v>2090</v>
      </c>
      <c r="C1229" s="2">
        <v>41995</v>
      </c>
      <c r="D1229" s="2">
        <v>43083</v>
      </c>
      <c r="E1229" s="3">
        <v>953384</v>
      </c>
      <c r="F1229" t="s">
        <v>1021</v>
      </c>
      <c r="G1229" t="s">
        <v>1556</v>
      </c>
      <c r="H1229" t="s">
        <v>45</v>
      </c>
      <c r="I1229" s="3">
        <v>10023</v>
      </c>
      <c r="J1229" s="3">
        <v>1011717511</v>
      </c>
      <c r="K1229" s="3">
        <v>1088869</v>
      </c>
      <c r="L1229" t="s">
        <v>46</v>
      </c>
      <c r="M1229" s="4">
        <v>6</v>
      </c>
      <c r="N1229" t="s">
        <v>1790</v>
      </c>
      <c r="O1229" t="s">
        <v>770</v>
      </c>
      <c r="P1229" s="4">
        <v>40.771821000000003</v>
      </c>
      <c r="Q1229" s="4">
        <v>-73.990313</v>
      </c>
      <c r="R1229" s="4">
        <v>40.772199999999998</v>
      </c>
      <c r="S1229" s="4">
        <v>-73.990902000000006</v>
      </c>
      <c r="T1229" s="2">
        <v>43083</v>
      </c>
      <c r="U1229" t="s">
        <v>117</v>
      </c>
      <c r="V1229" t="s">
        <v>71</v>
      </c>
      <c r="W1229" t="s">
        <v>51</v>
      </c>
      <c r="Z1229" s="4">
        <v>116</v>
      </c>
      <c r="AD1229" s="4">
        <v>27</v>
      </c>
      <c r="AE1229" s="4">
        <v>28</v>
      </c>
      <c r="AF1229" s="4">
        <v>61</v>
      </c>
      <c r="AL1229" s="4">
        <v>116</v>
      </c>
      <c r="AN1229" s="4">
        <v>116</v>
      </c>
      <c r="AO1229" s="4">
        <v>116</v>
      </c>
    </row>
    <row r="1230" spans="1:41" hidden="1" x14ac:dyDescent="0.2">
      <c r="A1230" t="s">
        <v>2091</v>
      </c>
      <c r="B1230" t="s">
        <v>2092</v>
      </c>
      <c r="C1230" s="2">
        <v>41991</v>
      </c>
      <c r="D1230" s="2">
        <v>42929</v>
      </c>
      <c r="E1230" s="3">
        <v>3548</v>
      </c>
      <c r="F1230" t="s">
        <v>2093</v>
      </c>
      <c r="G1230" t="s">
        <v>255</v>
      </c>
      <c r="H1230" t="s">
        <v>45</v>
      </c>
      <c r="I1230" s="3">
        <v>10030</v>
      </c>
      <c r="J1230" s="3">
        <v>1019410036</v>
      </c>
      <c r="K1230" s="3">
        <v>1058898</v>
      </c>
      <c r="L1230" t="s">
        <v>146</v>
      </c>
      <c r="M1230" s="4">
        <v>9</v>
      </c>
      <c r="N1230" t="s">
        <v>322</v>
      </c>
      <c r="O1230" t="s">
        <v>177</v>
      </c>
      <c r="P1230" s="4">
        <v>40.815722999999998</v>
      </c>
      <c r="Q1230" s="4">
        <v>-73.943406999999993</v>
      </c>
      <c r="R1230" s="4">
        <v>40.816039000000004</v>
      </c>
      <c r="S1230" s="4">
        <v>-73.943669999999997</v>
      </c>
      <c r="T1230" s="2">
        <v>42929</v>
      </c>
      <c r="U1230" t="s">
        <v>49</v>
      </c>
      <c r="V1230" t="s">
        <v>71</v>
      </c>
      <c r="W1230" t="s">
        <v>51</v>
      </c>
      <c r="Z1230" s="4">
        <v>8</v>
      </c>
      <c r="AF1230" s="4">
        <v>4</v>
      </c>
      <c r="AG1230" s="4">
        <v>4</v>
      </c>
      <c r="AL1230" s="4">
        <v>8</v>
      </c>
      <c r="AN1230" s="4">
        <v>8</v>
      </c>
      <c r="AO1230" s="4">
        <v>8</v>
      </c>
    </row>
    <row r="1231" spans="1:41" hidden="1" x14ac:dyDescent="0.2">
      <c r="A1231" t="s">
        <v>2091</v>
      </c>
      <c r="B1231" t="s">
        <v>2092</v>
      </c>
      <c r="C1231" s="2">
        <v>41991</v>
      </c>
      <c r="D1231" s="2">
        <v>42929</v>
      </c>
      <c r="E1231" s="3">
        <v>4083</v>
      </c>
      <c r="F1231" t="s">
        <v>2094</v>
      </c>
      <c r="G1231" t="s">
        <v>175</v>
      </c>
      <c r="H1231" t="s">
        <v>45</v>
      </c>
      <c r="I1231" s="3">
        <v>10030</v>
      </c>
      <c r="J1231" s="3">
        <v>1019400003</v>
      </c>
      <c r="K1231" s="3">
        <v>1084051</v>
      </c>
      <c r="L1231" t="s">
        <v>146</v>
      </c>
      <c r="M1231" s="4">
        <v>9</v>
      </c>
      <c r="N1231" t="s">
        <v>322</v>
      </c>
      <c r="O1231" t="s">
        <v>177</v>
      </c>
      <c r="P1231" s="4">
        <v>40.816083999999996</v>
      </c>
      <c r="Q1231" s="4">
        <v>-73.946838</v>
      </c>
      <c r="R1231" s="4">
        <v>40.815987999999997</v>
      </c>
      <c r="S1231" s="4">
        <v>-73.946512999999996</v>
      </c>
      <c r="T1231" s="2">
        <v>42929</v>
      </c>
      <c r="U1231" t="s">
        <v>49</v>
      </c>
      <c r="V1231" t="s">
        <v>71</v>
      </c>
      <c r="W1231" t="s">
        <v>51</v>
      </c>
      <c r="Y1231" s="4">
        <v>3</v>
      </c>
      <c r="Z1231" s="4">
        <v>18</v>
      </c>
      <c r="AA1231" s="4">
        <v>1</v>
      </c>
      <c r="AD1231" s="4">
        <v>8</v>
      </c>
      <c r="AE1231" s="4">
        <v>10</v>
      </c>
      <c r="AF1231" s="4">
        <v>4</v>
      </c>
      <c r="AL1231" s="4">
        <v>22</v>
      </c>
      <c r="AN1231" s="4">
        <v>22</v>
      </c>
      <c r="AO1231" s="4">
        <v>22</v>
      </c>
    </row>
    <row r="1232" spans="1:41" hidden="1" x14ac:dyDescent="0.2">
      <c r="A1232" t="s">
        <v>2091</v>
      </c>
      <c r="B1232" t="s">
        <v>2092</v>
      </c>
      <c r="C1232" s="2">
        <v>41991</v>
      </c>
      <c r="D1232" s="2">
        <v>42929</v>
      </c>
      <c r="E1232" s="3">
        <v>4091</v>
      </c>
      <c r="F1232" t="s">
        <v>2095</v>
      </c>
      <c r="G1232" t="s">
        <v>175</v>
      </c>
      <c r="H1232" t="s">
        <v>45</v>
      </c>
      <c r="I1232" s="3">
        <v>10030</v>
      </c>
      <c r="J1232" s="3">
        <v>1019410003</v>
      </c>
      <c r="K1232" s="3">
        <v>1058870</v>
      </c>
      <c r="L1232" t="s">
        <v>146</v>
      </c>
      <c r="M1232" s="4">
        <v>9</v>
      </c>
      <c r="N1232" t="s">
        <v>322</v>
      </c>
      <c r="O1232" t="s">
        <v>177</v>
      </c>
      <c r="P1232" s="4">
        <v>40.816732000000002</v>
      </c>
      <c r="Q1232" s="4">
        <v>-73.946365</v>
      </c>
      <c r="R1232" s="4">
        <v>40.816687999999999</v>
      </c>
      <c r="S1232" s="4">
        <v>-73.946046999999993</v>
      </c>
      <c r="T1232" s="2">
        <v>42929</v>
      </c>
      <c r="U1232" t="s">
        <v>49</v>
      </c>
      <c r="V1232" t="s">
        <v>71</v>
      </c>
      <c r="W1232" t="s">
        <v>51</v>
      </c>
      <c r="Y1232" s="4">
        <v>7</v>
      </c>
      <c r="Z1232" s="4">
        <v>10</v>
      </c>
      <c r="AD1232" s="4">
        <v>4</v>
      </c>
      <c r="AE1232" s="4">
        <v>9</v>
      </c>
      <c r="AF1232" s="4">
        <v>4</v>
      </c>
      <c r="AL1232" s="4">
        <v>17</v>
      </c>
      <c r="AN1232" s="4">
        <v>17</v>
      </c>
      <c r="AO1232" s="4">
        <v>17</v>
      </c>
    </row>
    <row r="1233" spans="1:41" hidden="1" x14ac:dyDescent="0.2">
      <c r="A1233" t="s">
        <v>2091</v>
      </c>
      <c r="B1233" t="s">
        <v>2092</v>
      </c>
      <c r="C1233" s="2">
        <v>41991</v>
      </c>
      <c r="D1233" s="2">
        <v>42929</v>
      </c>
      <c r="E1233" s="3">
        <v>28132</v>
      </c>
      <c r="F1233" t="s">
        <v>2096</v>
      </c>
      <c r="G1233" t="s">
        <v>345</v>
      </c>
      <c r="H1233" t="s">
        <v>45</v>
      </c>
      <c r="I1233" s="3">
        <v>10030</v>
      </c>
      <c r="J1233" s="3">
        <v>1019590058</v>
      </c>
      <c r="K1233" s="3">
        <v>1059459</v>
      </c>
      <c r="L1233" t="s">
        <v>146</v>
      </c>
      <c r="M1233" s="4">
        <v>9</v>
      </c>
      <c r="N1233" t="s">
        <v>888</v>
      </c>
      <c r="O1233" t="s">
        <v>177</v>
      </c>
      <c r="P1233" s="4">
        <v>40.816560000000003</v>
      </c>
      <c r="Q1233" s="4">
        <v>-73.948257999999996</v>
      </c>
      <c r="R1233" s="4">
        <v>40.816647000000003</v>
      </c>
      <c r="S1233" s="4">
        <v>-73.947860000000006</v>
      </c>
      <c r="T1233" s="2">
        <v>42929</v>
      </c>
      <c r="U1233" t="s">
        <v>49</v>
      </c>
      <c r="V1233" t="s">
        <v>71</v>
      </c>
      <c r="W1233" t="s">
        <v>51</v>
      </c>
      <c r="Z1233" s="4">
        <v>14</v>
      </c>
      <c r="AC1233" s="4">
        <v>1</v>
      </c>
      <c r="AE1233" s="4">
        <v>2</v>
      </c>
      <c r="AF1233" s="4">
        <v>13</v>
      </c>
      <c r="AL1233" s="4">
        <v>15</v>
      </c>
      <c r="AN1233" s="4">
        <v>15</v>
      </c>
      <c r="AO1233" s="4">
        <v>15</v>
      </c>
    </row>
    <row r="1234" spans="1:41" hidden="1" x14ac:dyDescent="0.2">
      <c r="A1234" t="s">
        <v>2091</v>
      </c>
      <c r="B1234" t="s">
        <v>2092</v>
      </c>
      <c r="C1234" s="2">
        <v>41991</v>
      </c>
      <c r="D1234" s="2">
        <v>42929</v>
      </c>
      <c r="E1234" s="3">
        <v>28134</v>
      </c>
      <c r="F1234" t="s">
        <v>2097</v>
      </c>
      <c r="G1234" t="s">
        <v>345</v>
      </c>
      <c r="H1234" t="s">
        <v>45</v>
      </c>
      <c r="I1234" s="3">
        <v>10030</v>
      </c>
      <c r="J1234" s="3">
        <v>1019590056</v>
      </c>
      <c r="K1234" s="3">
        <v>1059458</v>
      </c>
      <c r="L1234" t="s">
        <v>146</v>
      </c>
      <c r="M1234" s="4">
        <v>9</v>
      </c>
      <c r="N1234" t="s">
        <v>888</v>
      </c>
      <c r="O1234" t="s">
        <v>177</v>
      </c>
      <c r="P1234" s="4">
        <v>40.816634000000001</v>
      </c>
      <c r="Q1234" s="4">
        <v>-73.948224999999994</v>
      </c>
      <c r="R1234" s="4">
        <v>40.816749000000002</v>
      </c>
      <c r="S1234" s="4">
        <v>-73.947812999999996</v>
      </c>
      <c r="T1234" s="2">
        <v>42929</v>
      </c>
      <c r="U1234" t="s">
        <v>49</v>
      </c>
      <c r="V1234" t="s">
        <v>71</v>
      </c>
      <c r="W1234" t="s">
        <v>51</v>
      </c>
      <c r="Y1234" s="4">
        <v>3</v>
      </c>
      <c r="Z1234" s="4">
        <v>12</v>
      </c>
      <c r="AD1234" s="4">
        <v>1</v>
      </c>
      <c r="AE1234" s="4">
        <v>3</v>
      </c>
      <c r="AF1234" s="4">
        <v>11</v>
      </c>
      <c r="AL1234" s="4">
        <v>15</v>
      </c>
      <c r="AN1234" s="4">
        <v>15</v>
      </c>
      <c r="AO1234" s="4">
        <v>15</v>
      </c>
    </row>
    <row r="1235" spans="1:41" hidden="1" x14ac:dyDescent="0.2">
      <c r="A1235" t="s">
        <v>2091</v>
      </c>
      <c r="B1235" t="s">
        <v>2092</v>
      </c>
      <c r="C1235" s="2">
        <v>41991</v>
      </c>
      <c r="D1235" s="2">
        <v>42929</v>
      </c>
      <c r="E1235" s="3">
        <v>40723</v>
      </c>
      <c r="F1235" t="s">
        <v>312</v>
      </c>
      <c r="G1235" t="s">
        <v>324</v>
      </c>
      <c r="H1235" t="s">
        <v>45</v>
      </c>
      <c r="I1235" s="3">
        <v>10030</v>
      </c>
      <c r="J1235" s="3">
        <v>1019400039</v>
      </c>
      <c r="K1235" s="3">
        <v>1058844</v>
      </c>
      <c r="L1235" t="s">
        <v>146</v>
      </c>
      <c r="M1235" s="4">
        <v>9</v>
      </c>
      <c r="N1235" t="s">
        <v>322</v>
      </c>
      <c r="O1235" t="s">
        <v>177</v>
      </c>
      <c r="P1235" s="4">
        <v>40.815595000000002</v>
      </c>
      <c r="Q1235" s="4">
        <v>-73.944411000000002</v>
      </c>
      <c r="R1235" s="4">
        <v>40.815361000000003</v>
      </c>
      <c r="S1235" s="4">
        <v>-73.944558999999998</v>
      </c>
      <c r="T1235" s="2">
        <v>42929</v>
      </c>
      <c r="U1235" t="s">
        <v>49</v>
      </c>
      <c r="V1235" t="s">
        <v>71</v>
      </c>
      <c r="W1235" t="s">
        <v>51</v>
      </c>
      <c r="Z1235" s="4">
        <v>8</v>
      </c>
      <c r="AE1235" s="4">
        <v>8</v>
      </c>
      <c r="AL1235" s="4">
        <v>8</v>
      </c>
      <c r="AN1235" s="4">
        <v>8</v>
      </c>
      <c r="AO1235" s="4">
        <v>8</v>
      </c>
    </row>
    <row r="1236" spans="1:41" hidden="1" x14ac:dyDescent="0.2">
      <c r="A1236" t="s">
        <v>2091</v>
      </c>
      <c r="B1236" t="s">
        <v>2092</v>
      </c>
      <c r="C1236" s="2">
        <v>41991</v>
      </c>
      <c r="D1236" s="2">
        <v>42929</v>
      </c>
      <c r="E1236" s="3">
        <v>40735</v>
      </c>
      <c r="F1236" t="s">
        <v>440</v>
      </c>
      <c r="G1236" t="s">
        <v>324</v>
      </c>
      <c r="H1236" t="s">
        <v>45</v>
      </c>
      <c r="I1236" s="3">
        <v>10030</v>
      </c>
      <c r="J1236" s="3">
        <v>1019410014</v>
      </c>
      <c r="K1236" s="3">
        <v>1058880</v>
      </c>
      <c r="L1236" t="s">
        <v>146</v>
      </c>
      <c r="M1236" s="4">
        <v>9</v>
      </c>
      <c r="N1236" t="s">
        <v>322</v>
      </c>
      <c r="O1236" t="s">
        <v>177</v>
      </c>
      <c r="P1236" s="4">
        <v>40.815902000000001</v>
      </c>
      <c r="Q1236" s="4">
        <v>-73.945093999999997</v>
      </c>
      <c r="R1236" s="4">
        <v>40.816226</v>
      </c>
      <c r="S1236" s="4">
        <v>-73.945150999999996</v>
      </c>
      <c r="T1236" s="2">
        <v>42929</v>
      </c>
      <c r="U1236" t="s">
        <v>49</v>
      </c>
      <c r="V1236" t="s">
        <v>71</v>
      </c>
      <c r="W1236" t="s">
        <v>51</v>
      </c>
      <c r="Y1236" s="4">
        <v>2</v>
      </c>
      <c r="Z1236" s="4">
        <v>6</v>
      </c>
      <c r="AE1236" s="4">
        <v>4</v>
      </c>
      <c r="AF1236" s="4">
        <v>4</v>
      </c>
      <c r="AL1236" s="4">
        <v>8</v>
      </c>
      <c r="AN1236" s="4">
        <v>8</v>
      </c>
      <c r="AO1236" s="4">
        <v>8</v>
      </c>
    </row>
    <row r="1237" spans="1:41" hidden="1" x14ac:dyDescent="0.2">
      <c r="A1237" t="s">
        <v>2091</v>
      </c>
      <c r="B1237" t="s">
        <v>2092</v>
      </c>
      <c r="C1237" s="2">
        <v>41991</v>
      </c>
      <c r="D1237" s="2">
        <v>42929</v>
      </c>
      <c r="E1237" s="3">
        <v>40737</v>
      </c>
      <c r="F1237" t="s">
        <v>320</v>
      </c>
      <c r="G1237" t="s">
        <v>324</v>
      </c>
      <c r="H1237" t="s">
        <v>45</v>
      </c>
      <c r="I1237" s="3">
        <v>10030</v>
      </c>
      <c r="J1237" s="3">
        <v>1019410013</v>
      </c>
      <c r="K1237" s="3">
        <v>1058879</v>
      </c>
      <c r="L1237" t="s">
        <v>146</v>
      </c>
      <c r="M1237" s="4">
        <v>9</v>
      </c>
      <c r="N1237" t="s">
        <v>322</v>
      </c>
      <c r="O1237" t="s">
        <v>177</v>
      </c>
      <c r="P1237" s="4">
        <v>40.815933000000001</v>
      </c>
      <c r="Q1237" s="4">
        <v>-73.945170000000005</v>
      </c>
      <c r="R1237" s="4">
        <v>40.816259000000002</v>
      </c>
      <c r="S1237" s="4">
        <v>-73.945227000000003</v>
      </c>
      <c r="T1237" s="2">
        <v>42929</v>
      </c>
      <c r="U1237" t="s">
        <v>49</v>
      </c>
      <c r="V1237" t="s">
        <v>71</v>
      </c>
      <c r="W1237" t="s">
        <v>51</v>
      </c>
      <c r="Z1237" s="4">
        <v>8</v>
      </c>
      <c r="AE1237" s="4">
        <v>8</v>
      </c>
      <c r="AL1237" s="4">
        <v>8</v>
      </c>
      <c r="AN1237" s="4">
        <v>8</v>
      </c>
      <c r="AO1237" s="4">
        <v>8</v>
      </c>
    </row>
    <row r="1238" spans="1:41" hidden="1" x14ac:dyDescent="0.2">
      <c r="A1238" t="s">
        <v>2091</v>
      </c>
      <c r="B1238" t="s">
        <v>2092</v>
      </c>
      <c r="C1238" s="2">
        <v>41991</v>
      </c>
      <c r="D1238" s="2">
        <v>42929</v>
      </c>
      <c r="E1238" s="3">
        <v>40739</v>
      </c>
      <c r="F1238" t="s">
        <v>1062</v>
      </c>
      <c r="G1238" t="s">
        <v>324</v>
      </c>
      <c r="H1238" t="s">
        <v>45</v>
      </c>
      <c r="I1238" s="3">
        <v>10030</v>
      </c>
      <c r="J1238" s="3">
        <v>1019410012</v>
      </c>
      <c r="K1238" s="3">
        <v>1058878</v>
      </c>
      <c r="L1238" t="s">
        <v>146</v>
      </c>
      <c r="M1238" s="4">
        <v>9</v>
      </c>
      <c r="N1238" t="s">
        <v>322</v>
      </c>
      <c r="O1238" t="s">
        <v>177</v>
      </c>
      <c r="P1238" s="4">
        <v>40.815966000000003</v>
      </c>
      <c r="Q1238" s="4">
        <v>-73.945241999999993</v>
      </c>
      <c r="R1238" s="4">
        <v>40.816291999999997</v>
      </c>
      <c r="S1238" s="4">
        <v>-73.945307</v>
      </c>
      <c r="T1238" s="2">
        <v>42929</v>
      </c>
      <c r="U1238" t="s">
        <v>49</v>
      </c>
      <c r="V1238" t="s">
        <v>71</v>
      </c>
      <c r="W1238" t="s">
        <v>51</v>
      </c>
      <c r="Z1238" s="4">
        <v>8</v>
      </c>
      <c r="AE1238" s="4">
        <v>8</v>
      </c>
      <c r="AL1238" s="4">
        <v>8</v>
      </c>
      <c r="AN1238" s="4">
        <v>8</v>
      </c>
      <c r="AO1238" s="4">
        <v>8</v>
      </c>
    </row>
    <row r="1239" spans="1:41" hidden="1" x14ac:dyDescent="0.2">
      <c r="A1239" t="s">
        <v>2091</v>
      </c>
      <c r="B1239" t="s">
        <v>2092</v>
      </c>
      <c r="C1239" s="2">
        <v>41991</v>
      </c>
      <c r="D1239" s="2">
        <v>42929</v>
      </c>
      <c r="E1239" s="3">
        <v>40741</v>
      </c>
      <c r="F1239" t="s">
        <v>319</v>
      </c>
      <c r="G1239" t="s">
        <v>324</v>
      </c>
      <c r="H1239" t="s">
        <v>45</v>
      </c>
      <c r="I1239" s="3">
        <v>10030</v>
      </c>
      <c r="J1239" s="3">
        <v>1019410011</v>
      </c>
      <c r="K1239" s="3">
        <v>1058877</v>
      </c>
      <c r="L1239" t="s">
        <v>146</v>
      </c>
      <c r="M1239" s="4">
        <v>9</v>
      </c>
      <c r="N1239" t="s">
        <v>322</v>
      </c>
      <c r="O1239" t="s">
        <v>177</v>
      </c>
      <c r="P1239" s="4">
        <v>40.815995999999998</v>
      </c>
      <c r="Q1239" s="4">
        <v>-73.945318</v>
      </c>
      <c r="R1239" s="4">
        <v>40.816324999999999</v>
      </c>
      <c r="S1239" s="4">
        <v>-73.945385999999999</v>
      </c>
      <c r="T1239" s="2">
        <v>42929</v>
      </c>
      <c r="U1239" t="s">
        <v>49</v>
      </c>
      <c r="V1239" t="s">
        <v>71</v>
      </c>
      <c r="W1239" t="s">
        <v>51</v>
      </c>
      <c r="Y1239" s="4">
        <v>2</v>
      </c>
      <c r="Z1239" s="4">
        <v>6</v>
      </c>
      <c r="AE1239" s="4">
        <v>4</v>
      </c>
      <c r="AF1239" s="4">
        <v>4</v>
      </c>
      <c r="AL1239" s="4">
        <v>8</v>
      </c>
      <c r="AN1239" s="4">
        <v>8</v>
      </c>
      <c r="AO1239" s="4">
        <v>8</v>
      </c>
    </row>
    <row r="1240" spans="1:41" hidden="1" x14ac:dyDescent="0.2">
      <c r="A1240" t="s">
        <v>2098</v>
      </c>
      <c r="B1240" t="s">
        <v>2099</v>
      </c>
      <c r="C1240" s="2">
        <v>41991</v>
      </c>
      <c r="D1240" s="2">
        <v>43250</v>
      </c>
      <c r="E1240" s="3">
        <v>955906</v>
      </c>
      <c r="F1240" t="s">
        <v>2100</v>
      </c>
      <c r="G1240" t="s">
        <v>740</v>
      </c>
      <c r="H1240" t="s">
        <v>45</v>
      </c>
      <c r="I1240" s="3">
        <v>10001</v>
      </c>
      <c r="J1240" s="3">
        <v>1007297505</v>
      </c>
      <c r="K1240" s="3">
        <v>1000000</v>
      </c>
      <c r="L1240" t="s">
        <v>78</v>
      </c>
      <c r="M1240" s="4">
        <v>3</v>
      </c>
      <c r="N1240" t="s">
        <v>537</v>
      </c>
      <c r="O1240" t="s">
        <v>183</v>
      </c>
      <c r="P1240" s="4">
        <v>40.751553999999999</v>
      </c>
      <c r="Q1240" s="4">
        <v>-73.997647000000001</v>
      </c>
      <c r="R1240" s="4">
        <v>40.752087000000003</v>
      </c>
      <c r="S1240" s="4">
        <v>-73.997957</v>
      </c>
      <c r="T1240" s="2">
        <v>43250</v>
      </c>
      <c r="U1240" t="s">
        <v>117</v>
      </c>
      <c r="V1240" t="s">
        <v>71</v>
      </c>
      <c r="W1240" t="s">
        <v>51</v>
      </c>
      <c r="Z1240" s="4">
        <v>169</v>
      </c>
      <c r="AD1240" s="4">
        <v>53</v>
      </c>
      <c r="AE1240" s="4">
        <v>89</v>
      </c>
      <c r="AF1240" s="4">
        <v>25</v>
      </c>
      <c r="AG1240" s="4">
        <v>2</v>
      </c>
      <c r="AL1240" s="4">
        <v>169</v>
      </c>
      <c r="AN1240" s="4">
        <v>169</v>
      </c>
      <c r="AO1240" s="4">
        <v>844</v>
      </c>
    </row>
    <row r="1241" spans="1:41" hidden="1" x14ac:dyDescent="0.2">
      <c r="A1241" t="s">
        <v>2101</v>
      </c>
      <c r="B1241" t="s">
        <v>2102</v>
      </c>
      <c r="C1241" s="2">
        <v>41991</v>
      </c>
      <c r="D1241" s="2">
        <v>42844</v>
      </c>
      <c r="E1241" s="3">
        <v>970691</v>
      </c>
      <c r="F1241" t="s">
        <v>2103</v>
      </c>
      <c r="G1241" t="s">
        <v>626</v>
      </c>
      <c r="H1241" t="s">
        <v>45</v>
      </c>
      <c r="I1241" s="3">
        <v>10030</v>
      </c>
      <c r="J1241" s="3">
        <v>1020267501</v>
      </c>
      <c r="K1241" s="3">
        <v>1089378</v>
      </c>
      <c r="L1241" t="s">
        <v>146</v>
      </c>
      <c r="M1241" s="4">
        <v>9</v>
      </c>
      <c r="N1241" t="s">
        <v>222</v>
      </c>
      <c r="O1241" t="s">
        <v>177</v>
      </c>
      <c r="P1241" s="4">
        <v>40.819305</v>
      </c>
      <c r="Q1241" s="4">
        <v>-73.943338999999995</v>
      </c>
      <c r="R1241" s="4">
        <v>40.819730999999997</v>
      </c>
      <c r="S1241" s="4">
        <v>-73.943786000000003</v>
      </c>
      <c r="T1241" s="2">
        <v>42844</v>
      </c>
      <c r="U1241" t="s">
        <v>117</v>
      </c>
      <c r="V1241" t="s">
        <v>71</v>
      </c>
      <c r="W1241" t="s">
        <v>51</v>
      </c>
      <c r="Y1241" s="4">
        <v>11</v>
      </c>
      <c r="AB1241" s="4">
        <v>42</v>
      </c>
      <c r="AC1241" s="4">
        <v>1</v>
      </c>
      <c r="AD1241" s="4">
        <v>15</v>
      </c>
      <c r="AE1241" s="4">
        <v>12</v>
      </c>
      <c r="AF1241" s="4">
        <v>27</v>
      </c>
      <c r="AL1241" s="4">
        <v>54</v>
      </c>
      <c r="AN1241" s="4">
        <v>54</v>
      </c>
      <c r="AO1241" s="4">
        <v>54</v>
      </c>
    </row>
    <row r="1242" spans="1:41" hidden="1" x14ac:dyDescent="0.2">
      <c r="A1242" t="s">
        <v>2104</v>
      </c>
      <c r="B1242" t="s">
        <v>2105</v>
      </c>
      <c r="C1242" s="2">
        <v>41991</v>
      </c>
      <c r="D1242" s="2">
        <v>45007</v>
      </c>
      <c r="E1242" s="3">
        <v>38421</v>
      </c>
      <c r="F1242" t="s">
        <v>1021</v>
      </c>
      <c r="G1242" t="s">
        <v>1133</v>
      </c>
      <c r="H1242" t="s">
        <v>45</v>
      </c>
      <c r="I1242" s="3">
        <v>10026</v>
      </c>
      <c r="J1242" s="3">
        <v>1016010027</v>
      </c>
      <c r="K1242" s="3">
        <v>1051436</v>
      </c>
      <c r="L1242" t="s">
        <v>146</v>
      </c>
      <c r="M1242" s="4">
        <v>9</v>
      </c>
      <c r="N1242" t="s">
        <v>275</v>
      </c>
      <c r="O1242" t="s">
        <v>148</v>
      </c>
      <c r="P1242" s="4">
        <v>40.801405000000003</v>
      </c>
      <c r="Q1242" s="4">
        <v>-73.946091999999993</v>
      </c>
      <c r="R1242" s="4">
        <v>40.801875000000003</v>
      </c>
      <c r="S1242" s="4">
        <v>-73.946293999999995</v>
      </c>
      <c r="T1242" s="2">
        <v>45007</v>
      </c>
      <c r="U1242" t="s">
        <v>49</v>
      </c>
      <c r="V1242" t="s">
        <v>71</v>
      </c>
      <c r="W1242" t="s">
        <v>51</v>
      </c>
      <c r="Y1242" s="4">
        <v>3</v>
      </c>
      <c r="Z1242" s="4">
        <v>142</v>
      </c>
      <c r="AC1242" s="4">
        <v>1</v>
      </c>
      <c r="AD1242" s="4">
        <v>18</v>
      </c>
      <c r="AE1242" s="4">
        <v>44</v>
      </c>
      <c r="AF1242" s="4">
        <v>60</v>
      </c>
      <c r="AG1242" s="4">
        <v>20</v>
      </c>
      <c r="AH1242" s="4">
        <v>4</v>
      </c>
      <c r="AL1242" s="4">
        <v>146</v>
      </c>
      <c r="AN1242" s="4">
        <v>146</v>
      </c>
      <c r="AO1242" s="4">
        <v>146</v>
      </c>
    </row>
    <row r="1243" spans="1:41" hidden="1" x14ac:dyDescent="0.2">
      <c r="A1243" t="s">
        <v>2106</v>
      </c>
      <c r="B1243" t="s">
        <v>2107</v>
      </c>
      <c r="C1243" s="2">
        <v>41985</v>
      </c>
      <c r="D1243" s="2">
        <v>42976</v>
      </c>
      <c r="E1243" s="3">
        <v>2325</v>
      </c>
      <c r="F1243" t="s">
        <v>1940</v>
      </c>
      <c r="G1243" t="s">
        <v>237</v>
      </c>
      <c r="H1243" t="s">
        <v>45</v>
      </c>
      <c r="I1243" s="3">
        <v>10158</v>
      </c>
      <c r="J1243" s="3">
        <v>1009200012</v>
      </c>
      <c r="K1243" s="3">
        <v>1082153</v>
      </c>
      <c r="L1243" t="s">
        <v>165</v>
      </c>
      <c r="M1243" s="4">
        <v>4</v>
      </c>
      <c r="N1243" t="s">
        <v>358</v>
      </c>
      <c r="O1243" t="s">
        <v>239</v>
      </c>
      <c r="P1243" s="4">
        <v>40.748972000000002</v>
      </c>
      <c r="Q1243" s="4">
        <v>-73.975761000000006</v>
      </c>
      <c r="R1243" s="4">
        <v>40.748949000000003</v>
      </c>
      <c r="S1243" s="4">
        <v>-73.975076000000001</v>
      </c>
      <c r="T1243" s="2">
        <v>42976</v>
      </c>
      <c r="U1243" t="s">
        <v>117</v>
      </c>
      <c r="V1243" t="s">
        <v>71</v>
      </c>
      <c r="W1243" t="s">
        <v>51</v>
      </c>
      <c r="Z1243" s="4">
        <v>75</v>
      </c>
      <c r="AD1243" s="4">
        <v>20</v>
      </c>
      <c r="AE1243" s="4">
        <v>27</v>
      </c>
      <c r="AF1243" s="4">
        <v>25</v>
      </c>
      <c r="AG1243" s="4">
        <v>3</v>
      </c>
      <c r="AL1243" s="4">
        <v>75</v>
      </c>
      <c r="AN1243" s="4">
        <v>75</v>
      </c>
      <c r="AO1243" s="4">
        <v>372</v>
      </c>
    </row>
    <row r="1244" spans="1:41" hidden="1" x14ac:dyDescent="0.2">
      <c r="A1244" t="s">
        <v>2108</v>
      </c>
      <c r="B1244" t="s">
        <v>140</v>
      </c>
      <c r="C1244" s="2">
        <v>41981</v>
      </c>
      <c r="D1244" s="2">
        <v>41981</v>
      </c>
      <c r="F1244" t="s">
        <v>141</v>
      </c>
      <c r="G1244" t="s">
        <v>141</v>
      </c>
      <c r="H1244" t="s">
        <v>45</v>
      </c>
      <c r="L1244" t="s">
        <v>114</v>
      </c>
      <c r="M1244" s="4">
        <v>10</v>
      </c>
      <c r="T1244" s="2">
        <v>41981</v>
      </c>
      <c r="U1244" t="s">
        <v>117</v>
      </c>
      <c r="V1244" t="s">
        <v>71</v>
      </c>
      <c r="W1244" t="s">
        <v>51</v>
      </c>
      <c r="Z1244" s="4">
        <v>1</v>
      </c>
      <c r="AE1244" s="4">
        <v>1</v>
      </c>
      <c r="AM1244" s="4">
        <v>1</v>
      </c>
      <c r="AN1244" s="4">
        <v>1</v>
      </c>
      <c r="AO1244" s="4">
        <v>1</v>
      </c>
    </row>
    <row r="1245" spans="1:41" hidden="1" x14ac:dyDescent="0.2">
      <c r="A1245" t="s">
        <v>2109</v>
      </c>
      <c r="B1245" t="s">
        <v>2110</v>
      </c>
      <c r="C1245" s="2">
        <v>41977</v>
      </c>
      <c r="D1245" s="2">
        <v>43053</v>
      </c>
      <c r="E1245" s="3">
        <v>948896</v>
      </c>
      <c r="F1245" t="s">
        <v>62</v>
      </c>
      <c r="G1245" t="s">
        <v>514</v>
      </c>
      <c r="H1245" t="s">
        <v>45</v>
      </c>
      <c r="I1245" s="3">
        <v>10016</v>
      </c>
      <c r="J1245" s="3">
        <v>1009197501</v>
      </c>
      <c r="K1245" s="3">
        <v>1090104</v>
      </c>
      <c r="L1245" t="s">
        <v>165</v>
      </c>
      <c r="M1245" s="4">
        <v>4</v>
      </c>
      <c r="N1245" t="s">
        <v>948</v>
      </c>
      <c r="O1245" t="s">
        <v>239</v>
      </c>
      <c r="P1245" s="4">
        <v>40.748685999999999</v>
      </c>
      <c r="Q1245" s="4">
        <v>-73.975410999999994</v>
      </c>
      <c r="R1245" s="4">
        <v>40.748441999999997</v>
      </c>
      <c r="S1245" s="4">
        <v>-73.975419000000002</v>
      </c>
      <c r="T1245" s="2">
        <v>43053</v>
      </c>
      <c r="U1245" t="s">
        <v>117</v>
      </c>
      <c r="V1245" t="s">
        <v>71</v>
      </c>
      <c r="W1245" t="s">
        <v>51</v>
      </c>
      <c r="Z1245" s="4">
        <v>11</v>
      </c>
      <c r="AD1245" s="4">
        <v>1</v>
      </c>
      <c r="AE1245" s="4">
        <v>7</v>
      </c>
      <c r="AF1245" s="4">
        <v>3</v>
      </c>
      <c r="AL1245" s="4">
        <v>11</v>
      </c>
      <c r="AN1245" s="4">
        <v>11</v>
      </c>
      <c r="AO1245" s="4">
        <v>55</v>
      </c>
    </row>
    <row r="1246" spans="1:41" hidden="1" x14ac:dyDescent="0.2">
      <c r="A1246" t="s">
        <v>2111</v>
      </c>
      <c r="B1246" t="s">
        <v>2112</v>
      </c>
      <c r="C1246" s="2">
        <v>41977</v>
      </c>
      <c r="D1246" s="2">
        <v>42928</v>
      </c>
      <c r="E1246" s="3">
        <v>3437</v>
      </c>
      <c r="F1246" t="s">
        <v>2113</v>
      </c>
      <c r="G1246" t="s">
        <v>255</v>
      </c>
      <c r="H1246" t="s">
        <v>45</v>
      </c>
      <c r="I1246" s="3">
        <v>10027</v>
      </c>
      <c r="J1246" s="3">
        <v>1019060064</v>
      </c>
      <c r="K1246" s="3">
        <v>1057700</v>
      </c>
      <c r="L1246" t="s">
        <v>146</v>
      </c>
      <c r="M1246" s="4">
        <v>9</v>
      </c>
      <c r="N1246" t="s">
        <v>256</v>
      </c>
      <c r="O1246" t="s">
        <v>148</v>
      </c>
      <c r="P1246" s="4">
        <v>40.806747999999999</v>
      </c>
      <c r="Q1246" s="4">
        <v>-73.949938000000003</v>
      </c>
      <c r="R1246" s="4">
        <v>40.806604999999998</v>
      </c>
      <c r="S1246" s="4">
        <v>-73.949547999999993</v>
      </c>
      <c r="T1246" s="2">
        <v>42755</v>
      </c>
      <c r="U1246" t="s">
        <v>49</v>
      </c>
      <c r="V1246" t="s">
        <v>71</v>
      </c>
      <c r="W1246" t="s">
        <v>51</v>
      </c>
      <c r="Z1246" s="4">
        <v>10</v>
      </c>
      <c r="AC1246" s="4">
        <v>1</v>
      </c>
      <c r="AE1246" s="4">
        <v>1</v>
      </c>
      <c r="AF1246" s="4">
        <v>7</v>
      </c>
      <c r="AG1246" s="4">
        <v>3</v>
      </c>
      <c r="AL1246" s="4">
        <v>11</v>
      </c>
      <c r="AN1246" s="4">
        <v>11</v>
      </c>
      <c r="AO1246" s="4">
        <v>11</v>
      </c>
    </row>
    <row r="1247" spans="1:41" hidden="1" x14ac:dyDescent="0.2">
      <c r="A1247" t="s">
        <v>2111</v>
      </c>
      <c r="B1247" t="s">
        <v>2112</v>
      </c>
      <c r="C1247" s="2">
        <v>41977</v>
      </c>
      <c r="D1247" s="2">
        <v>42928</v>
      </c>
      <c r="E1247" s="3">
        <v>3583</v>
      </c>
      <c r="F1247" t="s">
        <v>2114</v>
      </c>
      <c r="G1247" t="s">
        <v>255</v>
      </c>
      <c r="H1247" t="s">
        <v>45</v>
      </c>
      <c r="I1247" s="3">
        <v>10030</v>
      </c>
      <c r="J1247" s="3">
        <v>1020260029</v>
      </c>
      <c r="K1247" s="3">
        <v>1060413</v>
      </c>
      <c r="L1247" t="s">
        <v>146</v>
      </c>
      <c r="M1247" s="4">
        <v>9</v>
      </c>
      <c r="N1247" t="s">
        <v>222</v>
      </c>
      <c r="O1247" t="s">
        <v>177</v>
      </c>
      <c r="P1247" s="4">
        <v>40.818534999999997</v>
      </c>
      <c r="Q1247" s="4">
        <v>-73.941355999999999</v>
      </c>
      <c r="R1247" s="4">
        <v>40.818823999999999</v>
      </c>
      <c r="S1247" s="4">
        <v>-73.941637</v>
      </c>
      <c r="T1247" s="2">
        <v>41977</v>
      </c>
      <c r="U1247" t="s">
        <v>49</v>
      </c>
      <c r="V1247" t="s">
        <v>71</v>
      </c>
      <c r="W1247" t="s">
        <v>51</v>
      </c>
      <c r="Z1247" s="4">
        <v>51</v>
      </c>
      <c r="AA1247" s="4">
        <v>2</v>
      </c>
      <c r="AC1247" s="4">
        <v>1</v>
      </c>
      <c r="AF1247" s="4">
        <v>7</v>
      </c>
      <c r="AG1247" s="4">
        <v>16</v>
      </c>
      <c r="AH1247" s="4">
        <v>25</v>
      </c>
      <c r="AI1247" s="4">
        <v>6</v>
      </c>
      <c r="AL1247" s="4">
        <v>54</v>
      </c>
      <c r="AN1247" s="4">
        <v>54</v>
      </c>
      <c r="AO1247" s="4">
        <v>54</v>
      </c>
    </row>
    <row r="1248" spans="1:41" hidden="1" x14ac:dyDescent="0.2">
      <c r="A1248" t="s">
        <v>2111</v>
      </c>
      <c r="B1248" t="s">
        <v>2112</v>
      </c>
      <c r="C1248" s="2">
        <v>41977</v>
      </c>
      <c r="D1248" s="2">
        <v>42928</v>
      </c>
      <c r="E1248" s="3">
        <v>4173</v>
      </c>
      <c r="F1248" t="s">
        <v>2115</v>
      </c>
      <c r="G1248" t="s">
        <v>175</v>
      </c>
      <c r="H1248" t="s">
        <v>45</v>
      </c>
      <c r="I1248" s="3">
        <v>10039</v>
      </c>
      <c r="J1248" s="3">
        <v>1020450096</v>
      </c>
      <c r="K1248" s="3">
        <v>1060845</v>
      </c>
      <c r="L1248" t="s">
        <v>146</v>
      </c>
      <c r="M1248" s="4">
        <v>9</v>
      </c>
      <c r="N1248" t="s">
        <v>909</v>
      </c>
      <c r="O1248" t="s">
        <v>177</v>
      </c>
      <c r="P1248" s="4">
        <v>40.825893000000001</v>
      </c>
      <c r="Q1248" s="4">
        <v>-73.939694000000003</v>
      </c>
      <c r="R1248" s="4">
        <v>40.825991999999999</v>
      </c>
      <c r="S1248" s="4">
        <v>-73.939982999999998</v>
      </c>
      <c r="T1248" s="2">
        <v>41977</v>
      </c>
      <c r="U1248" t="s">
        <v>49</v>
      </c>
      <c r="V1248" t="s">
        <v>71</v>
      </c>
      <c r="W1248" t="s">
        <v>51</v>
      </c>
      <c r="Z1248" s="4">
        <v>8</v>
      </c>
      <c r="AA1248" s="4">
        <v>4</v>
      </c>
      <c r="AE1248" s="4">
        <v>2</v>
      </c>
      <c r="AF1248" s="4">
        <v>5</v>
      </c>
      <c r="AG1248" s="4">
        <v>5</v>
      </c>
      <c r="AL1248" s="4">
        <v>12</v>
      </c>
      <c r="AN1248" s="4">
        <v>12</v>
      </c>
      <c r="AO1248" s="4">
        <v>12</v>
      </c>
    </row>
    <row r="1249" spans="1:41" hidden="1" x14ac:dyDescent="0.2">
      <c r="A1249" t="s">
        <v>2111</v>
      </c>
      <c r="B1249" t="s">
        <v>2112</v>
      </c>
      <c r="C1249" s="2">
        <v>41977</v>
      </c>
      <c r="D1249" s="2">
        <v>42928</v>
      </c>
      <c r="E1249" s="3">
        <v>4175</v>
      </c>
      <c r="F1249" t="s">
        <v>2116</v>
      </c>
      <c r="G1249" t="s">
        <v>175</v>
      </c>
      <c r="H1249" t="s">
        <v>45</v>
      </c>
      <c r="I1249" s="3">
        <v>10039</v>
      </c>
      <c r="J1249" s="3">
        <v>1020460007</v>
      </c>
      <c r="K1249" s="3">
        <v>1060854</v>
      </c>
      <c r="L1249" t="s">
        <v>146</v>
      </c>
      <c r="M1249" s="4">
        <v>9</v>
      </c>
      <c r="N1249" t="s">
        <v>176</v>
      </c>
      <c r="O1249" t="s">
        <v>177</v>
      </c>
      <c r="P1249" s="4">
        <v>40.826065999999997</v>
      </c>
      <c r="Q1249" s="4">
        <v>-73.939567999999994</v>
      </c>
      <c r="R1249" s="4">
        <v>40.826332000000001</v>
      </c>
      <c r="S1249" s="4">
        <v>-73.939802</v>
      </c>
      <c r="T1249" s="2">
        <v>41977</v>
      </c>
      <c r="U1249" t="s">
        <v>49</v>
      </c>
      <c r="V1249" t="s">
        <v>71</v>
      </c>
      <c r="W1249" t="s">
        <v>51</v>
      </c>
      <c r="Z1249" s="4">
        <v>18</v>
      </c>
      <c r="AA1249" s="4">
        <v>25</v>
      </c>
      <c r="AC1249" s="4">
        <v>1</v>
      </c>
      <c r="AE1249" s="4">
        <v>10</v>
      </c>
      <c r="AF1249" s="4">
        <v>1</v>
      </c>
      <c r="AG1249" s="4">
        <v>33</v>
      </c>
      <c r="AL1249" s="4">
        <v>44</v>
      </c>
      <c r="AN1249" s="4">
        <v>44</v>
      </c>
      <c r="AO1249" s="4">
        <v>44</v>
      </c>
    </row>
    <row r="1250" spans="1:41" hidden="1" x14ac:dyDescent="0.2">
      <c r="A1250" t="s">
        <v>2111</v>
      </c>
      <c r="B1250" t="s">
        <v>2112</v>
      </c>
      <c r="C1250" s="2">
        <v>41977</v>
      </c>
      <c r="D1250" s="2">
        <v>42928</v>
      </c>
      <c r="E1250" s="3">
        <v>4183</v>
      </c>
      <c r="F1250" t="s">
        <v>2117</v>
      </c>
      <c r="G1250" t="s">
        <v>175</v>
      </c>
      <c r="H1250" t="s">
        <v>45</v>
      </c>
      <c r="I1250" s="3">
        <v>10039</v>
      </c>
      <c r="J1250" s="3">
        <v>1020360061</v>
      </c>
      <c r="K1250" s="3">
        <v>1060602</v>
      </c>
      <c r="L1250" t="s">
        <v>146</v>
      </c>
      <c r="M1250" s="4">
        <v>9</v>
      </c>
      <c r="N1250" t="s">
        <v>690</v>
      </c>
      <c r="O1250" t="s">
        <v>177</v>
      </c>
      <c r="P1250" s="4">
        <v>40.826419999999999</v>
      </c>
      <c r="Q1250" s="4">
        <v>-73.939289000000002</v>
      </c>
      <c r="R1250" s="4">
        <v>40.826348000000003</v>
      </c>
      <c r="S1250" s="4">
        <v>-73.938986</v>
      </c>
      <c r="T1250" s="2">
        <v>42755</v>
      </c>
      <c r="U1250" t="s">
        <v>49</v>
      </c>
      <c r="V1250" t="s">
        <v>71</v>
      </c>
      <c r="W1250" t="s">
        <v>51</v>
      </c>
      <c r="Z1250" s="4">
        <v>9</v>
      </c>
      <c r="AA1250" s="4">
        <v>18</v>
      </c>
      <c r="AE1250" s="4">
        <v>17</v>
      </c>
      <c r="AF1250" s="4">
        <v>10</v>
      </c>
      <c r="AL1250" s="4">
        <v>27</v>
      </c>
      <c r="AN1250" s="4">
        <v>27</v>
      </c>
      <c r="AO1250" s="4">
        <v>27</v>
      </c>
    </row>
    <row r="1251" spans="1:41" hidden="1" x14ac:dyDescent="0.2">
      <c r="A1251" t="s">
        <v>2111</v>
      </c>
      <c r="B1251" t="s">
        <v>2112</v>
      </c>
      <c r="C1251" s="2">
        <v>41977</v>
      </c>
      <c r="D1251" s="2">
        <v>42928</v>
      </c>
      <c r="E1251" s="3">
        <v>4189</v>
      </c>
      <c r="F1251" t="s">
        <v>2118</v>
      </c>
      <c r="G1251" t="s">
        <v>181</v>
      </c>
      <c r="H1251" t="s">
        <v>45</v>
      </c>
      <c r="I1251" s="3">
        <v>10039</v>
      </c>
      <c r="J1251" s="3">
        <v>1020460063</v>
      </c>
      <c r="K1251" s="3">
        <v>1060875</v>
      </c>
      <c r="L1251" t="s">
        <v>146</v>
      </c>
      <c r="M1251" s="4">
        <v>9</v>
      </c>
      <c r="N1251" t="s">
        <v>176</v>
      </c>
      <c r="O1251" t="s">
        <v>177</v>
      </c>
      <c r="P1251" s="4">
        <v>40.82741</v>
      </c>
      <c r="Q1251" s="4">
        <v>-73.938586999999998</v>
      </c>
      <c r="R1251" s="4">
        <v>40.827787000000001</v>
      </c>
      <c r="S1251" s="4">
        <v>-73.938844000000003</v>
      </c>
      <c r="T1251" s="2">
        <v>42865</v>
      </c>
      <c r="U1251" t="s">
        <v>49</v>
      </c>
      <c r="V1251" t="s">
        <v>71</v>
      </c>
      <c r="W1251" t="s">
        <v>51</v>
      </c>
      <c r="Z1251" s="4">
        <v>25</v>
      </c>
      <c r="AA1251" s="4">
        <v>24</v>
      </c>
      <c r="AE1251" s="4">
        <v>10</v>
      </c>
      <c r="AF1251" s="4">
        <v>25</v>
      </c>
      <c r="AG1251" s="4">
        <v>14</v>
      </c>
      <c r="AL1251" s="4">
        <v>49</v>
      </c>
      <c r="AN1251" s="4">
        <v>49</v>
      </c>
      <c r="AO1251" s="4">
        <v>49</v>
      </c>
    </row>
    <row r="1252" spans="1:41" hidden="1" x14ac:dyDescent="0.2">
      <c r="A1252" t="s">
        <v>2111</v>
      </c>
      <c r="B1252" t="s">
        <v>2112</v>
      </c>
      <c r="C1252" s="2">
        <v>41977</v>
      </c>
      <c r="D1252" s="2">
        <v>42928</v>
      </c>
      <c r="E1252" s="3">
        <v>7475</v>
      </c>
      <c r="F1252" t="s">
        <v>256</v>
      </c>
      <c r="G1252" t="s">
        <v>810</v>
      </c>
      <c r="H1252" t="s">
        <v>45</v>
      </c>
      <c r="I1252" s="3">
        <v>10039</v>
      </c>
      <c r="J1252" s="3">
        <v>1020460063</v>
      </c>
      <c r="K1252" s="3">
        <v>1060872</v>
      </c>
      <c r="L1252" t="s">
        <v>146</v>
      </c>
      <c r="M1252" s="4">
        <v>9</v>
      </c>
      <c r="N1252" t="s">
        <v>176</v>
      </c>
      <c r="O1252" t="s">
        <v>177</v>
      </c>
      <c r="P1252" s="4">
        <v>40.828122</v>
      </c>
      <c r="Q1252" s="4">
        <v>-73.939356000000004</v>
      </c>
      <c r="R1252" s="4">
        <v>40.827787000000001</v>
      </c>
      <c r="S1252" s="4">
        <v>-73.938844000000003</v>
      </c>
      <c r="T1252" s="2">
        <v>41977</v>
      </c>
      <c r="U1252" t="s">
        <v>49</v>
      </c>
      <c r="V1252" t="s">
        <v>71</v>
      </c>
      <c r="W1252" t="s">
        <v>51</v>
      </c>
      <c r="Z1252" s="4">
        <v>8</v>
      </c>
      <c r="AA1252" s="4">
        <v>9</v>
      </c>
      <c r="AC1252" s="4">
        <v>1</v>
      </c>
      <c r="AE1252" s="4">
        <v>6</v>
      </c>
      <c r="AF1252" s="4">
        <v>10</v>
      </c>
      <c r="AG1252" s="4">
        <v>2</v>
      </c>
      <c r="AL1252" s="4">
        <v>18</v>
      </c>
      <c r="AN1252" s="4">
        <v>18</v>
      </c>
      <c r="AO1252" s="4">
        <v>18</v>
      </c>
    </row>
    <row r="1253" spans="1:41" hidden="1" x14ac:dyDescent="0.2">
      <c r="A1253" t="s">
        <v>2111</v>
      </c>
      <c r="B1253" t="s">
        <v>2112</v>
      </c>
      <c r="C1253" s="2">
        <v>41977</v>
      </c>
      <c r="D1253" s="2">
        <v>42928</v>
      </c>
      <c r="E1253" s="3">
        <v>23437</v>
      </c>
      <c r="F1253" t="s">
        <v>470</v>
      </c>
      <c r="G1253" t="s">
        <v>274</v>
      </c>
      <c r="H1253" t="s">
        <v>45</v>
      </c>
      <c r="I1253" s="3">
        <v>10026</v>
      </c>
      <c r="J1253" s="3">
        <v>1019030029</v>
      </c>
      <c r="K1253" s="3">
        <v>1057492</v>
      </c>
      <c r="L1253" t="s">
        <v>146</v>
      </c>
      <c r="M1253" s="4">
        <v>9</v>
      </c>
      <c r="N1253" t="s">
        <v>256</v>
      </c>
      <c r="O1253" t="s">
        <v>148</v>
      </c>
      <c r="P1253" s="4">
        <v>40.803429000000001</v>
      </c>
      <c r="Q1253" s="4">
        <v>-73.948668999999995</v>
      </c>
      <c r="R1253" s="4">
        <v>40.803601999999998</v>
      </c>
      <c r="S1253" s="4">
        <v>-73.949040999999994</v>
      </c>
      <c r="T1253" s="2">
        <v>42755</v>
      </c>
      <c r="U1253" t="s">
        <v>49</v>
      </c>
      <c r="V1253" t="s">
        <v>71</v>
      </c>
      <c r="W1253" t="s">
        <v>51</v>
      </c>
      <c r="Z1253" s="4">
        <v>13</v>
      </c>
      <c r="AE1253" s="4">
        <v>4</v>
      </c>
      <c r="AF1253" s="4">
        <v>8</v>
      </c>
      <c r="AG1253" s="4">
        <v>1</v>
      </c>
      <c r="AL1253" s="4">
        <v>13</v>
      </c>
      <c r="AN1253" s="4">
        <v>13</v>
      </c>
      <c r="AO1253" s="4">
        <v>13</v>
      </c>
    </row>
    <row r="1254" spans="1:41" hidden="1" x14ac:dyDescent="0.2">
      <c r="A1254" t="s">
        <v>2111</v>
      </c>
      <c r="B1254" t="s">
        <v>2112</v>
      </c>
      <c r="C1254" s="2">
        <v>41977</v>
      </c>
      <c r="D1254" s="2">
        <v>42928</v>
      </c>
      <c r="E1254" s="3">
        <v>23452</v>
      </c>
      <c r="F1254" t="s">
        <v>1897</v>
      </c>
      <c r="G1254" t="s">
        <v>274</v>
      </c>
      <c r="H1254" t="s">
        <v>45</v>
      </c>
      <c r="I1254" s="3">
        <v>10026</v>
      </c>
      <c r="J1254" s="3">
        <v>1019040033</v>
      </c>
      <c r="K1254" s="3">
        <v>1057558</v>
      </c>
      <c r="L1254" t="s">
        <v>146</v>
      </c>
      <c r="M1254" s="4">
        <v>9</v>
      </c>
      <c r="N1254" t="s">
        <v>256</v>
      </c>
      <c r="O1254" t="s">
        <v>148</v>
      </c>
      <c r="P1254" s="4">
        <v>40.804318000000002</v>
      </c>
      <c r="Q1254" s="4">
        <v>-73.948021999999995</v>
      </c>
      <c r="R1254" s="4">
        <v>40.804447000000003</v>
      </c>
      <c r="S1254" s="4">
        <v>-73.948393999999993</v>
      </c>
      <c r="T1254" s="2">
        <v>42865</v>
      </c>
      <c r="U1254" t="s">
        <v>49</v>
      </c>
      <c r="V1254" t="s">
        <v>71</v>
      </c>
      <c r="W1254" t="s">
        <v>51</v>
      </c>
      <c r="Z1254" s="4">
        <v>4</v>
      </c>
      <c r="AF1254" s="4">
        <v>4</v>
      </c>
      <c r="AL1254" s="4">
        <v>4</v>
      </c>
      <c r="AN1254" s="4">
        <v>4</v>
      </c>
      <c r="AO1254" s="4">
        <v>4</v>
      </c>
    </row>
    <row r="1255" spans="1:41" hidden="1" x14ac:dyDescent="0.2">
      <c r="A1255" t="s">
        <v>2111</v>
      </c>
      <c r="B1255" t="s">
        <v>2112</v>
      </c>
      <c r="C1255" s="2">
        <v>41977</v>
      </c>
      <c r="D1255" s="2">
        <v>42928</v>
      </c>
      <c r="E1255" s="3">
        <v>38846</v>
      </c>
      <c r="F1255" t="s">
        <v>468</v>
      </c>
      <c r="G1255" t="s">
        <v>462</v>
      </c>
      <c r="H1255" t="s">
        <v>45</v>
      </c>
      <c r="I1255" s="3">
        <v>10027</v>
      </c>
      <c r="J1255" s="3">
        <v>1019040059</v>
      </c>
      <c r="K1255" s="3">
        <v>1057584</v>
      </c>
      <c r="L1255" t="s">
        <v>146</v>
      </c>
      <c r="M1255" s="4">
        <v>9</v>
      </c>
      <c r="N1255" t="s">
        <v>256</v>
      </c>
      <c r="O1255" t="s">
        <v>148</v>
      </c>
      <c r="P1255" s="4">
        <v>40.805309999999999</v>
      </c>
      <c r="Q1255" s="4">
        <v>-73.949549000000005</v>
      </c>
      <c r="R1255" s="4">
        <v>40.805348000000002</v>
      </c>
      <c r="S1255" s="4">
        <v>-73.950220999999999</v>
      </c>
      <c r="T1255" s="2">
        <v>42563</v>
      </c>
      <c r="U1255" t="s">
        <v>49</v>
      </c>
      <c r="V1255" t="s">
        <v>71</v>
      </c>
      <c r="W1255" t="s">
        <v>51</v>
      </c>
      <c r="Z1255" s="4">
        <v>12</v>
      </c>
      <c r="AD1255" s="4">
        <v>4</v>
      </c>
      <c r="AF1255" s="4">
        <v>4</v>
      </c>
      <c r="AG1255" s="4">
        <v>4</v>
      </c>
      <c r="AL1255" s="4">
        <v>12</v>
      </c>
      <c r="AN1255" s="4">
        <v>12</v>
      </c>
      <c r="AO1255" s="4">
        <v>12</v>
      </c>
    </row>
    <row r="1256" spans="1:41" hidden="1" x14ac:dyDescent="0.2">
      <c r="A1256" t="s">
        <v>2111</v>
      </c>
      <c r="B1256" t="s">
        <v>2112</v>
      </c>
      <c r="C1256" s="2">
        <v>41977</v>
      </c>
      <c r="D1256" s="2">
        <v>42928</v>
      </c>
      <c r="E1256" s="3">
        <v>41409</v>
      </c>
      <c r="F1256" t="s">
        <v>57</v>
      </c>
      <c r="G1256" t="s">
        <v>626</v>
      </c>
      <c r="H1256" t="s">
        <v>45</v>
      </c>
      <c r="I1256" s="3">
        <v>10030</v>
      </c>
      <c r="J1256" s="3">
        <v>1020260027</v>
      </c>
      <c r="K1256" s="3">
        <v>1060412</v>
      </c>
      <c r="L1256" t="s">
        <v>146</v>
      </c>
      <c r="M1256" s="4">
        <v>9</v>
      </c>
      <c r="N1256" t="s">
        <v>222</v>
      </c>
      <c r="O1256" t="s">
        <v>177</v>
      </c>
      <c r="P1256" s="4">
        <v>40.818702999999999</v>
      </c>
      <c r="Q1256" s="4">
        <v>-73.941916000000006</v>
      </c>
      <c r="R1256" s="4">
        <v>40.818913999999999</v>
      </c>
      <c r="S1256" s="4">
        <v>-73.941850000000002</v>
      </c>
      <c r="T1256" s="2">
        <v>42755</v>
      </c>
      <c r="U1256" t="s">
        <v>49</v>
      </c>
      <c r="V1256" t="s">
        <v>71</v>
      </c>
      <c r="W1256" t="s">
        <v>51</v>
      </c>
      <c r="Z1256" s="4">
        <v>10</v>
      </c>
      <c r="AA1256" s="4">
        <v>4</v>
      </c>
      <c r="AC1256" s="4">
        <v>1</v>
      </c>
      <c r="AE1256" s="4">
        <v>1</v>
      </c>
      <c r="AF1256" s="4">
        <v>12</v>
      </c>
      <c r="AG1256" s="4">
        <v>2</v>
      </c>
      <c r="AL1256" s="4">
        <v>15</v>
      </c>
      <c r="AN1256" s="4">
        <v>15</v>
      </c>
      <c r="AO1256" s="4">
        <v>15</v>
      </c>
    </row>
    <row r="1257" spans="1:41" hidden="1" x14ac:dyDescent="0.2">
      <c r="A1257" t="s">
        <v>2111</v>
      </c>
      <c r="B1257" t="s">
        <v>2112</v>
      </c>
      <c r="C1257" s="2">
        <v>41977</v>
      </c>
      <c r="D1257" s="2">
        <v>42928</v>
      </c>
      <c r="E1257" s="3">
        <v>41411</v>
      </c>
      <c r="F1257" t="s">
        <v>693</v>
      </c>
      <c r="G1257" t="s">
        <v>626</v>
      </c>
      <c r="H1257" t="s">
        <v>45</v>
      </c>
      <c r="I1257" s="3">
        <v>10030</v>
      </c>
      <c r="J1257" s="3">
        <v>1020260026</v>
      </c>
      <c r="K1257" s="3">
        <v>1060411</v>
      </c>
      <c r="L1257" t="s">
        <v>146</v>
      </c>
      <c r="M1257" s="4">
        <v>9</v>
      </c>
      <c r="N1257" t="s">
        <v>222</v>
      </c>
      <c r="O1257" t="s">
        <v>177</v>
      </c>
      <c r="P1257" s="4">
        <v>40.818719999999999</v>
      </c>
      <c r="Q1257" s="4">
        <v>-73.941954999999993</v>
      </c>
      <c r="R1257" s="4">
        <v>40.818953</v>
      </c>
      <c r="S1257" s="4">
        <v>-73.941941</v>
      </c>
      <c r="T1257" s="2">
        <v>42928</v>
      </c>
      <c r="U1257" t="s">
        <v>49</v>
      </c>
      <c r="V1257" t="s">
        <v>71</v>
      </c>
      <c r="W1257" t="s">
        <v>51</v>
      </c>
      <c r="Z1257" s="4">
        <v>2</v>
      </c>
      <c r="AA1257" s="4">
        <v>8</v>
      </c>
      <c r="AG1257" s="4">
        <v>10</v>
      </c>
      <c r="AL1257" s="4">
        <v>10</v>
      </c>
      <c r="AN1257" s="4">
        <v>10</v>
      </c>
      <c r="AO1257" s="4">
        <v>10</v>
      </c>
    </row>
    <row r="1258" spans="1:41" hidden="1" x14ac:dyDescent="0.2">
      <c r="A1258" t="s">
        <v>2111</v>
      </c>
      <c r="B1258" t="s">
        <v>2112</v>
      </c>
      <c r="C1258" s="2">
        <v>41977</v>
      </c>
      <c r="D1258" s="2">
        <v>42928</v>
      </c>
      <c r="E1258" s="3">
        <v>41417</v>
      </c>
      <c r="F1258" t="s">
        <v>547</v>
      </c>
      <c r="G1258" t="s">
        <v>626</v>
      </c>
      <c r="H1258" t="s">
        <v>45</v>
      </c>
      <c r="I1258" s="3">
        <v>10030</v>
      </c>
      <c r="J1258" s="3">
        <v>1020260023</v>
      </c>
      <c r="K1258" s="3">
        <v>1060410</v>
      </c>
      <c r="L1258" t="s">
        <v>146</v>
      </c>
      <c r="M1258" s="4">
        <v>9</v>
      </c>
      <c r="N1258" t="s">
        <v>222</v>
      </c>
      <c r="O1258" t="s">
        <v>177</v>
      </c>
      <c r="P1258" s="4">
        <v>40.818769000000003</v>
      </c>
      <c r="Q1258" s="4">
        <v>-73.942075000000003</v>
      </c>
      <c r="R1258" s="4">
        <v>40.819063</v>
      </c>
      <c r="S1258" s="4">
        <v>-73.942200999999997</v>
      </c>
      <c r="T1258" s="2">
        <v>42732</v>
      </c>
      <c r="U1258" t="s">
        <v>49</v>
      </c>
      <c r="V1258" t="s">
        <v>71</v>
      </c>
      <c r="W1258" t="s">
        <v>51</v>
      </c>
      <c r="Z1258" s="4">
        <v>3</v>
      </c>
      <c r="AA1258" s="4">
        <v>7</v>
      </c>
      <c r="AG1258" s="4">
        <v>10</v>
      </c>
      <c r="AL1258" s="4">
        <v>10</v>
      </c>
      <c r="AN1258" s="4">
        <v>10</v>
      </c>
      <c r="AO1258" s="4">
        <v>10</v>
      </c>
    </row>
    <row r="1259" spans="1:41" hidden="1" x14ac:dyDescent="0.2">
      <c r="A1259" t="s">
        <v>2111</v>
      </c>
      <c r="B1259" t="s">
        <v>2112</v>
      </c>
      <c r="C1259" s="2">
        <v>41977</v>
      </c>
      <c r="D1259" s="2">
        <v>42928</v>
      </c>
      <c r="E1259" s="3">
        <v>41419</v>
      </c>
      <c r="F1259" t="s">
        <v>1123</v>
      </c>
      <c r="G1259" t="s">
        <v>626</v>
      </c>
      <c r="H1259" t="s">
        <v>45</v>
      </c>
      <c r="I1259" s="3">
        <v>10030</v>
      </c>
      <c r="J1259" s="3">
        <v>1020260022</v>
      </c>
      <c r="K1259" s="3">
        <v>1060409</v>
      </c>
      <c r="L1259" t="s">
        <v>146</v>
      </c>
      <c r="M1259" s="4">
        <v>9</v>
      </c>
      <c r="N1259" t="s">
        <v>222</v>
      </c>
      <c r="O1259" t="s">
        <v>177</v>
      </c>
      <c r="P1259" s="4">
        <v>40.818786000000003</v>
      </c>
      <c r="Q1259" s="4">
        <v>-73.942114000000004</v>
      </c>
      <c r="R1259" s="4">
        <v>40.819101000000003</v>
      </c>
      <c r="S1259" s="4">
        <v>-73.942290999999997</v>
      </c>
      <c r="T1259" s="2">
        <v>42563</v>
      </c>
      <c r="U1259" t="s">
        <v>49</v>
      </c>
      <c r="V1259" t="s">
        <v>71</v>
      </c>
      <c r="W1259" t="s">
        <v>51</v>
      </c>
      <c r="Z1259" s="4">
        <v>8</v>
      </c>
      <c r="AA1259" s="4">
        <v>6</v>
      </c>
      <c r="AC1259" s="4">
        <v>1</v>
      </c>
      <c r="AE1259" s="4">
        <v>1</v>
      </c>
      <c r="AF1259" s="4">
        <v>12</v>
      </c>
      <c r="AG1259" s="4">
        <v>2</v>
      </c>
      <c r="AL1259" s="4">
        <v>15</v>
      </c>
      <c r="AN1259" s="4">
        <v>15</v>
      </c>
      <c r="AO1259" s="4">
        <v>15</v>
      </c>
    </row>
    <row r="1260" spans="1:41" hidden="1" x14ac:dyDescent="0.2">
      <c r="A1260" t="s">
        <v>2111</v>
      </c>
      <c r="B1260" t="s">
        <v>2112</v>
      </c>
      <c r="C1260" s="2">
        <v>41977</v>
      </c>
      <c r="D1260" s="2">
        <v>42928</v>
      </c>
      <c r="E1260" s="3">
        <v>41421</v>
      </c>
      <c r="F1260" t="s">
        <v>379</v>
      </c>
      <c r="G1260" t="s">
        <v>626</v>
      </c>
      <c r="H1260" t="s">
        <v>45</v>
      </c>
      <c r="I1260" s="3">
        <v>10030</v>
      </c>
      <c r="J1260" s="3">
        <v>1020260020</v>
      </c>
      <c r="K1260" s="3">
        <v>1060408</v>
      </c>
      <c r="L1260" t="s">
        <v>146</v>
      </c>
      <c r="M1260" s="4">
        <v>9</v>
      </c>
      <c r="N1260" t="s">
        <v>222</v>
      </c>
      <c r="O1260" t="s">
        <v>177</v>
      </c>
      <c r="P1260" s="4">
        <v>40.818801999999998</v>
      </c>
      <c r="Q1260" s="4">
        <v>-73.942154000000002</v>
      </c>
      <c r="R1260" s="4">
        <v>40.819136999999998</v>
      </c>
      <c r="S1260" s="4">
        <v>-73.942378000000005</v>
      </c>
      <c r="T1260" s="2">
        <v>41977</v>
      </c>
      <c r="U1260" t="s">
        <v>49</v>
      </c>
      <c r="V1260" t="s">
        <v>71</v>
      </c>
      <c r="W1260" t="s">
        <v>51</v>
      </c>
      <c r="Z1260" s="4">
        <v>3</v>
      </c>
      <c r="AA1260" s="4">
        <v>11</v>
      </c>
      <c r="AC1260" s="4">
        <v>1</v>
      </c>
      <c r="AE1260" s="4">
        <v>1</v>
      </c>
      <c r="AF1260" s="4">
        <v>12</v>
      </c>
      <c r="AG1260" s="4">
        <v>2</v>
      </c>
      <c r="AL1260" s="4">
        <v>15</v>
      </c>
      <c r="AN1260" s="4">
        <v>15</v>
      </c>
      <c r="AO1260" s="4">
        <v>15</v>
      </c>
    </row>
    <row r="1261" spans="1:41" hidden="1" x14ac:dyDescent="0.2">
      <c r="A1261" t="s">
        <v>2111</v>
      </c>
      <c r="B1261" t="s">
        <v>2112</v>
      </c>
      <c r="C1261" s="2">
        <v>41977</v>
      </c>
      <c r="D1261" s="2">
        <v>42928</v>
      </c>
      <c r="E1261" s="3">
        <v>41897</v>
      </c>
      <c r="F1261" t="s">
        <v>288</v>
      </c>
      <c r="G1261" t="s">
        <v>439</v>
      </c>
      <c r="H1261" t="s">
        <v>45</v>
      </c>
      <c r="I1261" s="3">
        <v>10039</v>
      </c>
      <c r="J1261" s="3">
        <v>1020310018</v>
      </c>
      <c r="K1261" s="3">
        <v>1060479</v>
      </c>
      <c r="L1261" t="s">
        <v>146</v>
      </c>
      <c r="M1261" s="4">
        <v>9</v>
      </c>
      <c r="N1261" t="s">
        <v>425</v>
      </c>
      <c r="O1261" t="s">
        <v>177</v>
      </c>
      <c r="P1261" s="4">
        <v>40.822037000000002</v>
      </c>
      <c r="Q1261" s="4">
        <v>-73.939998000000003</v>
      </c>
      <c r="R1261" s="4">
        <v>40.822412999999997</v>
      </c>
      <c r="S1261" s="4">
        <v>-73.940185</v>
      </c>
      <c r="T1261" s="2">
        <v>41977</v>
      </c>
      <c r="U1261" t="s">
        <v>49</v>
      </c>
      <c r="V1261" t="s">
        <v>71</v>
      </c>
      <c r="W1261" t="s">
        <v>51</v>
      </c>
      <c r="Z1261" s="4">
        <v>6</v>
      </c>
      <c r="AA1261" s="4">
        <v>10</v>
      </c>
      <c r="AE1261" s="4">
        <v>5</v>
      </c>
      <c r="AF1261" s="4">
        <v>10</v>
      </c>
      <c r="AG1261" s="4">
        <v>1</v>
      </c>
      <c r="AL1261" s="4">
        <v>16</v>
      </c>
      <c r="AN1261" s="4">
        <v>16</v>
      </c>
      <c r="AO1261" s="4">
        <v>16</v>
      </c>
    </row>
    <row r="1262" spans="1:41" hidden="1" x14ac:dyDescent="0.2">
      <c r="A1262" t="s">
        <v>2111</v>
      </c>
      <c r="B1262" t="s">
        <v>2112</v>
      </c>
      <c r="C1262" s="2">
        <v>41977</v>
      </c>
      <c r="D1262" s="2">
        <v>42928</v>
      </c>
      <c r="E1262" s="3">
        <v>42097</v>
      </c>
      <c r="F1262" t="s">
        <v>62</v>
      </c>
      <c r="G1262" t="s">
        <v>1451</v>
      </c>
      <c r="H1262" t="s">
        <v>45</v>
      </c>
      <c r="I1262" s="3">
        <v>10039</v>
      </c>
      <c r="J1262" s="3">
        <v>1020320043</v>
      </c>
      <c r="K1262" s="3">
        <v>1060511</v>
      </c>
      <c r="L1262" t="s">
        <v>146</v>
      </c>
      <c r="M1262" s="4">
        <v>9</v>
      </c>
      <c r="N1262" t="s">
        <v>544</v>
      </c>
      <c r="O1262" t="s">
        <v>177</v>
      </c>
      <c r="P1262" s="4">
        <v>40.823287999999998</v>
      </c>
      <c r="Q1262" s="4">
        <v>-73.938989000000007</v>
      </c>
      <c r="R1262" s="4">
        <v>40.823211000000001</v>
      </c>
      <c r="S1262" s="4">
        <v>-73.939385999999999</v>
      </c>
      <c r="T1262" s="2">
        <v>41977</v>
      </c>
      <c r="U1262" t="s">
        <v>49</v>
      </c>
      <c r="V1262" t="s">
        <v>71</v>
      </c>
      <c r="W1262" t="s">
        <v>51</v>
      </c>
      <c r="Z1262" s="4">
        <v>16</v>
      </c>
      <c r="AA1262" s="4">
        <v>24</v>
      </c>
      <c r="AC1262" s="4">
        <v>1</v>
      </c>
      <c r="AF1262" s="4">
        <v>29</v>
      </c>
      <c r="AG1262" s="4">
        <v>12</v>
      </c>
      <c r="AL1262" s="4">
        <v>41</v>
      </c>
      <c r="AN1262" s="4">
        <v>41</v>
      </c>
      <c r="AO1262" s="4">
        <v>41</v>
      </c>
    </row>
    <row r="1263" spans="1:41" hidden="1" x14ac:dyDescent="0.2">
      <c r="A1263" t="s">
        <v>2111</v>
      </c>
      <c r="B1263" t="s">
        <v>2112</v>
      </c>
      <c r="C1263" s="2">
        <v>41977</v>
      </c>
      <c r="D1263" s="2">
        <v>42928</v>
      </c>
      <c r="E1263" s="3">
        <v>42408</v>
      </c>
      <c r="F1263" t="s">
        <v>816</v>
      </c>
      <c r="G1263" t="s">
        <v>549</v>
      </c>
      <c r="H1263" t="s">
        <v>45</v>
      </c>
      <c r="I1263" s="3">
        <v>10039</v>
      </c>
      <c r="J1263" s="3">
        <v>1020450097</v>
      </c>
      <c r="K1263" s="3">
        <v>1060847</v>
      </c>
      <c r="L1263" t="s">
        <v>146</v>
      </c>
      <c r="M1263" s="4">
        <v>9</v>
      </c>
      <c r="N1263" t="s">
        <v>909</v>
      </c>
      <c r="O1263" t="s">
        <v>177</v>
      </c>
      <c r="P1263" s="4">
        <v>40.826062999999998</v>
      </c>
      <c r="Q1263" s="4">
        <v>-73.939769999999996</v>
      </c>
      <c r="R1263" s="4">
        <v>40.826000000000001</v>
      </c>
      <c r="S1263" s="4">
        <v>-73.940185999999997</v>
      </c>
      <c r="T1263" s="2">
        <v>41977</v>
      </c>
      <c r="U1263" t="s">
        <v>49</v>
      </c>
      <c r="V1263" t="s">
        <v>71</v>
      </c>
      <c r="W1263" t="s">
        <v>51</v>
      </c>
      <c r="AA1263" s="4">
        <v>7</v>
      </c>
      <c r="AD1263" s="4">
        <v>1</v>
      </c>
      <c r="AE1263" s="4">
        <v>4</v>
      </c>
      <c r="AF1263" s="4">
        <v>2</v>
      </c>
      <c r="AL1263" s="4">
        <v>7</v>
      </c>
      <c r="AN1263" s="4">
        <v>7</v>
      </c>
      <c r="AO1263" s="4">
        <v>7</v>
      </c>
    </row>
    <row r="1264" spans="1:41" hidden="1" x14ac:dyDescent="0.2">
      <c r="A1264" t="s">
        <v>2111</v>
      </c>
      <c r="B1264" t="s">
        <v>2112</v>
      </c>
      <c r="C1264" s="2">
        <v>41977</v>
      </c>
      <c r="D1264" s="2">
        <v>42928</v>
      </c>
      <c r="E1264" s="3">
        <v>42410</v>
      </c>
      <c r="F1264" t="s">
        <v>814</v>
      </c>
      <c r="G1264" t="s">
        <v>549</v>
      </c>
      <c r="H1264" t="s">
        <v>45</v>
      </c>
      <c r="I1264" s="3">
        <v>10039</v>
      </c>
      <c r="J1264" s="3">
        <v>1020450100</v>
      </c>
      <c r="K1264" s="3">
        <v>1060849</v>
      </c>
      <c r="L1264" t="s">
        <v>146</v>
      </c>
      <c r="M1264" s="4">
        <v>9</v>
      </c>
      <c r="N1264" t="s">
        <v>909</v>
      </c>
      <c r="O1264" t="s">
        <v>177</v>
      </c>
      <c r="P1264" s="4">
        <v>40.826079999999997</v>
      </c>
      <c r="Q1264" s="4">
        <v>-73.939809999999994</v>
      </c>
      <c r="R1264" s="4">
        <v>40.826112999999999</v>
      </c>
      <c r="S1264" s="4">
        <v>-73.940456999999995</v>
      </c>
      <c r="T1264" s="2">
        <v>41977</v>
      </c>
      <c r="U1264" t="s">
        <v>49</v>
      </c>
      <c r="V1264" t="s">
        <v>71</v>
      </c>
      <c r="W1264" t="s">
        <v>51</v>
      </c>
      <c r="Z1264" s="4">
        <v>6</v>
      </c>
      <c r="AA1264" s="4">
        <v>12</v>
      </c>
      <c r="AD1264" s="4">
        <v>1</v>
      </c>
      <c r="AF1264" s="4">
        <v>17</v>
      </c>
      <c r="AL1264" s="4">
        <v>18</v>
      </c>
      <c r="AN1264" s="4">
        <v>18</v>
      </c>
      <c r="AO1264" s="4">
        <v>18</v>
      </c>
    </row>
    <row r="1265" spans="1:41" hidden="1" x14ac:dyDescent="0.2">
      <c r="A1265" t="s">
        <v>2111</v>
      </c>
      <c r="B1265" t="s">
        <v>2112</v>
      </c>
      <c r="C1265" s="2">
        <v>41977</v>
      </c>
      <c r="D1265" s="2">
        <v>42928</v>
      </c>
      <c r="E1265" s="3">
        <v>941090</v>
      </c>
      <c r="F1265" t="s">
        <v>354</v>
      </c>
      <c r="G1265" t="s">
        <v>462</v>
      </c>
      <c r="H1265" t="s">
        <v>45</v>
      </c>
      <c r="I1265" s="3">
        <v>10027</v>
      </c>
      <c r="J1265" s="3">
        <v>1017180069</v>
      </c>
      <c r="K1265" s="3">
        <v>1083964</v>
      </c>
      <c r="L1265" t="s">
        <v>146</v>
      </c>
      <c r="M1265" s="4">
        <v>9</v>
      </c>
      <c r="N1265" t="s">
        <v>1472</v>
      </c>
      <c r="O1265" t="s">
        <v>148</v>
      </c>
      <c r="P1265" s="4">
        <v>40.804336999999997</v>
      </c>
      <c r="Q1265" s="4">
        <v>-73.947244999999995</v>
      </c>
      <c r="R1265" s="4">
        <v>40.804315000000003</v>
      </c>
      <c r="S1265" s="4">
        <v>-73.947526999999994</v>
      </c>
      <c r="T1265" s="2">
        <v>42838</v>
      </c>
      <c r="U1265" t="s">
        <v>49</v>
      </c>
      <c r="V1265" t="s">
        <v>71</v>
      </c>
      <c r="W1265" t="s">
        <v>51</v>
      </c>
      <c r="Z1265" s="4">
        <v>8</v>
      </c>
      <c r="AE1265" s="4">
        <v>4</v>
      </c>
      <c r="AF1265" s="4">
        <v>4</v>
      </c>
      <c r="AL1265" s="4">
        <v>8</v>
      </c>
      <c r="AN1265" s="4">
        <v>8</v>
      </c>
      <c r="AO1265" s="4">
        <v>8</v>
      </c>
    </row>
    <row r="1266" spans="1:41" hidden="1" x14ac:dyDescent="0.2">
      <c r="A1266" t="s">
        <v>2119</v>
      </c>
      <c r="B1266" t="s">
        <v>2120</v>
      </c>
      <c r="C1266" s="2">
        <v>41967</v>
      </c>
      <c r="D1266" s="2">
        <v>42824</v>
      </c>
      <c r="E1266" s="3">
        <v>953668</v>
      </c>
      <c r="F1266" t="s">
        <v>1562</v>
      </c>
      <c r="G1266" t="s">
        <v>2121</v>
      </c>
      <c r="H1266" t="s">
        <v>45</v>
      </c>
      <c r="I1266" s="3">
        <v>10010</v>
      </c>
      <c r="J1266" s="3">
        <v>1009310017</v>
      </c>
      <c r="K1266" s="3">
        <v>1090206</v>
      </c>
      <c r="L1266" t="s">
        <v>165</v>
      </c>
      <c r="M1266" s="4">
        <v>2</v>
      </c>
      <c r="N1266" t="s">
        <v>682</v>
      </c>
      <c r="O1266" t="s">
        <v>239</v>
      </c>
      <c r="P1266" s="4">
        <v>40.738855000000001</v>
      </c>
      <c r="Q1266" s="4">
        <v>-73.979203999999996</v>
      </c>
      <c r="R1266" s="4">
        <v>40.738781000000003</v>
      </c>
      <c r="S1266" s="4">
        <v>-73.978504000000001</v>
      </c>
      <c r="T1266" s="2">
        <v>42824</v>
      </c>
      <c r="U1266" t="s">
        <v>117</v>
      </c>
      <c r="V1266" t="s">
        <v>71</v>
      </c>
      <c r="W1266" t="s">
        <v>51</v>
      </c>
      <c r="Z1266" s="4">
        <v>22</v>
      </c>
      <c r="AF1266" s="4">
        <v>22</v>
      </c>
      <c r="AL1266" s="4">
        <v>22</v>
      </c>
      <c r="AN1266" s="4">
        <v>22</v>
      </c>
      <c r="AO1266" s="4">
        <v>56</v>
      </c>
    </row>
    <row r="1267" spans="1:41" hidden="1" x14ac:dyDescent="0.2">
      <c r="A1267" t="s">
        <v>2122</v>
      </c>
      <c r="B1267" t="s">
        <v>2123</v>
      </c>
      <c r="C1267" s="2">
        <v>41967</v>
      </c>
      <c r="D1267" s="2">
        <v>42779</v>
      </c>
      <c r="E1267" s="3">
        <v>953668</v>
      </c>
      <c r="F1267" t="s">
        <v>1562</v>
      </c>
      <c r="G1267" t="s">
        <v>2121</v>
      </c>
      <c r="H1267" t="s">
        <v>45</v>
      </c>
      <c r="I1267" s="3">
        <v>10010</v>
      </c>
      <c r="J1267" s="3">
        <v>1009310017</v>
      </c>
      <c r="K1267" s="3">
        <v>1090206</v>
      </c>
      <c r="L1267" t="s">
        <v>165</v>
      </c>
      <c r="M1267" s="4">
        <v>2</v>
      </c>
      <c r="N1267" t="s">
        <v>682</v>
      </c>
      <c r="O1267" t="s">
        <v>239</v>
      </c>
      <c r="P1267" s="4">
        <v>40.738855000000001</v>
      </c>
      <c r="Q1267" s="4">
        <v>-73.979203999999996</v>
      </c>
      <c r="R1267" s="4">
        <v>40.738781000000003</v>
      </c>
      <c r="S1267" s="4">
        <v>-73.978504000000001</v>
      </c>
      <c r="T1267" s="2">
        <v>42779</v>
      </c>
      <c r="U1267" t="s">
        <v>117</v>
      </c>
      <c r="V1267" t="s">
        <v>50</v>
      </c>
      <c r="W1267" t="s">
        <v>51</v>
      </c>
      <c r="AA1267" s="4">
        <v>11</v>
      </c>
      <c r="AB1267" s="4">
        <v>22</v>
      </c>
      <c r="AC1267" s="4">
        <v>1</v>
      </c>
      <c r="AD1267" s="4">
        <v>10</v>
      </c>
      <c r="AE1267" s="4">
        <v>18</v>
      </c>
      <c r="AF1267" s="4">
        <v>6</v>
      </c>
      <c r="AL1267" s="4">
        <v>34</v>
      </c>
      <c r="AN1267" s="4">
        <v>34</v>
      </c>
      <c r="AO1267" s="4">
        <v>56</v>
      </c>
    </row>
    <row r="1268" spans="1:41" hidden="1" x14ac:dyDescent="0.2">
      <c r="A1268" t="s">
        <v>2124</v>
      </c>
      <c r="B1268" t="s">
        <v>2125</v>
      </c>
      <c r="C1268" s="2">
        <v>41962</v>
      </c>
      <c r="D1268" s="2">
        <v>43045</v>
      </c>
      <c r="E1268" s="3">
        <v>946857</v>
      </c>
      <c r="F1268" t="s">
        <v>1089</v>
      </c>
      <c r="G1268" t="s">
        <v>249</v>
      </c>
      <c r="H1268" t="s">
        <v>45</v>
      </c>
      <c r="I1268" s="3">
        <v>10027</v>
      </c>
      <c r="J1268" s="3">
        <v>1017240014</v>
      </c>
      <c r="K1268" s="3">
        <v>1053549</v>
      </c>
      <c r="L1268" t="s">
        <v>146</v>
      </c>
      <c r="M1268" s="4">
        <v>9</v>
      </c>
      <c r="N1268" t="s">
        <v>305</v>
      </c>
      <c r="O1268" t="s">
        <v>177</v>
      </c>
      <c r="P1268" s="4">
        <v>40.807788000000002</v>
      </c>
      <c r="Q1268" s="4">
        <v>-73.943403000000004</v>
      </c>
      <c r="R1268" s="4">
        <v>40.808118</v>
      </c>
      <c r="S1268" s="4">
        <v>-73.943629999999999</v>
      </c>
      <c r="T1268" s="2">
        <v>43045</v>
      </c>
      <c r="U1268" t="s">
        <v>117</v>
      </c>
      <c r="V1268" t="s">
        <v>71</v>
      </c>
      <c r="W1268" t="s">
        <v>51</v>
      </c>
      <c r="Z1268" s="4">
        <v>2</v>
      </c>
      <c r="AE1268" s="4">
        <v>2</v>
      </c>
      <c r="AL1268" s="4">
        <v>2</v>
      </c>
      <c r="AN1268" s="4">
        <v>2</v>
      </c>
      <c r="AO1268" s="4">
        <v>8</v>
      </c>
    </row>
    <row r="1269" spans="1:41" hidden="1" x14ac:dyDescent="0.2">
      <c r="A1269" t="s">
        <v>2126</v>
      </c>
      <c r="B1269" t="s">
        <v>2127</v>
      </c>
      <c r="C1269" s="2">
        <v>41956</v>
      </c>
      <c r="D1269" s="2">
        <v>41956</v>
      </c>
      <c r="E1269" s="3">
        <v>3441</v>
      </c>
      <c r="F1269" t="s">
        <v>2128</v>
      </c>
      <c r="G1269" t="s">
        <v>255</v>
      </c>
      <c r="H1269" t="s">
        <v>45</v>
      </c>
      <c r="I1269" s="3">
        <v>10027</v>
      </c>
      <c r="J1269" s="3">
        <v>1019280029</v>
      </c>
      <c r="K1269" s="3">
        <v>1058563</v>
      </c>
      <c r="L1269" t="s">
        <v>146</v>
      </c>
      <c r="M1269" s="4">
        <v>9</v>
      </c>
      <c r="N1269" t="s">
        <v>147</v>
      </c>
      <c r="O1269" t="s">
        <v>148</v>
      </c>
      <c r="P1269" s="4">
        <v>40.807186999999999</v>
      </c>
      <c r="Q1269" s="4">
        <v>-73.949645000000004</v>
      </c>
      <c r="R1269" s="4">
        <v>40.807302999999997</v>
      </c>
      <c r="S1269" s="4">
        <v>-73.950006000000002</v>
      </c>
      <c r="T1269" s="2">
        <v>41956</v>
      </c>
      <c r="U1269" t="s">
        <v>49</v>
      </c>
      <c r="V1269" t="s">
        <v>50</v>
      </c>
      <c r="W1269" t="s">
        <v>51</v>
      </c>
      <c r="X1269" s="4">
        <v>29</v>
      </c>
      <c r="Y1269" s="4">
        <v>1</v>
      </c>
      <c r="AD1269" s="4">
        <v>30</v>
      </c>
      <c r="AL1269" s="4">
        <v>30</v>
      </c>
      <c r="AN1269" s="4">
        <v>30</v>
      </c>
      <c r="AO1269" s="4">
        <v>30</v>
      </c>
    </row>
    <row r="1270" spans="1:41" hidden="1" x14ac:dyDescent="0.2">
      <c r="A1270" t="s">
        <v>2129</v>
      </c>
      <c r="B1270" t="s">
        <v>2130</v>
      </c>
      <c r="C1270" s="2">
        <v>41942</v>
      </c>
      <c r="D1270" s="2">
        <v>41942</v>
      </c>
      <c r="E1270" s="3">
        <v>23612</v>
      </c>
      <c r="F1270" t="s">
        <v>347</v>
      </c>
      <c r="G1270" t="s">
        <v>2131</v>
      </c>
      <c r="H1270" t="s">
        <v>45</v>
      </c>
      <c r="I1270" s="3">
        <v>10026</v>
      </c>
      <c r="J1270" s="3">
        <v>1018220029</v>
      </c>
      <c r="K1270" s="3">
        <v>1084006</v>
      </c>
      <c r="L1270" t="s">
        <v>146</v>
      </c>
      <c r="M1270" s="4">
        <v>9</v>
      </c>
      <c r="N1270" t="s">
        <v>312</v>
      </c>
      <c r="O1270" t="s">
        <v>148</v>
      </c>
      <c r="P1270" s="4">
        <v>40.799551999999998</v>
      </c>
      <c r="Q1270" s="4">
        <v>-73.951728000000003</v>
      </c>
      <c r="R1270" s="4">
        <v>40.799881999999997</v>
      </c>
      <c r="S1270" s="4">
        <v>-73.951763999999997</v>
      </c>
      <c r="T1270" s="2">
        <v>41942</v>
      </c>
      <c r="U1270" t="s">
        <v>49</v>
      </c>
      <c r="V1270" t="s">
        <v>50</v>
      </c>
      <c r="W1270" t="s">
        <v>51</v>
      </c>
      <c r="X1270" s="4">
        <v>38</v>
      </c>
      <c r="Y1270" s="4">
        <v>15</v>
      </c>
      <c r="Z1270" s="4">
        <v>5</v>
      </c>
      <c r="AC1270" s="4">
        <v>1</v>
      </c>
      <c r="AE1270" s="4">
        <v>14</v>
      </c>
      <c r="AF1270" s="4">
        <v>34</v>
      </c>
      <c r="AG1270" s="4">
        <v>11</v>
      </c>
      <c r="AL1270" s="4">
        <v>58</v>
      </c>
      <c r="AM1270" s="4">
        <v>1</v>
      </c>
      <c r="AN1270" s="4">
        <v>59</v>
      </c>
      <c r="AO1270" s="4">
        <v>59</v>
      </c>
    </row>
    <row r="1271" spans="1:41" hidden="1" x14ac:dyDescent="0.2">
      <c r="A1271" t="s">
        <v>2132</v>
      </c>
      <c r="B1271" t="s">
        <v>2133</v>
      </c>
      <c r="C1271" s="2">
        <v>41942</v>
      </c>
      <c r="D1271" s="2">
        <v>41942</v>
      </c>
      <c r="E1271" s="3">
        <v>3553</v>
      </c>
      <c r="F1271" t="s">
        <v>2134</v>
      </c>
      <c r="G1271" t="s">
        <v>255</v>
      </c>
      <c r="H1271" t="s">
        <v>45</v>
      </c>
      <c r="I1271" s="3">
        <v>10030</v>
      </c>
      <c r="J1271" s="3">
        <v>1019210001</v>
      </c>
      <c r="K1271" s="3">
        <v>1058309</v>
      </c>
      <c r="L1271" t="s">
        <v>146</v>
      </c>
      <c r="M1271" s="4">
        <v>9</v>
      </c>
      <c r="N1271" t="s">
        <v>322</v>
      </c>
      <c r="O1271" t="s">
        <v>177</v>
      </c>
      <c r="P1271" s="4">
        <v>40.816065999999999</v>
      </c>
      <c r="Q1271" s="4">
        <v>-73.943134999999998</v>
      </c>
      <c r="R1271" s="4">
        <v>40.816125999999997</v>
      </c>
      <c r="S1271" s="4">
        <v>-73.942565000000002</v>
      </c>
      <c r="T1271" s="2">
        <v>41942</v>
      </c>
      <c r="U1271" t="s">
        <v>49</v>
      </c>
      <c r="V1271" t="s">
        <v>50</v>
      </c>
      <c r="W1271" t="s">
        <v>51</v>
      </c>
      <c r="X1271" s="4">
        <v>67</v>
      </c>
      <c r="Y1271" s="4">
        <v>15</v>
      </c>
      <c r="Z1271" s="4">
        <v>5</v>
      </c>
      <c r="AC1271" s="4">
        <v>1</v>
      </c>
      <c r="AD1271" s="4">
        <v>12</v>
      </c>
      <c r="AE1271" s="4">
        <v>30</v>
      </c>
      <c r="AF1271" s="4">
        <v>32</v>
      </c>
      <c r="AG1271" s="4">
        <v>14</v>
      </c>
      <c r="AL1271" s="4">
        <v>88</v>
      </c>
      <c r="AN1271" s="4">
        <v>88</v>
      </c>
      <c r="AO1271" s="4">
        <v>88</v>
      </c>
    </row>
    <row r="1272" spans="1:41" hidden="1" x14ac:dyDescent="0.2">
      <c r="A1272" t="s">
        <v>2135</v>
      </c>
      <c r="B1272" t="s">
        <v>2136</v>
      </c>
      <c r="C1272" s="2">
        <v>41942</v>
      </c>
      <c r="D1272" s="2">
        <v>43437</v>
      </c>
      <c r="E1272" s="3">
        <v>977581</v>
      </c>
      <c r="F1272" t="s">
        <v>939</v>
      </c>
      <c r="G1272" t="s">
        <v>2137</v>
      </c>
      <c r="H1272" t="s">
        <v>45</v>
      </c>
      <c r="I1272" s="3">
        <v>10019</v>
      </c>
      <c r="J1272" s="3">
        <v>1011040031</v>
      </c>
      <c r="K1272" s="3">
        <v>1090190</v>
      </c>
      <c r="L1272" t="s">
        <v>78</v>
      </c>
      <c r="M1272" s="4">
        <v>6</v>
      </c>
      <c r="N1272" t="s">
        <v>905</v>
      </c>
      <c r="O1272" t="s">
        <v>80</v>
      </c>
      <c r="P1272" s="4">
        <v>40.770530999999998</v>
      </c>
      <c r="Q1272" s="4">
        <v>-73.991945000000001</v>
      </c>
      <c r="R1272" s="4">
        <v>40.770434999999999</v>
      </c>
      <c r="S1272" s="4">
        <v>-73.992671000000001</v>
      </c>
      <c r="T1272" s="2">
        <v>43437</v>
      </c>
      <c r="U1272" t="s">
        <v>117</v>
      </c>
      <c r="V1272" t="s">
        <v>71</v>
      </c>
      <c r="W1272" t="s">
        <v>51</v>
      </c>
      <c r="Y1272" s="4">
        <v>103</v>
      </c>
      <c r="Z1272" s="4">
        <v>103</v>
      </c>
      <c r="AA1272" s="4">
        <v>52</v>
      </c>
      <c r="AD1272" s="4">
        <v>55</v>
      </c>
      <c r="AE1272" s="4">
        <v>109</v>
      </c>
      <c r="AF1272" s="4">
        <v>86</v>
      </c>
      <c r="AG1272" s="4">
        <v>8</v>
      </c>
      <c r="AL1272" s="4">
        <v>258</v>
      </c>
      <c r="AN1272" s="4">
        <v>258</v>
      </c>
      <c r="AO1272" s="4">
        <v>1028</v>
      </c>
    </row>
    <row r="1273" spans="1:41" hidden="1" x14ac:dyDescent="0.2">
      <c r="A1273" t="s">
        <v>2138</v>
      </c>
      <c r="B1273" t="s">
        <v>2139</v>
      </c>
      <c r="C1273" s="2">
        <v>41941</v>
      </c>
      <c r="D1273" s="2">
        <v>41941</v>
      </c>
      <c r="E1273" s="3">
        <v>804007</v>
      </c>
      <c r="F1273" t="s">
        <v>2140</v>
      </c>
      <c r="G1273" t="s">
        <v>87</v>
      </c>
      <c r="H1273" t="s">
        <v>45</v>
      </c>
      <c r="I1273" s="3">
        <v>10032</v>
      </c>
      <c r="J1273" s="3">
        <v>1021190036</v>
      </c>
      <c r="K1273" s="3">
        <v>1062836</v>
      </c>
      <c r="L1273" t="s">
        <v>114</v>
      </c>
      <c r="M1273" s="4">
        <v>10</v>
      </c>
      <c r="N1273" t="s">
        <v>762</v>
      </c>
      <c r="O1273" t="s">
        <v>134</v>
      </c>
      <c r="P1273" s="4">
        <v>40.835268999999997</v>
      </c>
      <c r="Q1273" s="4">
        <v>-73.940292999999997</v>
      </c>
      <c r="R1273" s="4">
        <v>40.835299999999997</v>
      </c>
      <c r="S1273" s="4">
        <v>-73.940928999999997</v>
      </c>
      <c r="T1273" s="2">
        <v>41941</v>
      </c>
      <c r="U1273" t="s">
        <v>49</v>
      </c>
      <c r="V1273" t="s">
        <v>50</v>
      </c>
      <c r="W1273" t="s">
        <v>51</v>
      </c>
      <c r="X1273" s="4">
        <v>88</v>
      </c>
      <c r="Y1273" s="4">
        <v>15</v>
      </c>
      <c r="Z1273" s="4">
        <v>6</v>
      </c>
      <c r="AC1273" s="4">
        <v>1</v>
      </c>
      <c r="AE1273" s="4">
        <v>23</v>
      </c>
      <c r="AF1273" s="4">
        <v>76</v>
      </c>
      <c r="AG1273" s="4">
        <v>11</v>
      </c>
      <c r="AL1273" s="4">
        <v>110</v>
      </c>
      <c r="AN1273" s="4">
        <v>110</v>
      </c>
      <c r="AO1273" s="4">
        <v>110</v>
      </c>
    </row>
    <row r="1274" spans="1:41" hidden="1" x14ac:dyDescent="0.2">
      <c r="A1274" t="s">
        <v>2141</v>
      </c>
      <c r="B1274" t="s">
        <v>2142</v>
      </c>
      <c r="C1274" s="2">
        <v>41941</v>
      </c>
      <c r="D1274" s="2">
        <v>41941</v>
      </c>
      <c r="E1274" s="3">
        <v>20805</v>
      </c>
      <c r="F1274" t="s">
        <v>52</v>
      </c>
      <c r="G1274" t="s">
        <v>263</v>
      </c>
      <c r="H1274" t="s">
        <v>45</v>
      </c>
      <c r="I1274" s="3">
        <v>10035</v>
      </c>
      <c r="J1274" s="3">
        <v>1017780006</v>
      </c>
      <c r="K1274" s="3">
        <v>1054510</v>
      </c>
      <c r="L1274" t="s">
        <v>153</v>
      </c>
      <c r="M1274" s="4">
        <v>9</v>
      </c>
      <c r="N1274" t="s">
        <v>1018</v>
      </c>
      <c r="O1274" t="s">
        <v>155</v>
      </c>
      <c r="P1274" s="4">
        <v>40.807082000000001</v>
      </c>
      <c r="Q1274" s="4">
        <v>-73.935929000000002</v>
      </c>
      <c r="R1274" s="4">
        <v>40.807471</v>
      </c>
      <c r="S1274" s="4">
        <v>-73.935911000000004</v>
      </c>
      <c r="T1274" s="2">
        <v>41941</v>
      </c>
      <c r="U1274" t="s">
        <v>49</v>
      </c>
      <c r="V1274" t="s">
        <v>50</v>
      </c>
      <c r="W1274" t="s">
        <v>51</v>
      </c>
      <c r="X1274" s="4">
        <v>97</v>
      </c>
      <c r="Y1274" s="4">
        <v>26</v>
      </c>
      <c r="Z1274" s="4">
        <v>7</v>
      </c>
      <c r="AC1274" s="4">
        <v>1</v>
      </c>
      <c r="AE1274" s="4">
        <v>51</v>
      </c>
      <c r="AF1274" s="4">
        <v>61</v>
      </c>
      <c r="AH1274" s="4">
        <v>19</v>
      </c>
      <c r="AL1274" s="4">
        <v>131</v>
      </c>
      <c r="AN1274" s="4">
        <v>131</v>
      </c>
      <c r="AO1274" s="4">
        <v>131</v>
      </c>
    </row>
    <row r="1275" spans="1:41" hidden="1" x14ac:dyDescent="0.2">
      <c r="A1275" t="s">
        <v>2143</v>
      </c>
      <c r="B1275" t="s">
        <v>2144</v>
      </c>
      <c r="C1275" s="2">
        <v>41928</v>
      </c>
      <c r="D1275" s="2">
        <v>44071</v>
      </c>
      <c r="E1275" s="3">
        <v>969123</v>
      </c>
      <c r="F1275" t="s">
        <v>421</v>
      </c>
      <c r="G1275" t="s">
        <v>2137</v>
      </c>
      <c r="H1275" t="s">
        <v>45</v>
      </c>
      <c r="I1275" s="3">
        <v>10019</v>
      </c>
      <c r="J1275" s="3">
        <v>1011057501</v>
      </c>
      <c r="K1275" s="3">
        <v>1089709</v>
      </c>
      <c r="L1275" t="s">
        <v>78</v>
      </c>
      <c r="M1275" s="4">
        <v>6</v>
      </c>
      <c r="N1275" t="s">
        <v>905</v>
      </c>
      <c r="O1275" t="s">
        <v>80</v>
      </c>
      <c r="P1275" s="4">
        <v>40.771289000000003</v>
      </c>
      <c r="Q1275" s="4">
        <v>-73.993700000000004</v>
      </c>
      <c r="R1275" s="4">
        <v>40.771431</v>
      </c>
      <c r="S1275" s="4">
        <v>-73.992966999999993</v>
      </c>
      <c r="T1275" s="2">
        <v>44071</v>
      </c>
      <c r="U1275" t="s">
        <v>117</v>
      </c>
      <c r="V1275" t="s">
        <v>71</v>
      </c>
      <c r="W1275" t="s">
        <v>51</v>
      </c>
      <c r="Y1275" s="4">
        <v>142</v>
      </c>
      <c r="AC1275" s="4">
        <v>1</v>
      </c>
      <c r="AD1275" s="4">
        <v>28</v>
      </c>
      <c r="AE1275" s="4">
        <v>95</v>
      </c>
      <c r="AF1275" s="4">
        <v>15</v>
      </c>
      <c r="AG1275" s="4">
        <v>5</v>
      </c>
      <c r="AL1275" s="4">
        <v>143</v>
      </c>
      <c r="AN1275" s="4">
        <v>143</v>
      </c>
      <c r="AO1275" s="4">
        <v>709</v>
      </c>
    </row>
    <row r="1276" spans="1:41" hidden="1" x14ac:dyDescent="0.2">
      <c r="A1276" t="s">
        <v>2145</v>
      </c>
      <c r="B1276" t="s">
        <v>2146</v>
      </c>
      <c r="C1276" s="2">
        <v>41920</v>
      </c>
      <c r="D1276" s="2">
        <v>43158</v>
      </c>
      <c r="E1276" s="3">
        <v>952295</v>
      </c>
      <c r="F1276" t="s">
        <v>836</v>
      </c>
      <c r="G1276" t="s">
        <v>1583</v>
      </c>
      <c r="H1276" t="s">
        <v>45</v>
      </c>
      <c r="I1276" s="3">
        <v>10001</v>
      </c>
      <c r="J1276" s="3">
        <v>1007790027</v>
      </c>
      <c r="K1276" s="3">
        <v>1090618</v>
      </c>
      <c r="L1276" t="s">
        <v>655</v>
      </c>
      <c r="M1276" s="4">
        <v>3</v>
      </c>
      <c r="N1276" t="s">
        <v>900</v>
      </c>
      <c r="O1276" t="s">
        <v>1127</v>
      </c>
      <c r="P1276" s="4">
        <v>40.748213999999997</v>
      </c>
      <c r="Q1276" s="4">
        <v>-73.993735000000001</v>
      </c>
      <c r="R1276" s="4">
        <v>40.748410999999997</v>
      </c>
      <c r="S1276" s="4">
        <v>-73.993647999999993</v>
      </c>
      <c r="T1276" s="2">
        <v>43158</v>
      </c>
      <c r="U1276" t="s">
        <v>117</v>
      </c>
      <c r="V1276" t="s">
        <v>71</v>
      </c>
      <c r="W1276" t="s">
        <v>51</v>
      </c>
      <c r="Y1276" s="4">
        <v>6</v>
      </c>
      <c r="Z1276" s="4">
        <v>19</v>
      </c>
      <c r="AD1276" s="4">
        <v>5</v>
      </c>
      <c r="AE1276" s="4">
        <v>18</v>
      </c>
      <c r="AF1276" s="4">
        <v>2</v>
      </c>
      <c r="AL1276" s="4">
        <v>25</v>
      </c>
      <c r="AN1276" s="4">
        <v>25</v>
      </c>
      <c r="AO1276" s="4">
        <v>95</v>
      </c>
    </row>
    <row r="1277" spans="1:41" hidden="1" x14ac:dyDescent="0.2">
      <c r="A1277" t="s">
        <v>2147</v>
      </c>
      <c r="B1277" t="s">
        <v>2148</v>
      </c>
      <c r="C1277" s="2">
        <v>41901</v>
      </c>
      <c r="D1277" s="2">
        <v>43080</v>
      </c>
      <c r="E1277" s="3">
        <v>33874</v>
      </c>
      <c r="F1277" t="s">
        <v>1081</v>
      </c>
      <c r="G1277" t="s">
        <v>1426</v>
      </c>
      <c r="H1277" t="s">
        <v>45</v>
      </c>
      <c r="I1277" s="3">
        <v>10019</v>
      </c>
      <c r="J1277" s="3">
        <v>1010410047</v>
      </c>
      <c r="K1277" s="3">
        <v>1025181</v>
      </c>
      <c r="L1277" t="s">
        <v>78</v>
      </c>
      <c r="M1277" s="4">
        <v>3</v>
      </c>
      <c r="N1277" t="s">
        <v>490</v>
      </c>
      <c r="O1277" t="s">
        <v>80</v>
      </c>
      <c r="P1277" s="4">
        <v>40.763407999999998</v>
      </c>
      <c r="Q1277" s="4">
        <v>-73.986846</v>
      </c>
      <c r="R1277" s="4">
        <v>40.76332</v>
      </c>
      <c r="S1277" s="4">
        <v>-73.987184999999997</v>
      </c>
      <c r="T1277" s="2">
        <v>43080</v>
      </c>
      <c r="U1277" t="s">
        <v>49</v>
      </c>
      <c r="V1277" t="s">
        <v>71</v>
      </c>
      <c r="W1277" t="s">
        <v>51</v>
      </c>
      <c r="X1277" s="4">
        <v>39</v>
      </c>
      <c r="Z1277" s="4">
        <v>70</v>
      </c>
      <c r="AD1277" s="4">
        <v>109</v>
      </c>
      <c r="AL1277" s="4">
        <v>109</v>
      </c>
      <c r="AN1277" s="4">
        <v>109</v>
      </c>
      <c r="AO1277" s="4">
        <v>109</v>
      </c>
    </row>
    <row r="1278" spans="1:41" hidden="1" x14ac:dyDescent="0.2">
      <c r="A1278" t="s">
        <v>2149</v>
      </c>
      <c r="B1278" t="s">
        <v>2150</v>
      </c>
      <c r="C1278" s="2">
        <v>41891</v>
      </c>
      <c r="D1278" s="2">
        <v>42543</v>
      </c>
      <c r="E1278" s="3">
        <v>972807</v>
      </c>
      <c r="F1278" t="s">
        <v>2151</v>
      </c>
      <c r="G1278" t="s">
        <v>735</v>
      </c>
      <c r="H1278" t="s">
        <v>45</v>
      </c>
      <c r="I1278" s="3">
        <v>10039</v>
      </c>
      <c r="J1278" s="3">
        <v>1020387501</v>
      </c>
      <c r="K1278" s="3">
        <v>1089911</v>
      </c>
      <c r="L1278" t="s">
        <v>146</v>
      </c>
      <c r="M1278" s="4">
        <v>9</v>
      </c>
      <c r="N1278" t="s">
        <v>690</v>
      </c>
      <c r="O1278" t="s">
        <v>177</v>
      </c>
      <c r="P1278" s="4">
        <v>40.82741</v>
      </c>
      <c r="Q1278" s="4">
        <v>-73.937178000000003</v>
      </c>
      <c r="R1278" s="4">
        <v>40.827385</v>
      </c>
      <c r="S1278" s="4">
        <v>-73.937665999999993</v>
      </c>
      <c r="T1278" s="2">
        <v>42543</v>
      </c>
      <c r="U1278" t="s">
        <v>117</v>
      </c>
      <c r="V1278" t="s">
        <v>71</v>
      </c>
      <c r="W1278" t="s">
        <v>51</v>
      </c>
      <c r="X1278" s="4">
        <v>8</v>
      </c>
      <c r="Y1278" s="4">
        <v>42</v>
      </c>
      <c r="AC1278" s="4">
        <v>1</v>
      </c>
      <c r="AD1278" s="4">
        <v>7</v>
      </c>
      <c r="AE1278" s="4">
        <v>30</v>
      </c>
      <c r="AF1278" s="4">
        <v>14</v>
      </c>
      <c r="AL1278" s="4">
        <v>51</v>
      </c>
      <c r="AN1278" s="4">
        <v>51</v>
      </c>
      <c r="AO1278" s="4">
        <v>51</v>
      </c>
    </row>
    <row r="1279" spans="1:41" hidden="1" x14ac:dyDescent="0.2">
      <c r="A1279" t="s">
        <v>2152</v>
      </c>
      <c r="B1279" t="s">
        <v>2153</v>
      </c>
      <c r="C1279" s="2">
        <v>41859</v>
      </c>
      <c r="D1279" s="2">
        <v>44460</v>
      </c>
      <c r="E1279" s="3">
        <v>10734</v>
      </c>
      <c r="F1279" t="s">
        <v>1081</v>
      </c>
      <c r="G1279" t="s">
        <v>1175</v>
      </c>
      <c r="H1279" t="s">
        <v>45</v>
      </c>
      <c r="I1279" s="3">
        <v>10009</v>
      </c>
      <c r="J1279" s="3">
        <v>1003730018</v>
      </c>
      <c r="K1279" s="3">
        <v>1004386</v>
      </c>
      <c r="L1279" t="s">
        <v>64</v>
      </c>
      <c r="M1279" s="4">
        <v>2</v>
      </c>
      <c r="N1279" t="s">
        <v>196</v>
      </c>
      <c r="O1279" t="s">
        <v>197</v>
      </c>
      <c r="P1279" s="4">
        <v>40.721787999999997</v>
      </c>
      <c r="Q1279" s="4">
        <v>-73.979022000000001</v>
      </c>
      <c r="R1279" s="4">
        <v>40.721612999999998</v>
      </c>
      <c r="S1279" s="4">
        <v>-73.979158999999996</v>
      </c>
      <c r="T1279" s="2">
        <v>44460</v>
      </c>
      <c r="U1279" t="s">
        <v>49</v>
      </c>
      <c r="V1279" t="s">
        <v>71</v>
      </c>
      <c r="W1279" t="s">
        <v>51</v>
      </c>
      <c r="X1279" s="4">
        <v>33</v>
      </c>
      <c r="AD1279" s="4">
        <v>33</v>
      </c>
      <c r="AL1279" s="4">
        <v>33</v>
      </c>
      <c r="AN1279" s="4">
        <v>33</v>
      </c>
      <c r="AO1279" s="4">
        <v>33</v>
      </c>
    </row>
    <row r="1280" spans="1:41" hidden="1" x14ac:dyDescent="0.2">
      <c r="A1280" t="s">
        <v>2154</v>
      </c>
      <c r="B1280" t="s">
        <v>2155</v>
      </c>
      <c r="C1280" s="2">
        <v>41851</v>
      </c>
      <c r="D1280" s="2">
        <v>42654</v>
      </c>
      <c r="E1280" s="3">
        <v>946595</v>
      </c>
      <c r="F1280" t="s">
        <v>989</v>
      </c>
      <c r="G1280" t="s">
        <v>400</v>
      </c>
      <c r="H1280" t="s">
        <v>45</v>
      </c>
      <c r="I1280" s="3">
        <v>10036</v>
      </c>
      <c r="J1280" s="3">
        <v>1010907502</v>
      </c>
      <c r="K1280" s="3">
        <v>1089438</v>
      </c>
      <c r="L1280" t="s">
        <v>78</v>
      </c>
      <c r="M1280" s="4">
        <v>3</v>
      </c>
      <c r="N1280" t="s">
        <v>202</v>
      </c>
      <c r="O1280" t="s">
        <v>80</v>
      </c>
      <c r="P1280" s="4">
        <v>40.760959999999997</v>
      </c>
      <c r="Q1280" s="4">
        <v>-73.998616999999996</v>
      </c>
      <c r="R1280" s="4">
        <v>40.761530999999998</v>
      </c>
      <c r="S1280" s="4">
        <v>-73.998779999999996</v>
      </c>
      <c r="T1280" s="2">
        <v>42654</v>
      </c>
      <c r="U1280" t="s">
        <v>117</v>
      </c>
      <c r="V1280" t="s">
        <v>71</v>
      </c>
      <c r="W1280" t="s">
        <v>51</v>
      </c>
      <c r="Z1280" s="4">
        <v>235</v>
      </c>
      <c r="AD1280" s="4">
        <v>70</v>
      </c>
      <c r="AE1280" s="4">
        <v>120</v>
      </c>
      <c r="AF1280" s="4">
        <v>45</v>
      </c>
      <c r="AL1280" s="4">
        <v>235</v>
      </c>
      <c r="AN1280" s="4">
        <v>235</v>
      </c>
      <c r="AO1280" s="4">
        <v>1175</v>
      </c>
    </row>
    <row r="1281" spans="1:41" hidden="1" x14ac:dyDescent="0.2">
      <c r="A1281" t="s">
        <v>2156</v>
      </c>
      <c r="B1281" t="s">
        <v>2157</v>
      </c>
      <c r="C1281" s="2">
        <v>41829</v>
      </c>
      <c r="D1281" s="2">
        <v>42690</v>
      </c>
      <c r="E1281" s="3">
        <v>951689</v>
      </c>
      <c r="F1281" t="s">
        <v>2061</v>
      </c>
      <c r="G1281" t="s">
        <v>439</v>
      </c>
      <c r="H1281" t="s">
        <v>45</v>
      </c>
      <c r="I1281" s="3">
        <v>10031</v>
      </c>
      <c r="J1281" s="3">
        <v>1020777501</v>
      </c>
      <c r="K1281" s="3">
        <v>1061933</v>
      </c>
      <c r="L1281" t="s">
        <v>169</v>
      </c>
      <c r="M1281" s="4">
        <v>7</v>
      </c>
      <c r="N1281" t="s">
        <v>440</v>
      </c>
      <c r="O1281" t="s">
        <v>232</v>
      </c>
      <c r="P1281" s="4">
        <v>40.825612</v>
      </c>
      <c r="Q1281" s="4">
        <v>-73.948479000000006</v>
      </c>
      <c r="R1281" s="4">
        <v>40.826155999999997</v>
      </c>
      <c r="S1281" s="4">
        <v>-73.948688000000004</v>
      </c>
      <c r="T1281" s="2">
        <v>42690</v>
      </c>
      <c r="U1281" t="s">
        <v>117</v>
      </c>
      <c r="V1281" t="s">
        <v>71</v>
      </c>
      <c r="W1281" t="s">
        <v>51</v>
      </c>
      <c r="Y1281" s="4">
        <v>15</v>
      </c>
      <c r="Z1281" s="4">
        <v>48</v>
      </c>
      <c r="AB1281" s="4">
        <v>15</v>
      </c>
      <c r="AC1281" s="4">
        <v>1</v>
      </c>
      <c r="AD1281" s="4">
        <v>19</v>
      </c>
      <c r="AE1281" s="4">
        <v>48</v>
      </c>
      <c r="AF1281" s="4">
        <v>12</v>
      </c>
      <c r="AL1281" s="4">
        <v>79</v>
      </c>
      <c r="AN1281" s="4">
        <v>79</v>
      </c>
      <c r="AO1281" s="4">
        <v>79</v>
      </c>
    </row>
    <row r="1282" spans="1:41" hidden="1" x14ac:dyDescent="0.2">
      <c r="A1282" t="s">
        <v>2158</v>
      </c>
      <c r="B1282" t="s">
        <v>2159</v>
      </c>
      <c r="C1282" s="2">
        <v>41820</v>
      </c>
      <c r="D1282" s="2">
        <v>42733</v>
      </c>
      <c r="E1282" s="3">
        <v>927150</v>
      </c>
      <c r="F1282" t="s">
        <v>1750</v>
      </c>
      <c r="G1282" t="s">
        <v>243</v>
      </c>
      <c r="H1282" t="s">
        <v>45</v>
      </c>
      <c r="I1282" s="3">
        <v>10027</v>
      </c>
      <c r="J1282" s="3">
        <v>1019110061</v>
      </c>
      <c r="K1282" s="3">
        <v>1090253</v>
      </c>
      <c r="L1282" t="s">
        <v>146</v>
      </c>
      <c r="M1282" s="4">
        <v>9</v>
      </c>
      <c r="N1282" t="s">
        <v>244</v>
      </c>
      <c r="O1282" t="s">
        <v>177</v>
      </c>
      <c r="P1282" s="4">
        <v>40.810139999999997</v>
      </c>
      <c r="Q1282" s="4">
        <v>-73.947461000000004</v>
      </c>
      <c r="R1282" s="4">
        <v>40.809911999999997</v>
      </c>
      <c r="S1282" s="4">
        <v>-73.947125</v>
      </c>
      <c r="T1282" s="2">
        <v>42733</v>
      </c>
      <c r="U1282" t="s">
        <v>117</v>
      </c>
      <c r="V1282" t="s">
        <v>71</v>
      </c>
      <c r="W1282" t="s">
        <v>51</v>
      </c>
      <c r="X1282" s="4">
        <v>12</v>
      </c>
      <c r="Z1282" s="4">
        <v>47</v>
      </c>
      <c r="AC1282" s="4">
        <v>1</v>
      </c>
      <c r="AD1282" s="4">
        <v>12</v>
      </c>
      <c r="AE1282" s="4">
        <v>12</v>
      </c>
      <c r="AF1282" s="4">
        <v>36</v>
      </c>
      <c r="AL1282" s="4">
        <v>60</v>
      </c>
      <c r="AN1282" s="4">
        <v>60</v>
      </c>
      <c r="AO1282" s="4">
        <v>60</v>
      </c>
    </row>
    <row r="1283" spans="1:41" hidden="1" x14ac:dyDescent="0.2">
      <c r="A1283" t="s">
        <v>2160</v>
      </c>
      <c r="B1283" t="s">
        <v>2161</v>
      </c>
      <c r="C1283" s="2">
        <v>41820</v>
      </c>
      <c r="D1283" s="2">
        <v>42425</v>
      </c>
      <c r="E1283" s="3">
        <v>951656</v>
      </c>
      <c r="F1283" t="s">
        <v>1240</v>
      </c>
      <c r="G1283" t="s">
        <v>2162</v>
      </c>
      <c r="H1283" t="s">
        <v>45</v>
      </c>
      <c r="I1283" s="3">
        <v>10069</v>
      </c>
      <c r="J1283" s="3">
        <v>1011717509</v>
      </c>
      <c r="K1283" s="3">
        <v>1089742</v>
      </c>
      <c r="L1283" t="s">
        <v>46</v>
      </c>
      <c r="M1283" s="4">
        <v>6</v>
      </c>
      <c r="N1283" t="s">
        <v>1790</v>
      </c>
      <c r="O1283" t="s">
        <v>770</v>
      </c>
      <c r="P1283" s="4">
        <v>40.774203</v>
      </c>
      <c r="Q1283" s="4">
        <v>-73.991765000000001</v>
      </c>
      <c r="R1283" s="4">
        <v>40.773992</v>
      </c>
      <c r="S1283" s="4">
        <v>-73.991283999999993</v>
      </c>
      <c r="T1283" s="2">
        <v>42425</v>
      </c>
      <c r="U1283" t="s">
        <v>117</v>
      </c>
      <c r="V1283" t="s">
        <v>71</v>
      </c>
      <c r="W1283" t="s">
        <v>51</v>
      </c>
      <c r="Z1283" s="4">
        <v>55</v>
      </c>
      <c r="AD1283" s="4">
        <v>10</v>
      </c>
      <c r="AE1283" s="4">
        <v>15</v>
      </c>
      <c r="AF1283" s="4">
        <v>30</v>
      </c>
      <c r="AL1283" s="4">
        <v>55</v>
      </c>
      <c r="AN1283" s="4">
        <v>55</v>
      </c>
      <c r="AO1283" s="4">
        <v>274</v>
      </c>
    </row>
    <row r="1284" spans="1:41" hidden="1" x14ac:dyDescent="0.2">
      <c r="A1284" t="s">
        <v>2163</v>
      </c>
      <c r="B1284" t="s">
        <v>2164</v>
      </c>
      <c r="C1284" s="2">
        <v>41820</v>
      </c>
      <c r="D1284" s="2">
        <v>43146</v>
      </c>
      <c r="E1284" s="3">
        <v>822634</v>
      </c>
      <c r="F1284" t="s">
        <v>2165</v>
      </c>
      <c r="G1284" t="s">
        <v>191</v>
      </c>
      <c r="H1284" t="s">
        <v>45</v>
      </c>
      <c r="I1284" s="3">
        <v>10035</v>
      </c>
      <c r="J1284" s="3">
        <v>1017480001</v>
      </c>
      <c r="K1284" s="3">
        <v>1084826</v>
      </c>
      <c r="L1284" t="s">
        <v>153</v>
      </c>
      <c r="M1284" s="4">
        <v>9</v>
      </c>
      <c r="N1284" t="s">
        <v>833</v>
      </c>
      <c r="O1284" t="s">
        <v>155</v>
      </c>
      <c r="P1284" s="4">
        <v>40.803846</v>
      </c>
      <c r="Q1284" s="4">
        <v>-73.942080000000004</v>
      </c>
      <c r="R1284" s="4">
        <v>40.803804</v>
      </c>
      <c r="S1284" s="4">
        <v>-73.941091</v>
      </c>
      <c r="T1284" s="2">
        <v>43146</v>
      </c>
      <c r="U1284" t="s">
        <v>49</v>
      </c>
      <c r="V1284" t="s">
        <v>71</v>
      </c>
      <c r="W1284" t="s">
        <v>51</v>
      </c>
      <c r="Z1284" s="4">
        <v>135</v>
      </c>
      <c r="AF1284" s="4">
        <v>135</v>
      </c>
      <c r="AM1284" s="4">
        <v>135</v>
      </c>
      <c r="AN1284" s="4">
        <v>135</v>
      </c>
      <c r="AO1284" s="4">
        <v>135</v>
      </c>
    </row>
    <row r="1285" spans="1:41" hidden="1" x14ac:dyDescent="0.2">
      <c r="A1285" t="s">
        <v>2166</v>
      </c>
      <c r="B1285" t="s">
        <v>2167</v>
      </c>
      <c r="C1285" s="2">
        <v>41820</v>
      </c>
      <c r="D1285" s="2">
        <v>42159</v>
      </c>
      <c r="E1285" s="3">
        <v>20889</v>
      </c>
      <c r="F1285" t="s">
        <v>278</v>
      </c>
      <c r="G1285" t="s">
        <v>2168</v>
      </c>
      <c r="H1285" t="s">
        <v>45</v>
      </c>
      <c r="I1285" s="3">
        <v>10037</v>
      </c>
      <c r="J1285" s="3">
        <v>1017560113</v>
      </c>
      <c r="K1285" s="3">
        <v>1054343</v>
      </c>
      <c r="L1285" t="s">
        <v>153</v>
      </c>
      <c r="M1285" s="4">
        <v>9</v>
      </c>
      <c r="N1285" t="s">
        <v>192</v>
      </c>
      <c r="O1285" t="s">
        <v>155</v>
      </c>
      <c r="P1285" s="4">
        <v>40.809775999999999</v>
      </c>
      <c r="Q1285" s="4">
        <v>-73.938447999999994</v>
      </c>
      <c r="R1285" s="4">
        <v>40.809882000000002</v>
      </c>
      <c r="S1285" s="4">
        <v>-73.938141000000002</v>
      </c>
      <c r="T1285" s="2">
        <v>42159</v>
      </c>
      <c r="U1285" t="s">
        <v>49</v>
      </c>
      <c r="V1285" t="s">
        <v>71</v>
      </c>
      <c r="W1285" t="s">
        <v>51</v>
      </c>
      <c r="Y1285" s="4">
        <v>10</v>
      </c>
      <c r="AF1285" s="4">
        <v>10</v>
      </c>
      <c r="AL1285" s="4">
        <v>10</v>
      </c>
      <c r="AN1285" s="4">
        <v>10</v>
      </c>
      <c r="AO1285" s="4">
        <v>10</v>
      </c>
    </row>
    <row r="1286" spans="1:41" hidden="1" x14ac:dyDescent="0.2">
      <c r="A1286" t="s">
        <v>2169</v>
      </c>
      <c r="B1286" t="s">
        <v>2170</v>
      </c>
      <c r="C1286" s="2">
        <v>41820</v>
      </c>
      <c r="D1286" s="2">
        <v>41820</v>
      </c>
      <c r="E1286" s="3">
        <v>26019</v>
      </c>
      <c r="F1286" t="s">
        <v>996</v>
      </c>
      <c r="G1286" t="s">
        <v>1025</v>
      </c>
      <c r="H1286" t="s">
        <v>45</v>
      </c>
      <c r="I1286" s="3">
        <v>10002</v>
      </c>
      <c r="J1286" s="3">
        <v>1003460001</v>
      </c>
      <c r="K1286" s="3">
        <v>1004154</v>
      </c>
      <c r="L1286" t="s">
        <v>64</v>
      </c>
      <c r="M1286" s="4">
        <v>1</v>
      </c>
      <c r="N1286" t="s">
        <v>122</v>
      </c>
      <c r="O1286" t="s">
        <v>66</v>
      </c>
      <c r="P1286" s="4">
        <v>40.717025</v>
      </c>
      <c r="Q1286" s="4">
        <v>-73.988062999999997</v>
      </c>
      <c r="R1286" s="4">
        <v>40.716712000000001</v>
      </c>
      <c r="S1286" s="4">
        <v>-73.987915000000001</v>
      </c>
      <c r="T1286" s="2">
        <v>41820</v>
      </c>
      <c r="U1286" t="s">
        <v>49</v>
      </c>
      <c r="V1286" t="s">
        <v>50</v>
      </c>
      <c r="W1286" t="s">
        <v>51</v>
      </c>
      <c r="Y1286" s="4">
        <v>155</v>
      </c>
      <c r="AE1286" s="4">
        <v>143</v>
      </c>
      <c r="AF1286" s="4">
        <v>12</v>
      </c>
      <c r="AL1286" s="4">
        <v>155</v>
      </c>
      <c r="AN1286" s="4">
        <v>155</v>
      </c>
      <c r="AO1286" s="4">
        <v>155</v>
      </c>
    </row>
    <row r="1287" spans="1:41" hidden="1" x14ac:dyDescent="0.2">
      <c r="A1287" t="s">
        <v>2171</v>
      </c>
      <c r="B1287" t="s">
        <v>2172</v>
      </c>
      <c r="C1287" s="2">
        <v>41817</v>
      </c>
      <c r="D1287" s="2">
        <v>41817</v>
      </c>
      <c r="E1287" s="3">
        <v>9439</v>
      </c>
      <c r="F1287" t="s">
        <v>1369</v>
      </c>
      <c r="G1287" t="s">
        <v>1981</v>
      </c>
      <c r="H1287" t="s">
        <v>45</v>
      </c>
      <c r="I1287" s="3">
        <v>10002</v>
      </c>
      <c r="J1287" s="3">
        <v>1002470001</v>
      </c>
      <c r="K1287" s="3">
        <v>1077589</v>
      </c>
      <c r="L1287" t="s">
        <v>64</v>
      </c>
      <c r="M1287" s="4">
        <v>1</v>
      </c>
      <c r="N1287" t="s">
        <v>484</v>
      </c>
      <c r="O1287" t="s">
        <v>485</v>
      </c>
      <c r="P1287" s="4">
        <v>40.711302000000003</v>
      </c>
      <c r="Q1287" s="4">
        <v>-73.989048999999994</v>
      </c>
      <c r="R1287" s="4">
        <v>40.710864999999998</v>
      </c>
      <c r="S1287" s="4">
        <v>-73.989041999999998</v>
      </c>
      <c r="T1287" s="2">
        <v>41817</v>
      </c>
      <c r="U1287" t="s">
        <v>49</v>
      </c>
      <c r="V1287" t="s">
        <v>50</v>
      </c>
      <c r="W1287" t="s">
        <v>51</v>
      </c>
      <c r="X1287" s="4">
        <v>189</v>
      </c>
      <c r="Y1287" s="4">
        <v>32</v>
      </c>
      <c r="Z1287" s="4">
        <v>21</v>
      </c>
      <c r="AA1287" s="4">
        <v>2</v>
      </c>
      <c r="AB1287" s="4">
        <v>1</v>
      </c>
      <c r="AD1287" s="4">
        <v>65</v>
      </c>
      <c r="AE1287" s="4">
        <v>125</v>
      </c>
      <c r="AF1287" s="4">
        <v>55</v>
      </c>
      <c r="AL1287" s="4">
        <v>245</v>
      </c>
      <c r="AN1287" s="4">
        <v>245</v>
      </c>
      <c r="AO1287" s="4">
        <v>245</v>
      </c>
    </row>
    <row r="1288" spans="1:41" hidden="1" x14ac:dyDescent="0.2">
      <c r="A1288" t="s">
        <v>2171</v>
      </c>
      <c r="B1288" t="s">
        <v>2172</v>
      </c>
      <c r="C1288" s="2">
        <v>41817</v>
      </c>
      <c r="D1288" s="2">
        <v>41817</v>
      </c>
      <c r="E1288" s="3">
        <v>804183</v>
      </c>
      <c r="F1288" t="s">
        <v>2103</v>
      </c>
      <c r="G1288" t="s">
        <v>1981</v>
      </c>
      <c r="H1288" t="s">
        <v>45</v>
      </c>
      <c r="I1288" s="3">
        <v>10002</v>
      </c>
      <c r="J1288" s="3">
        <v>1002470001</v>
      </c>
      <c r="K1288" s="3">
        <v>1077590</v>
      </c>
      <c r="L1288" t="s">
        <v>64</v>
      </c>
      <c r="M1288" s="4">
        <v>1</v>
      </c>
      <c r="N1288" t="s">
        <v>484</v>
      </c>
      <c r="O1288" t="s">
        <v>485</v>
      </c>
      <c r="P1288" s="4">
        <v>40.711351000000001</v>
      </c>
      <c r="Q1288" s="4">
        <v>-73.988557999999998</v>
      </c>
      <c r="R1288" s="4">
        <v>40.710864999999998</v>
      </c>
      <c r="S1288" s="4">
        <v>-73.989041999999998</v>
      </c>
      <c r="T1288" s="2">
        <v>41817</v>
      </c>
      <c r="U1288" t="s">
        <v>49</v>
      </c>
      <c r="V1288" t="s">
        <v>50</v>
      </c>
      <c r="W1288" t="s">
        <v>51</v>
      </c>
      <c r="X1288" s="4">
        <v>184</v>
      </c>
      <c r="Y1288" s="4">
        <v>29</v>
      </c>
      <c r="Z1288" s="4">
        <v>20</v>
      </c>
      <c r="AA1288" s="4">
        <v>9</v>
      </c>
      <c r="AB1288" s="4">
        <v>3</v>
      </c>
      <c r="AD1288" s="4">
        <v>65</v>
      </c>
      <c r="AE1288" s="4">
        <v>125</v>
      </c>
      <c r="AF1288" s="4">
        <v>55</v>
      </c>
      <c r="AL1288" s="4">
        <v>241</v>
      </c>
      <c r="AM1288" s="4">
        <v>4</v>
      </c>
      <c r="AN1288" s="4">
        <v>245</v>
      </c>
      <c r="AO1288" s="4">
        <v>245</v>
      </c>
    </row>
    <row r="1289" spans="1:41" hidden="1" x14ac:dyDescent="0.2">
      <c r="A1289" t="s">
        <v>2173</v>
      </c>
      <c r="B1289" t="s">
        <v>2174</v>
      </c>
      <c r="C1289" s="2">
        <v>41817</v>
      </c>
      <c r="D1289" s="2">
        <v>42430</v>
      </c>
      <c r="E1289" s="3">
        <v>5624</v>
      </c>
      <c r="F1289" t="s">
        <v>2175</v>
      </c>
      <c r="G1289" t="s">
        <v>87</v>
      </c>
      <c r="H1289" t="s">
        <v>45</v>
      </c>
      <c r="I1289" s="3">
        <v>10031</v>
      </c>
      <c r="J1289" s="3">
        <v>1020760030</v>
      </c>
      <c r="K1289" s="3">
        <v>1061912</v>
      </c>
      <c r="L1289" t="s">
        <v>169</v>
      </c>
      <c r="M1289" s="4">
        <v>7</v>
      </c>
      <c r="N1289" t="s">
        <v>440</v>
      </c>
      <c r="O1289" t="s">
        <v>232</v>
      </c>
      <c r="P1289" s="4">
        <v>40.824719999999999</v>
      </c>
      <c r="Q1289" s="4">
        <v>-73.947995000000006</v>
      </c>
      <c r="R1289" s="4">
        <v>40.824843000000001</v>
      </c>
      <c r="S1289" s="4">
        <v>-73.948269999999994</v>
      </c>
      <c r="T1289" s="2">
        <v>42208</v>
      </c>
      <c r="U1289" t="s">
        <v>49</v>
      </c>
      <c r="V1289" t="s">
        <v>71</v>
      </c>
      <c r="W1289" t="s">
        <v>51</v>
      </c>
      <c r="Z1289" s="4">
        <v>7</v>
      </c>
      <c r="AE1289" s="4">
        <v>3</v>
      </c>
      <c r="AF1289" s="4">
        <v>4</v>
      </c>
      <c r="AL1289" s="4">
        <v>7</v>
      </c>
      <c r="AN1289" s="4">
        <v>7</v>
      </c>
      <c r="AO1289" s="4">
        <v>7</v>
      </c>
    </row>
    <row r="1290" spans="1:41" hidden="1" x14ac:dyDescent="0.2">
      <c r="A1290" t="s">
        <v>2173</v>
      </c>
      <c r="B1290" t="s">
        <v>2174</v>
      </c>
      <c r="C1290" s="2">
        <v>41817</v>
      </c>
      <c r="D1290" s="2">
        <v>42430</v>
      </c>
      <c r="E1290" s="3">
        <v>5656</v>
      </c>
      <c r="F1290" t="s">
        <v>2176</v>
      </c>
      <c r="G1290" t="s">
        <v>87</v>
      </c>
      <c r="H1290" t="s">
        <v>45</v>
      </c>
      <c r="I1290" s="3">
        <v>10031</v>
      </c>
      <c r="J1290" s="3">
        <v>1020800028</v>
      </c>
      <c r="K1290" s="3">
        <v>1062032</v>
      </c>
      <c r="L1290" t="s">
        <v>169</v>
      </c>
      <c r="M1290" s="4">
        <v>7</v>
      </c>
      <c r="N1290" t="s">
        <v>1062</v>
      </c>
      <c r="O1290" t="s">
        <v>232</v>
      </c>
      <c r="P1290" s="4">
        <v>40.827249999999999</v>
      </c>
      <c r="Q1290" s="4">
        <v>-73.946143000000006</v>
      </c>
      <c r="R1290" s="4">
        <v>40.827387000000002</v>
      </c>
      <c r="S1290" s="4">
        <v>-73.946432000000001</v>
      </c>
      <c r="T1290" s="2">
        <v>42208</v>
      </c>
      <c r="U1290" t="s">
        <v>49</v>
      </c>
      <c r="V1290" t="s">
        <v>71</v>
      </c>
      <c r="W1290" t="s">
        <v>51</v>
      </c>
      <c r="Z1290" s="4">
        <v>12</v>
      </c>
      <c r="AC1290" s="4">
        <v>1</v>
      </c>
      <c r="AE1290" s="4">
        <v>3</v>
      </c>
      <c r="AF1290" s="4">
        <v>5</v>
      </c>
      <c r="AG1290" s="4">
        <v>5</v>
      </c>
      <c r="AL1290" s="4">
        <v>13</v>
      </c>
      <c r="AN1290" s="4">
        <v>13</v>
      </c>
      <c r="AO1290" s="4">
        <v>13</v>
      </c>
    </row>
    <row r="1291" spans="1:41" hidden="1" x14ac:dyDescent="0.2">
      <c r="A1291" t="s">
        <v>2173</v>
      </c>
      <c r="B1291" t="s">
        <v>2174</v>
      </c>
      <c r="C1291" s="2">
        <v>41817</v>
      </c>
      <c r="D1291" s="2">
        <v>42430</v>
      </c>
      <c r="E1291" s="3">
        <v>5659</v>
      </c>
      <c r="F1291" t="s">
        <v>2177</v>
      </c>
      <c r="G1291" t="s">
        <v>87</v>
      </c>
      <c r="H1291" t="s">
        <v>45</v>
      </c>
      <c r="I1291" s="3">
        <v>10031</v>
      </c>
      <c r="J1291" s="3">
        <v>1020800030</v>
      </c>
      <c r="K1291" s="3">
        <v>1062033</v>
      </c>
      <c r="L1291" t="s">
        <v>169</v>
      </c>
      <c r="M1291" s="4">
        <v>7</v>
      </c>
      <c r="N1291" t="s">
        <v>1062</v>
      </c>
      <c r="O1291" t="s">
        <v>232</v>
      </c>
      <c r="P1291" s="4">
        <v>40.827359000000001</v>
      </c>
      <c r="Q1291" s="4">
        <v>-73.946062999999995</v>
      </c>
      <c r="R1291" s="4">
        <v>40.827463999999999</v>
      </c>
      <c r="S1291" s="4">
        <v>-73.946377999999996</v>
      </c>
      <c r="T1291" s="2">
        <v>42354</v>
      </c>
      <c r="U1291" t="s">
        <v>49</v>
      </c>
      <c r="V1291" t="s">
        <v>71</v>
      </c>
      <c r="W1291" t="s">
        <v>51</v>
      </c>
      <c r="Z1291" s="4">
        <v>9</v>
      </c>
      <c r="AE1291" s="4">
        <v>1</v>
      </c>
      <c r="AF1291" s="4">
        <v>8</v>
      </c>
      <c r="AL1291" s="4">
        <v>9</v>
      </c>
      <c r="AN1291" s="4">
        <v>9</v>
      </c>
      <c r="AO1291" s="4">
        <v>9</v>
      </c>
    </row>
    <row r="1292" spans="1:41" hidden="1" x14ac:dyDescent="0.2">
      <c r="A1292" t="s">
        <v>2173</v>
      </c>
      <c r="B1292" t="s">
        <v>2174</v>
      </c>
      <c r="C1292" s="2">
        <v>41817</v>
      </c>
      <c r="D1292" s="2">
        <v>42430</v>
      </c>
      <c r="E1292" s="3">
        <v>5661</v>
      </c>
      <c r="F1292" t="s">
        <v>2178</v>
      </c>
      <c r="G1292" t="s">
        <v>87</v>
      </c>
      <c r="H1292" t="s">
        <v>45</v>
      </c>
      <c r="I1292" s="3">
        <v>10031</v>
      </c>
      <c r="J1292" s="3">
        <v>1020800031</v>
      </c>
      <c r="K1292" s="3">
        <v>1062034</v>
      </c>
      <c r="L1292" t="s">
        <v>169</v>
      </c>
      <c r="M1292" s="4">
        <v>7</v>
      </c>
      <c r="N1292" t="s">
        <v>1062</v>
      </c>
      <c r="O1292" t="s">
        <v>232</v>
      </c>
      <c r="P1292" s="4">
        <v>40.827413999999997</v>
      </c>
      <c r="Q1292" s="4">
        <v>-73.946023999999994</v>
      </c>
      <c r="R1292" s="4">
        <v>40.827527000000003</v>
      </c>
      <c r="S1292" s="4">
        <v>-73.946331000000001</v>
      </c>
      <c r="T1292" s="2">
        <v>42229</v>
      </c>
      <c r="U1292" t="s">
        <v>49</v>
      </c>
      <c r="V1292" t="s">
        <v>71</v>
      </c>
      <c r="W1292" t="s">
        <v>51</v>
      </c>
      <c r="Z1292" s="4">
        <v>9</v>
      </c>
      <c r="AE1292" s="4">
        <v>1</v>
      </c>
      <c r="AF1292" s="4">
        <v>8</v>
      </c>
      <c r="AL1292" s="4">
        <v>9</v>
      </c>
      <c r="AN1292" s="4">
        <v>9</v>
      </c>
      <c r="AO1292" s="4">
        <v>9</v>
      </c>
    </row>
    <row r="1293" spans="1:41" hidden="1" x14ac:dyDescent="0.2">
      <c r="A1293" t="s">
        <v>2173</v>
      </c>
      <c r="B1293" t="s">
        <v>2174</v>
      </c>
      <c r="C1293" s="2">
        <v>41817</v>
      </c>
      <c r="D1293" s="2">
        <v>42430</v>
      </c>
      <c r="E1293" s="3">
        <v>21191</v>
      </c>
      <c r="F1293" t="s">
        <v>427</v>
      </c>
      <c r="G1293" t="s">
        <v>1094</v>
      </c>
      <c r="H1293" t="s">
        <v>45</v>
      </c>
      <c r="I1293" s="3">
        <v>10030</v>
      </c>
      <c r="J1293" s="3">
        <v>1020480033</v>
      </c>
      <c r="K1293" s="3">
        <v>1060909</v>
      </c>
      <c r="L1293" t="s">
        <v>146</v>
      </c>
      <c r="M1293" s="4">
        <v>9</v>
      </c>
      <c r="N1293" t="s">
        <v>888</v>
      </c>
      <c r="O1293" t="s">
        <v>177</v>
      </c>
      <c r="P1293" s="4">
        <v>40.820352</v>
      </c>
      <c r="Q1293" s="4">
        <v>-73.945555999999996</v>
      </c>
      <c r="R1293" s="4">
        <v>40.820461999999999</v>
      </c>
      <c r="S1293" s="4">
        <v>-73.945791</v>
      </c>
      <c r="T1293" s="2">
        <v>42199</v>
      </c>
      <c r="U1293" t="s">
        <v>49</v>
      </c>
      <c r="V1293" t="s">
        <v>71</v>
      </c>
      <c r="W1293" t="s">
        <v>51</v>
      </c>
      <c r="Z1293" s="4">
        <v>8</v>
      </c>
      <c r="AC1293" s="4">
        <v>1</v>
      </c>
      <c r="AD1293" s="4">
        <v>1</v>
      </c>
      <c r="AE1293" s="4">
        <v>3</v>
      </c>
      <c r="AF1293" s="4">
        <v>5</v>
      </c>
      <c r="AL1293" s="4">
        <v>9</v>
      </c>
      <c r="AN1293" s="4">
        <v>9</v>
      </c>
      <c r="AO1293" s="4">
        <v>9</v>
      </c>
    </row>
    <row r="1294" spans="1:41" hidden="1" x14ac:dyDescent="0.2">
      <c r="A1294" t="s">
        <v>2173</v>
      </c>
      <c r="B1294" t="s">
        <v>2174</v>
      </c>
      <c r="C1294" s="2">
        <v>41817</v>
      </c>
      <c r="D1294" s="2">
        <v>42430</v>
      </c>
      <c r="E1294" s="3">
        <v>21218</v>
      </c>
      <c r="F1294" t="s">
        <v>470</v>
      </c>
      <c r="G1294" t="s">
        <v>1094</v>
      </c>
      <c r="H1294" t="s">
        <v>45</v>
      </c>
      <c r="I1294" s="3">
        <v>10030</v>
      </c>
      <c r="J1294" s="3">
        <v>1020510085</v>
      </c>
      <c r="K1294" s="3">
        <v>1061078</v>
      </c>
      <c r="L1294" t="s">
        <v>169</v>
      </c>
      <c r="M1294" s="4">
        <v>9</v>
      </c>
      <c r="N1294" t="s">
        <v>420</v>
      </c>
      <c r="O1294" t="s">
        <v>232</v>
      </c>
      <c r="P1294" s="4">
        <v>40.821998000000001</v>
      </c>
      <c r="Q1294" s="4">
        <v>-73.944641000000004</v>
      </c>
      <c r="R1294" s="4">
        <v>40.822133000000001</v>
      </c>
      <c r="S1294" s="4">
        <v>-73.944907999999998</v>
      </c>
      <c r="T1294" s="2">
        <v>42355</v>
      </c>
      <c r="U1294" t="s">
        <v>49</v>
      </c>
      <c r="V1294" t="s">
        <v>71</v>
      </c>
      <c r="W1294" t="s">
        <v>51</v>
      </c>
      <c r="Z1294" s="4">
        <v>15</v>
      </c>
      <c r="AD1294" s="4">
        <v>1</v>
      </c>
      <c r="AE1294" s="4">
        <v>9</v>
      </c>
      <c r="AF1294" s="4">
        <v>1</v>
      </c>
      <c r="AG1294" s="4">
        <v>4</v>
      </c>
      <c r="AL1294" s="4">
        <v>15</v>
      </c>
      <c r="AN1294" s="4">
        <v>15</v>
      </c>
      <c r="AO1294" s="4">
        <v>15</v>
      </c>
    </row>
    <row r="1295" spans="1:41" hidden="1" x14ac:dyDescent="0.2">
      <c r="A1295" t="s">
        <v>2173</v>
      </c>
      <c r="B1295" t="s">
        <v>2174</v>
      </c>
      <c r="C1295" s="2">
        <v>41817</v>
      </c>
      <c r="D1295" s="2">
        <v>42430</v>
      </c>
      <c r="E1295" s="3">
        <v>21219</v>
      </c>
      <c r="F1295" t="s">
        <v>93</v>
      </c>
      <c r="G1295" t="s">
        <v>1094</v>
      </c>
      <c r="H1295" t="s">
        <v>45</v>
      </c>
      <c r="I1295" s="3">
        <v>10030</v>
      </c>
      <c r="J1295" s="3">
        <v>1020510083</v>
      </c>
      <c r="K1295" s="3">
        <v>1061077</v>
      </c>
      <c r="L1295" t="s">
        <v>169</v>
      </c>
      <c r="M1295" s="4">
        <v>9</v>
      </c>
      <c r="N1295" t="s">
        <v>420</v>
      </c>
      <c r="O1295" t="s">
        <v>232</v>
      </c>
      <c r="P1295" s="4">
        <v>40.822059000000003</v>
      </c>
      <c r="Q1295" s="4">
        <v>-73.944612000000006</v>
      </c>
      <c r="R1295" s="4">
        <v>40.822237000000001</v>
      </c>
      <c r="S1295" s="4">
        <v>-73.944861000000003</v>
      </c>
      <c r="T1295" s="2">
        <v>42430</v>
      </c>
      <c r="U1295" t="s">
        <v>49</v>
      </c>
      <c r="V1295" t="s">
        <v>71</v>
      </c>
      <c r="W1295" t="s">
        <v>51</v>
      </c>
      <c r="Z1295" s="4">
        <v>19</v>
      </c>
      <c r="AC1295" s="4">
        <v>1</v>
      </c>
      <c r="AE1295" s="4">
        <v>12</v>
      </c>
      <c r="AF1295" s="4">
        <v>8</v>
      </c>
      <c r="AL1295" s="4">
        <v>20</v>
      </c>
      <c r="AN1295" s="4">
        <v>20</v>
      </c>
      <c r="AO1295" s="4">
        <v>20</v>
      </c>
    </row>
    <row r="1296" spans="1:41" hidden="1" x14ac:dyDescent="0.2">
      <c r="A1296" t="s">
        <v>2173</v>
      </c>
      <c r="B1296" t="s">
        <v>2174</v>
      </c>
      <c r="C1296" s="2">
        <v>41817</v>
      </c>
      <c r="D1296" s="2">
        <v>42430</v>
      </c>
      <c r="E1296" s="3">
        <v>21220</v>
      </c>
      <c r="F1296" t="s">
        <v>95</v>
      </c>
      <c r="G1296" t="s">
        <v>1094</v>
      </c>
      <c r="H1296" t="s">
        <v>45</v>
      </c>
      <c r="I1296" s="3">
        <v>10030</v>
      </c>
      <c r="J1296" s="3">
        <v>1020510081</v>
      </c>
      <c r="K1296" s="3">
        <v>1061076</v>
      </c>
      <c r="L1296" t="s">
        <v>169</v>
      </c>
      <c r="M1296" s="4">
        <v>9</v>
      </c>
      <c r="N1296" t="s">
        <v>420</v>
      </c>
      <c r="O1296" t="s">
        <v>232</v>
      </c>
      <c r="P1296" s="4">
        <v>40.822119000000001</v>
      </c>
      <c r="Q1296" s="4">
        <v>-73.944586000000001</v>
      </c>
      <c r="R1296" s="4">
        <v>40.822338999999999</v>
      </c>
      <c r="S1296" s="4">
        <v>-73.944813999999994</v>
      </c>
      <c r="T1296" s="2">
        <v>42423</v>
      </c>
      <c r="U1296" t="s">
        <v>49</v>
      </c>
      <c r="V1296" t="s">
        <v>71</v>
      </c>
      <c r="W1296" t="s">
        <v>51</v>
      </c>
      <c r="Z1296" s="4">
        <v>20</v>
      </c>
      <c r="AE1296" s="4">
        <v>12</v>
      </c>
      <c r="AF1296" s="4">
        <v>8</v>
      </c>
      <c r="AL1296" s="4">
        <v>20</v>
      </c>
      <c r="AN1296" s="4">
        <v>20</v>
      </c>
      <c r="AO1296" s="4">
        <v>20</v>
      </c>
    </row>
    <row r="1297" spans="1:41" hidden="1" x14ac:dyDescent="0.2">
      <c r="A1297" t="s">
        <v>2173</v>
      </c>
      <c r="B1297" t="s">
        <v>2174</v>
      </c>
      <c r="C1297" s="2">
        <v>41817</v>
      </c>
      <c r="D1297" s="2">
        <v>42430</v>
      </c>
      <c r="E1297" s="3">
        <v>21221</v>
      </c>
      <c r="F1297" t="s">
        <v>151</v>
      </c>
      <c r="G1297" t="s">
        <v>1094</v>
      </c>
      <c r="H1297" t="s">
        <v>45</v>
      </c>
      <c r="I1297" s="3">
        <v>10030</v>
      </c>
      <c r="J1297" s="3">
        <v>1020510098</v>
      </c>
      <c r="K1297" s="3">
        <v>1061083</v>
      </c>
      <c r="L1297" t="s">
        <v>169</v>
      </c>
      <c r="M1297" s="4">
        <v>9</v>
      </c>
      <c r="N1297" t="s">
        <v>420</v>
      </c>
      <c r="O1297" t="s">
        <v>232</v>
      </c>
      <c r="P1297" s="4">
        <v>40.822217999999999</v>
      </c>
      <c r="Q1297" s="4">
        <v>-73.944513999999998</v>
      </c>
      <c r="R1297" s="4">
        <v>40.821938000000003</v>
      </c>
      <c r="S1297" s="4">
        <v>-73.944434999999999</v>
      </c>
      <c r="T1297" s="2">
        <v>42215</v>
      </c>
      <c r="U1297" t="s">
        <v>49</v>
      </c>
      <c r="V1297" t="s">
        <v>71</v>
      </c>
      <c r="W1297" t="s">
        <v>51</v>
      </c>
      <c r="Z1297" s="4">
        <v>42</v>
      </c>
      <c r="AE1297" s="4">
        <v>7</v>
      </c>
      <c r="AF1297" s="4">
        <v>19</v>
      </c>
      <c r="AG1297" s="4">
        <v>16</v>
      </c>
      <c r="AL1297" s="4">
        <v>42</v>
      </c>
      <c r="AN1297" s="4">
        <v>42</v>
      </c>
      <c r="AO1297" s="4">
        <v>42</v>
      </c>
    </row>
    <row r="1298" spans="1:41" hidden="1" x14ac:dyDescent="0.2">
      <c r="A1298" t="s">
        <v>2173</v>
      </c>
      <c r="B1298" t="s">
        <v>2174</v>
      </c>
      <c r="C1298" s="2">
        <v>41817</v>
      </c>
      <c r="D1298" s="2">
        <v>42430</v>
      </c>
      <c r="E1298" s="3">
        <v>21246</v>
      </c>
      <c r="F1298" t="s">
        <v>547</v>
      </c>
      <c r="G1298" t="s">
        <v>1094</v>
      </c>
      <c r="H1298" t="s">
        <v>45</v>
      </c>
      <c r="I1298" s="3">
        <v>10030</v>
      </c>
      <c r="J1298" s="3">
        <v>1020510066</v>
      </c>
      <c r="K1298" s="3">
        <v>1079815</v>
      </c>
      <c r="L1298" t="s">
        <v>169</v>
      </c>
      <c r="M1298" s="4">
        <v>9</v>
      </c>
      <c r="N1298" t="s">
        <v>420</v>
      </c>
      <c r="O1298" t="s">
        <v>232</v>
      </c>
      <c r="P1298" s="4">
        <v>40.822752999999999</v>
      </c>
      <c r="Q1298" s="4">
        <v>-73.944282000000001</v>
      </c>
      <c r="R1298" s="4">
        <v>40.822989</v>
      </c>
      <c r="S1298" s="4">
        <v>-73.944509999999994</v>
      </c>
      <c r="T1298" s="2">
        <v>42423</v>
      </c>
      <c r="U1298" t="s">
        <v>49</v>
      </c>
      <c r="V1298" t="s">
        <v>71</v>
      </c>
      <c r="W1298" t="s">
        <v>51</v>
      </c>
      <c r="Z1298" s="4">
        <v>35</v>
      </c>
      <c r="AC1298" s="4">
        <v>1</v>
      </c>
      <c r="AE1298" s="4">
        <v>22</v>
      </c>
      <c r="AF1298" s="4">
        <v>4</v>
      </c>
      <c r="AG1298" s="4">
        <v>10</v>
      </c>
      <c r="AL1298" s="4">
        <v>36</v>
      </c>
      <c r="AN1298" s="4">
        <v>36</v>
      </c>
      <c r="AO1298" s="4">
        <v>36</v>
      </c>
    </row>
    <row r="1299" spans="1:41" hidden="1" x14ac:dyDescent="0.2">
      <c r="A1299" t="s">
        <v>2173</v>
      </c>
      <c r="B1299" t="s">
        <v>2174</v>
      </c>
      <c r="C1299" s="2">
        <v>41817</v>
      </c>
      <c r="D1299" s="2">
        <v>42430</v>
      </c>
      <c r="E1299" s="3">
        <v>28152</v>
      </c>
      <c r="F1299" t="s">
        <v>1417</v>
      </c>
      <c r="G1299" t="s">
        <v>345</v>
      </c>
      <c r="H1299" t="s">
        <v>45</v>
      </c>
      <c r="I1299" s="3">
        <v>10030</v>
      </c>
      <c r="J1299" s="3">
        <v>1020480042</v>
      </c>
      <c r="K1299" s="3">
        <v>1060915</v>
      </c>
      <c r="L1299" t="s">
        <v>146</v>
      </c>
      <c r="M1299" s="4">
        <v>9</v>
      </c>
      <c r="N1299" t="s">
        <v>888</v>
      </c>
      <c r="O1299" t="s">
        <v>177</v>
      </c>
      <c r="P1299" s="4">
        <v>40.821067999999997</v>
      </c>
      <c r="Q1299" s="4">
        <v>-73.946158999999994</v>
      </c>
      <c r="R1299" s="4">
        <v>40.820931000000002</v>
      </c>
      <c r="S1299" s="4">
        <v>-73.945865999999995</v>
      </c>
      <c r="T1299" s="2">
        <v>42199</v>
      </c>
      <c r="U1299" t="s">
        <v>49</v>
      </c>
      <c r="V1299" t="s">
        <v>71</v>
      </c>
      <c r="W1299" t="s">
        <v>51</v>
      </c>
      <c r="Z1299" s="4">
        <v>15</v>
      </c>
      <c r="AE1299" s="4">
        <v>10</v>
      </c>
      <c r="AG1299" s="4">
        <v>5</v>
      </c>
      <c r="AL1299" s="4">
        <v>15</v>
      </c>
      <c r="AN1299" s="4">
        <v>15</v>
      </c>
      <c r="AO1299" s="4">
        <v>15</v>
      </c>
    </row>
    <row r="1300" spans="1:41" hidden="1" x14ac:dyDescent="0.2">
      <c r="A1300" t="s">
        <v>2173</v>
      </c>
      <c r="B1300" t="s">
        <v>2174</v>
      </c>
      <c r="C1300" s="2">
        <v>41817</v>
      </c>
      <c r="D1300" s="2">
        <v>42430</v>
      </c>
      <c r="E1300" s="3">
        <v>41519</v>
      </c>
      <c r="F1300" t="s">
        <v>2179</v>
      </c>
      <c r="G1300" t="s">
        <v>538</v>
      </c>
      <c r="H1300" t="s">
        <v>45</v>
      </c>
      <c r="I1300" s="3">
        <v>10030</v>
      </c>
      <c r="J1300" s="3">
        <v>1020510007</v>
      </c>
      <c r="K1300" s="3">
        <v>1061040</v>
      </c>
      <c r="L1300" t="s">
        <v>169</v>
      </c>
      <c r="M1300" s="4">
        <v>9</v>
      </c>
      <c r="N1300" t="s">
        <v>420</v>
      </c>
      <c r="O1300" t="s">
        <v>232</v>
      </c>
      <c r="P1300" s="4">
        <v>40.820985999999998</v>
      </c>
      <c r="Q1300" s="4">
        <v>-73.945397</v>
      </c>
      <c r="R1300" s="4">
        <v>40.821192000000003</v>
      </c>
      <c r="S1300" s="4">
        <v>-73.945341999999997</v>
      </c>
      <c r="T1300" s="2">
        <v>42199</v>
      </c>
      <c r="U1300" t="s">
        <v>49</v>
      </c>
      <c r="V1300" t="s">
        <v>71</v>
      </c>
      <c r="W1300" t="s">
        <v>51</v>
      </c>
      <c r="Z1300" s="4">
        <v>10</v>
      </c>
      <c r="AD1300" s="4">
        <v>1</v>
      </c>
      <c r="AE1300" s="4">
        <v>4</v>
      </c>
      <c r="AF1300" s="4">
        <v>1</v>
      </c>
      <c r="AG1300" s="4">
        <v>4</v>
      </c>
      <c r="AL1300" s="4">
        <v>10</v>
      </c>
      <c r="AN1300" s="4">
        <v>10</v>
      </c>
      <c r="AO1300" s="4">
        <v>10</v>
      </c>
    </row>
    <row r="1301" spans="1:41" hidden="1" x14ac:dyDescent="0.2">
      <c r="A1301" t="s">
        <v>2173</v>
      </c>
      <c r="B1301" t="s">
        <v>2174</v>
      </c>
      <c r="C1301" s="2">
        <v>41817</v>
      </c>
      <c r="D1301" s="2">
        <v>42430</v>
      </c>
      <c r="E1301" s="3">
        <v>41521</v>
      </c>
      <c r="F1301" t="s">
        <v>81</v>
      </c>
      <c r="G1301" t="s">
        <v>538</v>
      </c>
      <c r="H1301" t="s">
        <v>45</v>
      </c>
      <c r="I1301" s="3">
        <v>10030</v>
      </c>
      <c r="J1301" s="3">
        <v>1020510004</v>
      </c>
      <c r="K1301" s="3">
        <v>1061039</v>
      </c>
      <c r="L1301" t="s">
        <v>169</v>
      </c>
      <c r="M1301" s="4">
        <v>9</v>
      </c>
      <c r="N1301" t="s">
        <v>420</v>
      </c>
      <c r="O1301" t="s">
        <v>232</v>
      </c>
      <c r="P1301" s="4">
        <v>40.821005</v>
      </c>
      <c r="Q1301" s="4">
        <v>-73.945440000000005</v>
      </c>
      <c r="R1301" s="4">
        <v>40.821281999999997</v>
      </c>
      <c r="S1301" s="4">
        <v>-73.945548000000002</v>
      </c>
      <c r="T1301" s="2">
        <v>42199</v>
      </c>
      <c r="U1301" t="s">
        <v>49</v>
      </c>
      <c r="V1301" t="s">
        <v>71</v>
      </c>
      <c r="W1301" t="s">
        <v>51</v>
      </c>
      <c r="Z1301" s="4">
        <v>12</v>
      </c>
      <c r="AD1301" s="4">
        <v>1</v>
      </c>
      <c r="AF1301" s="4">
        <v>5</v>
      </c>
      <c r="AG1301" s="4">
        <v>6</v>
      </c>
      <c r="AL1301" s="4">
        <v>12</v>
      </c>
      <c r="AN1301" s="4">
        <v>12</v>
      </c>
      <c r="AO1301" s="4">
        <v>12</v>
      </c>
    </row>
    <row r="1302" spans="1:41" hidden="1" x14ac:dyDescent="0.2">
      <c r="A1302" t="s">
        <v>2173</v>
      </c>
      <c r="B1302" t="s">
        <v>2174</v>
      </c>
      <c r="C1302" s="2">
        <v>41817</v>
      </c>
      <c r="D1302" s="2">
        <v>42430</v>
      </c>
      <c r="E1302" s="3">
        <v>41937</v>
      </c>
      <c r="F1302" t="s">
        <v>951</v>
      </c>
      <c r="G1302" t="s">
        <v>439</v>
      </c>
      <c r="H1302" t="s">
        <v>45</v>
      </c>
      <c r="I1302" s="3">
        <v>10039</v>
      </c>
      <c r="J1302" s="3">
        <v>1020510060</v>
      </c>
      <c r="K1302" s="3">
        <v>1061060</v>
      </c>
      <c r="L1302" t="s">
        <v>169</v>
      </c>
      <c r="M1302" s="4">
        <v>9</v>
      </c>
      <c r="N1302" t="s">
        <v>420</v>
      </c>
      <c r="O1302" t="s">
        <v>232</v>
      </c>
      <c r="P1302" s="4">
        <v>40.823697000000003</v>
      </c>
      <c r="Q1302" s="4">
        <v>-73.943984999999998</v>
      </c>
      <c r="R1302" s="4">
        <v>40.823476999999997</v>
      </c>
      <c r="S1302" s="4">
        <v>-73.944123000000005</v>
      </c>
      <c r="T1302" s="2">
        <v>42317</v>
      </c>
      <c r="U1302" t="s">
        <v>49</v>
      </c>
      <c r="V1302" t="s">
        <v>71</v>
      </c>
      <c r="W1302" t="s">
        <v>51</v>
      </c>
      <c r="Z1302" s="4">
        <v>7</v>
      </c>
      <c r="AF1302" s="4">
        <v>7</v>
      </c>
      <c r="AL1302" s="4">
        <v>7</v>
      </c>
      <c r="AN1302" s="4">
        <v>7</v>
      </c>
      <c r="AO1302" s="4">
        <v>7</v>
      </c>
    </row>
    <row r="1303" spans="1:41" hidden="1" x14ac:dyDescent="0.2">
      <c r="A1303" t="s">
        <v>2173</v>
      </c>
      <c r="B1303" t="s">
        <v>2174</v>
      </c>
      <c r="C1303" s="2">
        <v>41817</v>
      </c>
      <c r="D1303" s="2">
        <v>42430</v>
      </c>
      <c r="E1303" s="3">
        <v>804763</v>
      </c>
      <c r="F1303" t="s">
        <v>170</v>
      </c>
      <c r="G1303" t="s">
        <v>1094</v>
      </c>
      <c r="H1303" t="s">
        <v>45</v>
      </c>
      <c r="I1303" s="3">
        <v>10030</v>
      </c>
      <c r="J1303" s="3">
        <v>1020510064</v>
      </c>
      <c r="K1303" s="3">
        <v>1079816</v>
      </c>
      <c r="L1303" t="s">
        <v>169</v>
      </c>
      <c r="M1303" s="4">
        <v>9</v>
      </c>
      <c r="N1303" t="s">
        <v>420</v>
      </c>
      <c r="O1303" t="s">
        <v>232</v>
      </c>
      <c r="P1303" s="4">
        <v>40.822873999999999</v>
      </c>
      <c r="Q1303" s="4">
        <v>-73.944224000000006</v>
      </c>
      <c r="R1303" s="4">
        <v>40.823151000000003</v>
      </c>
      <c r="S1303" s="4">
        <v>-73.944434000000001</v>
      </c>
      <c r="T1303" s="2">
        <v>42366</v>
      </c>
      <c r="U1303" t="s">
        <v>49</v>
      </c>
      <c r="V1303" t="s">
        <v>71</v>
      </c>
      <c r="W1303" t="s">
        <v>51</v>
      </c>
      <c r="Z1303" s="4">
        <v>30</v>
      </c>
      <c r="AE1303" s="4">
        <v>20</v>
      </c>
      <c r="AF1303" s="4">
        <v>10</v>
      </c>
      <c r="AL1303" s="4">
        <v>30</v>
      </c>
      <c r="AN1303" s="4">
        <v>30</v>
      </c>
      <c r="AO1303" s="4">
        <v>30</v>
      </c>
    </row>
    <row r="1304" spans="1:41" hidden="1" x14ac:dyDescent="0.2">
      <c r="A1304" t="s">
        <v>2180</v>
      </c>
      <c r="B1304" t="s">
        <v>2181</v>
      </c>
      <c r="C1304" s="2">
        <v>41816</v>
      </c>
      <c r="D1304" s="2">
        <v>42930</v>
      </c>
      <c r="E1304" s="3">
        <v>955006</v>
      </c>
      <c r="F1304" t="s">
        <v>2182</v>
      </c>
      <c r="G1304" t="s">
        <v>2183</v>
      </c>
      <c r="H1304" t="s">
        <v>45</v>
      </c>
      <c r="I1304" s="3">
        <v>10036</v>
      </c>
      <c r="J1304" s="3">
        <v>1010720050</v>
      </c>
      <c r="K1304" s="3">
        <v>1090461</v>
      </c>
      <c r="L1304" t="s">
        <v>78</v>
      </c>
      <c r="M1304" s="4">
        <v>3</v>
      </c>
      <c r="N1304" t="s">
        <v>202</v>
      </c>
      <c r="O1304" t="s">
        <v>80</v>
      </c>
      <c r="P1304" s="4">
        <v>40.761671</v>
      </c>
      <c r="Q1304" s="4">
        <v>-73.996324999999999</v>
      </c>
      <c r="R1304" s="4">
        <v>40.761401999999997</v>
      </c>
      <c r="S1304" s="4">
        <v>-73.996589</v>
      </c>
      <c r="T1304" s="2">
        <v>42930</v>
      </c>
      <c r="U1304" t="s">
        <v>117</v>
      </c>
      <c r="V1304" t="s">
        <v>71</v>
      </c>
      <c r="W1304" t="s">
        <v>51</v>
      </c>
      <c r="Z1304" s="4">
        <v>62</v>
      </c>
      <c r="AD1304" s="4">
        <v>23</v>
      </c>
      <c r="AE1304" s="4">
        <v>26</v>
      </c>
      <c r="AF1304" s="4">
        <v>13</v>
      </c>
      <c r="AL1304" s="4">
        <v>62</v>
      </c>
      <c r="AN1304" s="4">
        <v>62</v>
      </c>
      <c r="AO1304" s="4">
        <v>280</v>
      </c>
    </row>
    <row r="1305" spans="1:41" x14ac:dyDescent="0.2">
      <c r="A1305" t="s">
        <v>2184</v>
      </c>
      <c r="B1305" t="s">
        <v>2185</v>
      </c>
      <c r="C1305" s="2">
        <v>41816</v>
      </c>
      <c r="D1305" s="2">
        <v>42650</v>
      </c>
      <c r="E1305" s="3">
        <v>956094</v>
      </c>
      <c r="F1305" t="s">
        <v>1458</v>
      </c>
      <c r="G1305" t="s">
        <v>404</v>
      </c>
      <c r="H1305" t="s">
        <v>45</v>
      </c>
      <c r="I1305" s="3">
        <v>10013</v>
      </c>
      <c r="J1305" s="3">
        <v>1005957509</v>
      </c>
      <c r="K1305" s="3">
        <v>1080177</v>
      </c>
      <c r="L1305" t="s">
        <v>215</v>
      </c>
      <c r="M1305" s="4">
        <v>1</v>
      </c>
      <c r="N1305" t="s">
        <v>1746</v>
      </c>
      <c r="O1305" t="s">
        <v>973</v>
      </c>
      <c r="P1305" s="4">
        <v>40.724414000000003</v>
      </c>
      <c r="Q1305" s="4">
        <v>-74.010192000000004</v>
      </c>
      <c r="R1305" s="4">
        <v>40.724466</v>
      </c>
      <c r="S1305" s="4">
        <v>-74.010654000000002</v>
      </c>
      <c r="T1305" s="2">
        <v>42650</v>
      </c>
      <c r="U1305" t="s">
        <v>117</v>
      </c>
      <c r="V1305" t="s">
        <v>71</v>
      </c>
      <c r="W1305" t="s">
        <v>51</v>
      </c>
      <c r="Z1305" s="4">
        <v>22</v>
      </c>
      <c r="AD1305" s="4">
        <v>5</v>
      </c>
      <c r="AE1305" s="4">
        <v>6</v>
      </c>
      <c r="AF1305" s="4">
        <v>11</v>
      </c>
      <c r="AL1305" s="4">
        <v>22</v>
      </c>
      <c r="AN1305" s="4">
        <v>22</v>
      </c>
      <c r="AO1305" s="4">
        <v>107</v>
      </c>
    </row>
    <row r="1306" spans="1:41" hidden="1" x14ac:dyDescent="0.2">
      <c r="A1306" t="s">
        <v>2186</v>
      </c>
      <c r="B1306" t="s">
        <v>2187</v>
      </c>
      <c r="C1306" s="2">
        <v>41816</v>
      </c>
      <c r="D1306" s="2">
        <v>42976</v>
      </c>
      <c r="E1306" s="3">
        <v>953385</v>
      </c>
      <c r="F1306" t="s">
        <v>346</v>
      </c>
      <c r="G1306" t="s">
        <v>2188</v>
      </c>
      <c r="H1306" t="s">
        <v>45</v>
      </c>
      <c r="I1306" s="3">
        <v>10013</v>
      </c>
      <c r="J1306" s="3">
        <v>1005947511</v>
      </c>
      <c r="K1306" s="3">
        <v>1090602</v>
      </c>
      <c r="L1306" t="s">
        <v>161</v>
      </c>
      <c r="M1306" s="4">
        <v>1</v>
      </c>
      <c r="N1306" t="s">
        <v>303</v>
      </c>
      <c r="O1306" t="s">
        <v>927</v>
      </c>
      <c r="P1306" s="4">
        <v>40.724919</v>
      </c>
      <c r="Q1306" s="4">
        <v>-74.007732000000004</v>
      </c>
      <c r="R1306" s="4">
        <v>40.725169000000001</v>
      </c>
      <c r="S1306" s="4">
        <v>-74.008073999999993</v>
      </c>
      <c r="T1306" s="2">
        <v>42976</v>
      </c>
      <c r="U1306" t="s">
        <v>117</v>
      </c>
      <c r="V1306" t="s">
        <v>71</v>
      </c>
      <c r="W1306" t="s">
        <v>51</v>
      </c>
      <c r="Z1306" s="4">
        <v>41</v>
      </c>
      <c r="AD1306" s="4">
        <v>16</v>
      </c>
      <c r="AE1306" s="4">
        <v>16</v>
      </c>
      <c r="AF1306" s="4">
        <v>9</v>
      </c>
      <c r="AL1306" s="4">
        <v>41</v>
      </c>
      <c r="AN1306" s="4">
        <v>41</v>
      </c>
      <c r="AO1306" s="4">
        <v>201</v>
      </c>
    </row>
    <row r="1307" spans="1:41" hidden="1" x14ac:dyDescent="0.2">
      <c r="A1307" t="s">
        <v>2189</v>
      </c>
      <c r="B1307" t="s">
        <v>2190</v>
      </c>
      <c r="C1307" s="2">
        <v>41815</v>
      </c>
      <c r="D1307" s="2">
        <v>41815</v>
      </c>
      <c r="E1307" s="3">
        <v>3581</v>
      </c>
      <c r="F1307" t="s">
        <v>2191</v>
      </c>
      <c r="G1307" t="s">
        <v>255</v>
      </c>
      <c r="H1307" t="s">
        <v>45</v>
      </c>
      <c r="I1307" s="3">
        <v>10030</v>
      </c>
      <c r="J1307" s="3">
        <v>1020250034</v>
      </c>
      <c r="K1307" s="3">
        <v>1060372</v>
      </c>
      <c r="L1307" t="s">
        <v>146</v>
      </c>
      <c r="M1307" s="4">
        <v>9</v>
      </c>
      <c r="N1307" t="s">
        <v>222</v>
      </c>
      <c r="O1307" t="s">
        <v>177</v>
      </c>
      <c r="P1307" s="4">
        <v>40.818323999999997</v>
      </c>
      <c r="Q1307" s="4">
        <v>-73.941511000000006</v>
      </c>
      <c r="R1307" s="4">
        <v>40.818441999999997</v>
      </c>
      <c r="S1307" s="4">
        <v>-73.941918999999999</v>
      </c>
      <c r="T1307" s="2">
        <v>41815</v>
      </c>
      <c r="U1307" t="s">
        <v>49</v>
      </c>
      <c r="V1307" t="s">
        <v>50</v>
      </c>
      <c r="W1307" t="s">
        <v>51</v>
      </c>
      <c r="Z1307" s="4">
        <v>41</v>
      </c>
      <c r="AB1307" s="4">
        <v>10</v>
      </c>
      <c r="AD1307" s="4">
        <v>4</v>
      </c>
      <c r="AF1307" s="4">
        <v>12</v>
      </c>
      <c r="AG1307" s="4">
        <v>12</v>
      </c>
      <c r="AH1307" s="4">
        <v>23</v>
      </c>
      <c r="AL1307" s="4">
        <v>51</v>
      </c>
      <c r="AN1307" s="4">
        <v>51</v>
      </c>
      <c r="AO1307" s="4">
        <v>51</v>
      </c>
    </row>
    <row r="1308" spans="1:41" hidden="1" x14ac:dyDescent="0.2">
      <c r="A1308" t="s">
        <v>2189</v>
      </c>
      <c r="B1308" t="s">
        <v>2190</v>
      </c>
      <c r="C1308" s="2">
        <v>41815</v>
      </c>
      <c r="D1308" s="2">
        <v>41815</v>
      </c>
      <c r="E1308" s="3">
        <v>41428</v>
      </c>
      <c r="F1308" t="s">
        <v>244</v>
      </c>
      <c r="G1308" t="s">
        <v>626</v>
      </c>
      <c r="H1308" t="s">
        <v>45</v>
      </c>
      <c r="I1308" s="3">
        <v>10030</v>
      </c>
      <c r="J1308" s="3">
        <v>1020250055</v>
      </c>
      <c r="K1308" s="3">
        <v>1060384</v>
      </c>
      <c r="L1308" t="s">
        <v>146</v>
      </c>
      <c r="M1308" s="4">
        <v>9</v>
      </c>
      <c r="N1308" t="s">
        <v>222</v>
      </c>
      <c r="O1308" t="s">
        <v>177</v>
      </c>
      <c r="P1308" s="4">
        <v>40.818871000000001</v>
      </c>
      <c r="Q1308" s="4">
        <v>-73.942359999999994</v>
      </c>
      <c r="R1308" s="4">
        <v>40.819099000000001</v>
      </c>
      <c r="S1308" s="4">
        <v>-73.943476000000004</v>
      </c>
      <c r="T1308" s="2">
        <v>41815</v>
      </c>
      <c r="U1308" t="s">
        <v>49</v>
      </c>
      <c r="V1308" t="s">
        <v>50</v>
      </c>
      <c r="W1308" t="s">
        <v>51</v>
      </c>
      <c r="Z1308" s="4">
        <v>10</v>
      </c>
      <c r="AB1308" s="4">
        <v>8</v>
      </c>
      <c r="AF1308" s="4">
        <v>18</v>
      </c>
      <c r="AL1308" s="4">
        <v>18</v>
      </c>
      <c r="AN1308" s="4">
        <v>18</v>
      </c>
      <c r="AO1308" s="4">
        <v>18</v>
      </c>
    </row>
    <row r="1309" spans="1:41" hidden="1" x14ac:dyDescent="0.2">
      <c r="A1309" t="s">
        <v>2189</v>
      </c>
      <c r="B1309" t="s">
        <v>2190</v>
      </c>
      <c r="C1309" s="2">
        <v>41815</v>
      </c>
      <c r="D1309" s="2">
        <v>41815</v>
      </c>
      <c r="E1309" s="3">
        <v>41430</v>
      </c>
      <c r="F1309" t="s">
        <v>309</v>
      </c>
      <c r="G1309" t="s">
        <v>626</v>
      </c>
      <c r="H1309" t="s">
        <v>45</v>
      </c>
      <c r="I1309" s="3">
        <v>10030</v>
      </c>
      <c r="J1309" s="3">
        <v>1020250056</v>
      </c>
      <c r="K1309" s="3">
        <v>1060385</v>
      </c>
      <c r="L1309" t="s">
        <v>146</v>
      </c>
      <c r="M1309" s="4">
        <v>9</v>
      </c>
      <c r="N1309" t="s">
        <v>222</v>
      </c>
      <c r="O1309" t="s">
        <v>177</v>
      </c>
      <c r="P1309" s="4">
        <v>40.818886999999997</v>
      </c>
      <c r="Q1309" s="4">
        <v>-73.942400000000006</v>
      </c>
      <c r="R1309" s="4">
        <v>40.819149000000003</v>
      </c>
      <c r="S1309" s="4">
        <v>-73.943599000000006</v>
      </c>
      <c r="T1309" s="2">
        <v>41815</v>
      </c>
      <c r="U1309" t="s">
        <v>49</v>
      </c>
      <c r="V1309" t="s">
        <v>50</v>
      </c>
      <c r="W1309" t="s">
        <v>51</v>
      </c>
      <c r="Z1309" s="4">
        <v>10</v>
      </c>
      <c r="AB1309" s="4">
        <v>8</v>
      </c>
      <c r="AF1309" s="4">
        <v>18</v>
      </c>
      <c r="AL1309" s="4">
        <v>18</v>
      </c>
      <c r="AN1309" s="4">
        <v>18</v>
      </c>
      <c r="AO1309" s="4">
        <v>18</v>
      </c>
    </row>
    <row r="1310" spans="1:41" hidden="1" x14ac:dyDescent="0.2">
      <c r="A1310" t="s">
        <v>2189</v>
      </c>
      <c r="B1310" t="s">
        <v>2190</v>
      </c>
      <c r="C1310" s="2">
        <v>41815</v>
      </c>
      <c r="D1310" s="2">
        <v>41815</v>
      </c>
      <c r="E1310" s="3">
        <v>41432</v>
      </c>
      <c r="F1310" t="s">
        <v>322</v>
      </c>
      <c r="G1310" t="s">
        <v>626</v>
      </c>
      <c r="H1310" t="s">
        <v>45</v>
      </c>
      <c r="I1310" s="3">
        <v>10030</v>
      </c>
      <c r="J1310" s="3">
        <v>1020250058</v>
      </c>
      <c r="K1310" s="3">
        <v>1060386</v>
      </c>
      <c r="L1310" t="s">
        <v>146</v>
      </c>
      <c r="M1310" s="4">
        <v>9</v>
      </c>
      <c r="N1310" t="s">
        <v>222</v>
      </c>
      <c r="O1310" t="s">
        <v>177</v>
      </c>
      <c r="P1310" s="4">
        <v>40.818907000000003</v>
      </c>
      <c r="Q1310" s="4">
        <v>-73.942438999999993</v>
      </c>
      <c r="R1310" s="4">
        <v>40.819201</v>
      </c>
      <c r="S1310" s="4">
        <v>-73.943721999999994</v>
      </c>
      <c r="T1310" s="2">
        <v>41815</v>
      </c>
      <c r="U1310" t="s">
        <v>49</v>
      </c>
      <c r="V1310" t="s">
        <v>50</v>
      </c>
      <c r="W1310" t="s">
        <v>51</v>
      </c>
      <c r="Z1310" s="4">
        <v>11</v>
      </c>
      <c r="AB1310" s="4">
        <v>7</v>
      </c>
      <c r="AF1310" s="4">
        <v>18</v>
      </c>
      <c r="AL1310" s="4">
        <v>18</v>
      </c>
      <c r="AN1310" s="4">
        <v>18</v>
      </c>
      <c r="AO1310" s="4">
        <v>18</v>
      </c>
    </row>
    <row r="1311" spans="1:41" hidden="1" x14ac:dyDescent="0.2">
      <c r="A1311" t="s">
        <v>2192</v>
      </c>
      <c r="B1311" t="s">
        <v>2193</v>
      </c>
      <c r="C1311" s="2">
        <v>41815</v>
      </c>
      <c r="D1311" s="2">
        <v>42807</v>
      </c>
      <c r="E1311" s="3">
        <v>38023</v>
      </c>
      <c r="F1311" t="s">
        <v>309</v>
      </c>
      <c r="G1311" t="s">
        <v>316</v>
      </c>
      <c r="H1311" t="s">
        <v>45</v>
      </c>
      <c r="I1311" s="3">
        <v>10026</v>
      </c>
      <c r="J1311" s="3">
        <v>1018280040</v>
      </c>
      <c r="K1311" s="3">
        <v>1055121</v>
      </c>
      <c r="L1311" t="s">
        <v>146</v>
      </c>
      <c r="M1311" s="4">
        <v>9</v>
      </c>
      <c r="N1311" t="s">
        <v>312</v>
      </c>
      <c r="O1311" t="s">
        <v>148</v>
      </c>
      <c r="P1311" s="4">
        <v>40.801586999999998</v>
      </c>
      <c r="Q1311" s="4">
        <v>-73.954669999999993</v>
      </c>
      <c r="R1311" s="4">
        <v>40.801431000000001</v>
      </c>
      <c r="S1311" s="4">
        <v>-73.954864999999998</v>
      </c>
      <c r="T1311" s="2">
        <v>42807</v>
      </c>
      <c r="U1311" t="s">
        <v>49</v>
      </c>
      <c r="V1311" t="s">
        <v>71</v>
      </c>
      <c r="W1311" t="s">
        <v>51</v>
      </c>
      <c r="X1311" s="4">
        <v>1</v>
      </c>
      <c r="Y1311" s="4">
        <v>16</v>
      </c>
      <c r="Z1311" s="4">
        <v>1</v>
      </c>
      <c r="AD1311" s="4">
        <v>1</v>
      </c>
      <c r="AH1311" s="4">
        <v>12</v>
      </c>
      <c r="AI1311" s="4">
        <v>5</v>
      </c>
      <c r="AL1311" s="4">
        <v>1</v>
      </c>
      <c r="AM1311" s="4">
        <v>17</v>
      </c>
      <c r="AN1311" s="4">
        <v>18</v>
      </c>
      <c r="AO1311" s="4">
        <v>18</v>
      </c>
    </row>
    <row r="1312" spans="1:41" hidden="1" x14ac:dyDescent="0.2">
      <c r="A1312" t="s">
        <v>2194</v>
      </c>
      <c r="B1312" t="s">
        <v>2195</v>
      </c>
      <c r="C1312" s="2">
        <v>41814</v>
      </c>
      <c r="D1312" s="2">
        <v>43033</v>
      </c>
      <c r="E1312" s="3">
        <v>28059</v>
      </c>
      <c r="F1312" t="s">
        <v>151</v>
      </c>
      <c r="G1312" t="s">
        <v>345</v>
      </c>
      <c r="H1312" t="s">
        <v>45</v>
      </c>
      <c r="I1312" s="3">
        <v>10026</v>
      </c>
      <c r="J1312" s="3">
        <v>1019250013</v>
      </c>
      <c r="K1312" s="3">
        <v>1058445</v>
      </c>
      <c r="L1312" t="s">
        <v>146</v>
      </c>
      <c r="M1312" s="4">
        <v>9</v>
      </c>
      <c r="N1312" t="s">
        <v>256</v>
      </c>
      <c r="O1312" t="s">
        <v>148</v>
      </c>
      <c r="P1312" s="4">
        <v>40.805903999999998</v>
      </c>
      <c r="Q1312" s="4">
        <v>-73.952799999999996</v>
      </c>
      <c r="R1312" s="4">
        <v>40.805895999999997</v>
      </c>
      <c r="S1312" s="4">
        <v>-73.952466999999999</v>
      </c>
      <c r="T1312" s="2">
        <v>43033</v>
      </c>
      <c r="U1312" t="s">
        <v>49</v>
      </c>
      <c r="V1312" t="s">
        <v>71</v>
      </c>
      <c r="W1312" t="s">
        <v>51</v>
      </c>
      <c r="Z1312" s="4">
        <v>21</v>
      </c>
      <c r="AG1312" s="4">
        <v>21</v>
      </c>
      <c r="AM1312" s="4">
        <v>21</v>
      </c>
      <c r="AN1312" s="4">
        <v>21</v>
      </c>
      <c r="AO1312" s="4">
        <v>21</v>
      </c>
    </row>
    <row r="1313" spans="1:41" hidden="1" x14ac:dyDescent="0.2">
      <c r="A1313" t="s">
        <v>2196</v>
      </c>
      <c r="B1313" t="s">
        <v>2197</v>
      </c>
      <c r="C1313" s="2">
        <v>41809</v>
      </c>
      <c r="D1313" s="2">
        <v>42718</v>
      </c>
      <c r="E1313" s="3">
        <v>38344</v>
      </c>
      <c r="F1313" t="s">
        <v>319</v>
      </c>
      <c r="G1313" t="s">
        <v>300</v>
      </c>
      <c r="H1313" t="s">
        <v>45</v>
      </c>
      <c r="I1313" s="3">
        <v>10026</v>
      </c>
      <c r="J1313" s="3">
        <v>1019220013</v>
      </c>
      <c r="K1313" s="3">
        <v>1058372</v>
      </c>
      <c r="L1313" t="s">
        <v>146</v>
      </c>
      <c r="M1313" s="4">
        <v>9</v>
      </c>
      <c r="N1313" t="s">
        <v>318</v>
      </c>
      <c r="O1313" t="s">
        <v>148</v>
      </c>
      <c r="P1313" s="4">
        <v>40.80386</v>
      </c>
      <c r="Q1313" s="4">
        <v>-73.954018000000005</v>
      </c>
      <c r="R1313" s="4">
        <v>40.804192</v>
      </c>
      <c r="S1313" s="4">
        <v>-73.954087000000001</v>
      </c>
      <c r="T1313" s="2">
        <v>42598</v>
      </c>
      <c r="U1313" t="s">
        <v>49</v>
      </c>
      <c r="V1313" t="s">
        <v>71</v>
      </c>
      <c r="W1313" t="s">
        <v>51</v>
      </c>
      <c r="Y1313" s="4">
        <v>10</v>
      </c>
      <c r="AB1313" s="4">
        <v>6</v>
      </c>
      <c r="AF1313" s="4">
        <v>11</v>
      </c>
      <c r="AG1313" s="4">
        <v>5</v>
      </c>
      <c r="AL1313" s="4">
        <v>16</v>
      </c>
      <c r="AN1313" s="4">
        <v>16</v>
      </c>
      <c r="AO1313" s="4">
        <v>16</v>
      </c>
    </row>
    <row r="1314" spans="1:41" hidden="1" x14ac:dyDescent="0.2">
      <c r="A1314" t="s">
        <v>2196</v>
      </c>
      <c r="B1314" t="s">
        <v>2197</v>
      </c>
      <c r="C1314" s="2">
        <v>41809</v>
      </c>
      <c r="D1314" s="2">
        <v>42718</v>
      </c>
      <c r="E1314" s="3">
        <v>38996</v>
      </c>
      <c r="F1314" t="s">
        <v>440</v>
      </c>
      <c r="G1314" t="s">
        <v>464</v>
      </c>
      <c r="H1314" t="s">
        <v>45</v>
      </c>
      <c r="I1314" s="3">
        <v>10027</v>
      </c>
      <c r="J1314" s="3">
        <v>1019270015</v>
      </c>
      <c r="K1314" s="3">
        <v>1058502</v>
      </c>
      <c r="L1314" t="s">
        <v>146</v>
      </c>
      <c r="M1314" s="4">
        <v>9</v>
      </c>
      <c r="N1314" t="s">
        <v>256</v>
      </c>
      <c r="O1314" t="s">
        <v>148</v>
      </c>
      <c r="P1314" s="4">
        <v>40.806845000000003</v>
      </c>
      <c r="Q1314" s="4">
        <v>-73.951201999999995</v>
      </c>
      <c r="R1314" s="4">
        <v>40.807231999999999</v>
      </c>
      <c r="S1314" s="4">
        <v>-73.951560000000001</v>
      </c>
      <c r="T1314" s="2">
        <v>42522</v>
      </c>
      <c r="U1314" t="s">
        <v>49</v>
      </c>
      <c r="V1314" t="s">
        <v>71</v>
      </c>
      <c r="W1314" t="s">
        <v>51</v>
      </c>
      <c r="AB1314" s="4">
        <v>20</v>
      </c>
      <c r="AC1314" s="4">
        <v>1</v>
      </c>
      <c r="AD1314" s="4">
        <v>5</v>
      </c>
      <c r="AE1314" s="4">
        <v>6</v>
      </c>
      <c r="AF1314" s="4">
        <v>10</v>
      </c>
      <c r="AL1314" s="4">
        <v>21</v>
      </c>
      <c r="AN1314" s="4">
        <v>21</v>
      </c>
      <c r="AO1314" s="4">
        <v>21</v>
      </c>
    </row>
    <row r="1315" spans="1:41" hidden="1" x14ac:dyDescent="0.2">
      <c r="A1315" t="s">
        <v>2196</v>
      </c>
      <c r="B1315" t="s">
        <v>2197</v>
      </c>
      <c r="C1315" s="2">
        <v>41809</v>
      </c>
      <c r="D1315" s="2">
        <v>42718</v>
      </c>
      <c r="E1315" s="3">
        <v>40547</v>
      </c>
      <c r="F1315" t="s">
        <v>429</v>
      </c>
      <c r="G1315" t="s">
        <v>1012</v>
      </c>
      <c r="H1315" t="s">
        <v>45</v>
      </c>
      <c r="I1315" s="3">
        <v>10030</v>
      </c>
      <c r="J1315" s="3">
        <v>1019180023</v>
      </c>
      <c r="K1315" s="3">
        <v>1058224</v>
      </c>
      <c r="L1315" t="s">
        <v>146</v>
      </c>
      <c r="M1315" s="4">
        <v>9</v>
      </c>
      <c r="N1315" t="s">
        <v>309</v>
      </c>
      <c r="O1315" t="s">
        <v>177</v>
      </c>
      <c r="P1315" s="4">
        <v>40.813265999999999</v>
      </c>
      <c r="Q1315" s="4">
        <v>-73.942856000000006</v>
      </c>
      <c r="R1315" s="4">
        <v>40.813378999999998</v>
      </c>
      <c r="S1315" s="4">
        <v>-73.942563000000007</v>
      </c>
      <c r="T1315" s="2">
        <v>42543</v>
      </c>
      <c r="U1315" t="s">
        <v>49</v>
      </c>
      <c r="V1315" t="s">
        <v>71</v>
      </c>
      <c r="W1315" t="s">
        <v>51</v>
      </c>
      <c r="Y1315" s="4">
        <v>3</v>
      </c>
      <c r="Z1315" s="4">
        <v>6</v>
      </c>
      <c r="AC1315" s="4">
        <v>1</v>
      </c>
      <c r="AD1315" s="4">
        <v>5</v>
      </c>
      <c r="AE1315" s="4">
        <v>4</v>
      </c>
      <c r="AF1315" s="4">
        <v>1</v>
      </c>
      <c r="AL1315" s="4">
        <v>10</v>
      </c>
      <c r="AN1315" s="4">
        <v>10</v>
      </c>
      <c r="AO1315" s="4">
        <v>10</v>
      </c>
    </row>
    <row r="1316" spans="1:41" hidden="1" x14ac:dyDescent="0.2">
      <c r="A1316" t="s">
        <v>2196</v>
      </c>
      <c r="B1316" t="s">
        <v>2197</v>
      </c>
      <c r="C1316" s="2">
        <v>41809</v>
      </c>
      <c r="D1316" s="2">
        <v>42718</v>
      </c>
      <c r="E1316" s="3">
        <v>40553</v>
      </c>
      <c r="F1316" t="s">
        <v>55</v>
      </c>
      <c r="G1316" t="s">
        <v>1012</v>
      </c>
      <c r="H1316" t="s">
        <v>45</v>
      </c>
      <c r="I1316" s="3">
        <v>10030</v>
      </c>
      <c r="J1316" s="3">
        <v>1019180020</v>
      </c>
      <c r="K1316" s="3">
        <v>1058222</v>
      </c>
      <c r="L1316" t="s">
        <v>146</v>
      </c>
      <c r="M1316" s="4">
        <v>9</v>
      </c>
      <c r="N1316" t="s">
        <v>309</v>
      </c>
      <c r="O1316" t="s">
        <v>177</v>
      </c>
      <c r="P1316" s="4">
        <v>40.813310000000001</v>
      </c>
      <c r="Q1316" s="4">
        <v>-73.942957000000007</v>
      </c>
      <c r="R1316" s="4">
        <v>40.813467000000003</v>
      </c>
      <c r="S1316" s="4">
        <v>-73.942768999999998</v>
      </c>
      <c r="T1316" s="2">
        <v>42712</v>
      </c>
      <c r="U1316" t="s">
        <v>49</v>
      </c>
      <c r="V1316" t="s">
        <v>71</v>
      </c>
      <c r="W1316" t="s">
        <v>51</v>
      </c>
      <c r="Y1316" s="4">
        <v>11</v>
      </c>
      <c r="Z1316" s="4">
        <v>9</v>
      </c>
      <c r="AC1316" s="4">
        <v>1</v>
      </c>
      <c r="AE1316" s="4">
        <v>2</v>
      </c>
      <c r="AF1316" s="4">
        <v>14</v>
      </c>
      <c r="AG1316" s="4">
        <v>5</v>
      </c>
      <c r="AL1316" s="4">
        <v>21</v>
      </c>
      <c r="AN1316" s="4">
        <v>21</v>
      </c>
      <c r="AO1316" s="4">
        <v>21</v>
      </c>
    </row>
    <row r="1317" spans="1:41" hidden="1" x14ac:dyDescent="0.2">
      <c r="A1317" t="s">
        <v>2196</v>
      </c>
      <c r="B1317" t="s">
        <v>2197</v>
      </c>
      <c r="C1317" s="2">
        <v>41809</v>
      </c>
      <c r="D1317" s="2">
        <v>42718</v>
      </c>
      <c r="E1317" s="3">
        <v>40557</v>
      </c>
      <c r="F1317" t="s">
        <v>1320</v>
      </c>
      <c r="G1317" t="s">
        <v>1012</v>
      </c>
      <c r="H1317" t="s">
        <v>45</v>
      </c>
      <c r="I1317" s="3">
        <v>10030</v>
      </c>
      <c r="J1317" s="3">
        <v>1019170045</v>
      </c>
      <c r="K1317" s="3">
        <v>1058176</v>
      </c>
      <c r="L1317" t="s">
        <v>146</v>
      </c>
      <c r="M1317" s="4">
        <v>9</v>
      </c>
      <c r="N1317" t="s">
        <v>309</v>
      </c>
      <c r="O1317" t="s">
        <v>177</v>
      </c>
      <c r="P1317" s="4">
        <v>40.813357000000003</v>
      </c>
      <c r="Q1317" s="4">
        <v>-73.943119999999993</v>
      </c>
      <c r="R1317" s="4">
        <v>40.813105</v>
      </c>
      <c r="S1317" s="4">
        <v>-73.943090999999995</v>
      </c>
      <c r="T1317" s="2">
        <v>42718</v>
      </c>
      <c r="U1317" t="s">
        <v>49</v>
      </c>
      <c r="V1317" t="s">
        <v>71</v>
      </c>
      <c r="W1317" t="s">
        <v>51</v>
      </c>
      <c r="Y1317" s="4">
        <v>4</v>
      </c>
      <c r="Z1317" s="4">
        <v>6</v>
      </c>
      <c r="AC1317" s="4">
        <v>1</v>
      </c>
      <c r="AD1317" s="4">
        <v>1</v>
      </c>
      <c r="AE1317" s="4">
        <v>1</v>
      </c>
      <c r="AF1317" s="4">
        <v>9</v>
      </c>
      <c r="AL1317" s="4">
        <v>11</v>
      </c>
      <c r="AN1317" s="4">
        <v>11</v>
      </c>
      <c r="AO1317" s="4">
        <v>11</v>
      </c>
    </row>
    <row r="1318" spans="1:41" hidden="1" x14ac:dyDescent="0.2">
      <c r="A1318" t="s">
        <v>2196</v>
      </c>
      <c r="B1318" t="s">
        <v>2197</v>
      </c>
      <c r="C1318" s="2">
        <v>41809</v>
      </c>
      <c r="D1318" s="2">
        <v>42718</v>
      </c>
      <c r="E1318" s="3">
        <v>41096</v>
      </c>
      <c r="F1318" t="s">
        <v>1178</v>
      </c>
      <c r="G1318" t="s">
        <v>2198</v>
      </c>
      <c r="H1318" t="s">
        <v>45</v>
      </c>
      <c r="I1318" s="3">
        <v>10037</v>
      </c>
      <c r="J1318" s="3">
        <v>1017350008</v>
      </c>
      <c r="K1318" s="3">
        <v>1053903</v>
      </c>
      <c r="L1318" t="s">
        <v>146</v>
      </c>
      <c r="M1318" s="4">
        <v>9</v>
      </c>
      <c r="N1318" t="s">
        <v>313</v>
      </c>
      <c r="O1318" t="s">
        <v>177</v>
      </c>
      <c r="P1318" s="4">
        <v>40.814839999999997</v>
      </c>
      <c r="Q1318" s="4">
        <v>-73.938547999999997</v>
      </c>
      <c r="R1318" s="4">
        <v>40.815260000000002</v>
      </c>
      <c r="S1318" s="4">
        <v>-73.938981999999996</v>
      </c>
      <c r="T1318" s="2">
        <v>42537</v>
      </c>
      <c r="U1318" t="s">
        <v>49</v>
      </c>
      <c r="V1318" t="s">
        <v>71</v>
      </c>
      <c r="W1318" t="s">
        <v>51</v>
      </c>
      <c r="AA1318" s="4">
        <v>20</v>
      </c>
      <c r="AC1318" s="4">
        <v>1</v>
      </c>
      <c r="AD1318" s="4">
        <v>2</v>
      </c>
      <c r="AE1318" s="4">
        <v>8</v>
      </c>
      <c r="AF1318" s="4">
        <v>11</v>
      </c>
      <c r="AL1318" s="4">
        <v>21</v>
      </c>
      <c r="AN1318" s="4">
        <v>21</v>
      </c>
      <c r="AO1318" s="4">
        <v>21</v>
      </c>
    </row>
    <row r="1319" spans="1:41" hidden="1" x14ac:dyDescent="0.2">
      <c r="A1319" t="s">
        <v>2199</v>
      </c>
      <c r="B1319" t="s">
        <v>2200</v>
      </c>
      <c r="C1319" s="2">
        <v>41809</v>
      </c>
      <c r="D1319" s="2">
        <v>41809</v>
      </c>
      <c r="E1319" s="3">
        <v>40676</v>
      </c>
      <c r="F1319" t="s">
        <v>437</v>
      </c>
      <c r="G1319" t="s">
        <v>321</v>
      </c>
      <c r="H1319" t="s">
        <v>45</v>
      </c>
      <c r="I1319" s="3">
        <v>10031</v>
      </c>
      <c r="J1319" s="3">
        <v>1019870037</v>
      </c>
      <c r="K1319" s="3">
        <v>1085358</v>
      </c>
      <c r="L1319" t="s">
        <v>169</v>
      </c>
      <c r="M1319" s="4">
        <v>7</v>
      </c>
      <c r="N1319" t="s">
        <v>170</v>
      </c>
      <c r="O1319" t="s">
        <v>171</v>
      </c>
      <c r="P1319" s="4">
        <v>40.818342999999999</v>
      </c>
      <c r="Q1319" s="4">
        <v>-73.953004000000007</v>
      </c>
      <c r="R1319" s="4">
        <v>40.818297000000001</v>
      </c>
      <c r="S1319" s="4">
        <v>-73.953477000000007</v>
      </c>
      <c r="T1319" s="2">
        <v>41809</v>
      </c>
      <c r="U1319" t="s">
        <v>49</v>
      </c>
      <c r="V1319" t="s">
        <v>50</v>
      </c>
      <c r="W1319" t="s">
        <v>51</v>
      </c>
      <c r="Z1319" s="4">
        <v>30</v>
      </c>
      <c r="AD1319" s="4">
        <v>1</v>
      </c>
      <c r="AF1319" s="4">
        <v>23</v>
      </c>
      <c r="AG1319" s="4">
        <v>6</v>
      </c>
      <c r="AL1319" s="4">
        <v>30</v>
      </c>
      <c r="AN1319" s="4">
        <v>30</v>
      </c>
      <c r="AO1319" s="4">
        <v>30</v>
      </c>
    </row>
    <row r="1320" spans="1:41" hidden="1" x14ac:dyDescent="0.2">
      <c r="A1320" t="s">
        <v>2199</v>
      </c>
      <c r="B1320" t="s">
        <v>2200</v>
      </c>
      <c r="C1320" s="2">
        <v>41809</v>
      </c>
      <c r="D1320" s="2">
        <v>41809</v>
      </c>
      <c r="E1320" s="3">
        <v>844218</v>
      </c>
      <c r="F1320" t="s">
        <v>2035</v>
      </c>
      <c r="G1320" t="s">
        <v>1012</v>
      </c>
      <c r="H1320" t="s">
        <v>45</v>
      </c>
      <c r="I1320" s="3">
        <v>10027</v>
      </c>
      <c r="J1320" s="3">
        <v>1019870024</v>
      </c>
      <c r="K1320" s="3">
        <v>1085357</v>
      </c>
      <c r="L1320" t="s">
        <v>169</v>
      </c>
      <c r="M1320" s="4">
        <v>7</v>
      </c>
      <c r="N1320" t="s">
        <v>170</v>
      </c>
      <c r="O1320" t="s">
        <v>171</v>
      </c>
      <c r="P1320" s="4">
        <v>40.817836</v>
      </c>
      <c r="Q1320" s="4">
        <v>-73.953738000000001</v>
      </c>
      <c r="R1320" s="4">
        <v>40.818072000000001</v>
      </c>
      <c r="S1320" s="4">
        <v>-73.953716</v>
      </c>
      <c r="T1320" s="2">
        <v>41809</v>
      </c>
      <c r="U1320" t="s">
        <v>49</v>
      </c>
      <c r="V1320" t="s">
        <v>50</v>
      </c>
      <c r="W1320" t="s">
        <v>51</v>
      </c>
      <c r="Z1320" s="4">
        <v>41</v>
      </c>
      <c r="AE1320" s="4">
        <v>2</v>
      </c>
      <c r="AF1320" s="4">
        <v>27</v>
      </c>
      <c r="AG1320" s="4">
        <v>12</v>
      </c>
      <c r="AL1320" s="4">
        <v>41</v>
      </c>
      <c r="AN1320" s="4">
        <v>41</v>
      </c>
      <c r="AO1320" s="4">
        <v>41</v>
      </c>
    </row>
    <row r="1321" spans="1:41" hidden="1" x14ac:dyDescent="0.2">
      <c r="A1321" t="s">
        <v>2201</v>
      </c>
      <c r="B1321" t="s">
        <v>2202</v>
      </c>
      <c r="C1321" s="2">
        <v>41808</v>
      </c>
      <c r="D1321" s="2">
        <v>43284</v>
      </c>
      <c r="E1321" s="3">
        <v>951712</v>
      </c>
      <c r="F1321" t="s">
        <v>2203</v>
      </c>
      <c r="G1321" t="s">
        <v>339</v>
      </c>
      <c r="H1321" t="s">
        <v>45</v>
      </c>
      <c r="I1321" s="3">
        <v>10016</v>
      </c>
      <c r="J1321" s="3">
        <v>1009670001</v>
      </c>
      <c r="K1321" s="3">
        <v>1089237</v>
      </c>
      <c r="L1321" t="s">
        <v>165</v>
      </c>
      <c r="M1321" s="4">
        <v>4</v>
      </c>
      <c r="N1321" t="s">
        <v>2204</v>
      </c>
      <c r="O1321" t="s">
        <v>239</v>
      </c>
      <c r="P1321" s="4">
        <v>40.744897999999999</v>
      </c>
      <c r="Q1321" s="4">
        <v>-73.972688000000005</v>
      </c>
      <c r="R1321" s="4">
        <v>40.744458000000002</v>
      </c>
      <c r="S1321" s="4">
        <v>-73.971941000000001</v>
      </c>
      <c r="T1321" s="2">
        <v>43284</v>
      </c>
      <c r="U1321" t="s">
        <v>117</v>
      </c>
      <c r="V1321" t="s">
        <v>71</v>
      </c>
      <c r="W1321" t="s">
        <v>51</v>
      </c>
      <c r="Z1321" s="4">
        <v>160</v>
      </c>
      <c r="AD1321" s="4">
        <v>43</v>
      </c>
      <c r="AE1321" s="4">
        <v>66</v>
      </c>
      <c r="AF1321" s="4">
        <v>41</v>
      </c>
      <c r="AG1321" s="4">
        <v>10</v>
      </c>
      <c r="AL1321" s="4">
        <v>160</v>
      </c>
      <c r="AN1321" s="4">
        <v>160</v>
      </c>
      <c r="AO1321" s="4">
        <v>761</v>
      </c>
    </row>
    <row r="1322" spans="1:41" hidden="1" x14ac:dyDescent="0.2">
      <c r="A1322" t="s">
        <v>2205</v>
      </c>
      <c r="B1322" t="s">
        <v>2206</v>
      </c>
      <c r="C1322" s="2">
        <v>41794</v>
      </c>
      <c r="D1322" s="2">
        <v>41794</v>
      </c>
      <c r="E1322" s="3">
        <v>5558</v>
      </c>
      <c r="F1322" t="s">
        <v>2207</v>
      </c>
      <c r="G1322" t="s">
        <v>87</v>
      </c>
      <c r="H1322" t="s">
        <v>45</v>
      </c>
      <c r="I1322" s="3">
        <v>10027</v>
      </c>
      <c r="J1322" s="3">
        <v>1019700002</v>
      </c>
      <c r="K1322" s="3">
        <v>1075479</v>
      </c>
      <c r="L1322" t="s">
        <v>169</v>
      </c>
      <c r="M1322" s="4">
        <v>7</v>
      </c>
      <c r="N1322" t="s">
        <v>187</v>
      </c>
      <c r="O1322" t="s">
        <v>171</v>
      </c>
      <c r="P1322" s="4">
        <v>40.815832</v>
      </c>
      <c r="Q1322" s="4">
        <v>-73.954464999999999</v>
      </c>
      <c r="R1322" s="4">
        <v>40.815860000000001</v>
      </c>
      <c r="S1322" s="4">
        <v>-73.953857999999997</v>
      </c>
      <c r="T1322" s="2">
        <v>41794</v>
      </c>
      <c r="U1322" t="s">
        <v>49</v>
      </c>
      <c r="V1322" t="s">
        <v>50</v>
      </c>
      <c r="W1322" t="s">
        <v>51</v>
      </c>
      <c r="Z1322" s="4">
        <v>26</v>
      </c>
      <c r="AB1322" s="4">
        <v>103</v>
      </c>
      <c r="AC1322" s="4">
        <v>1</v>
      </c>
      <c r="AE1322" s="4">
        <v>75</v>
      </c>
      <c r="AF1322" s="4">
        <v>49</v>
      </c>
      <c r="AG1322" s="4">
        <v>6</v>
      </c>
      <c r="AL1322" s="4">
        <v>130</v>
      </c>
      <c r="AN1322" s="4">
        <v>130</v>
      </c>
      <c r="AO1322" s="4">
        <v>130</v>
      </c>
    </row>
    <row r="1323" spans="1:41" hidden="1" x14ac:dyDescent="0.2">
      <c r="A1323" t="s">
        <v>2208</v>
      </c>
      <c r="B1323" t="s">
        <v>2209</v>
      </c>
      <c r="C1323" s="2">
        <v>41773</v>
      </c>
      <c r="D1323" s="2">
        <v>42320</v>
      </c>
      <c r="E1323" s="3">
        <v>1869</v>
      </c>
      <c r="F1323" t="s">
        <v>1472</v>
      </c>
      <c r="G1323" t="s">
        <v>1042</v>
      </c>
      <c r="H1323" t="s">
        <v>45</v>
      </c>
      <c r="I1323" s="3">
        <v>10128</v>
      </c>
      <c r="J1323" s="3">
        <v>1015397502</v>
      </c>
      <c r="K1323" s="3">
        <v>1048916</v>
      </c>
      <c r="L1323" t="s">
        <v>107</v>
      </c>
      <c r="M1323" s="4">
        <v>5</v>
      </c>
      <c r="N1323" t="s">
        <v>754</v>
      </c>
      <c r="O1323" t="s">
        <v>109</v>
      </c>
      <c r="P1323" s="4">
        <v>40.783741999999997</v>
      </c>
      <c r="Q1323" s="4">
        <v>-73.949951999999996</v>
      </c>
      <c r="R1323" s="4">
        <v>40.783355</v>
      </c>
      <c r="S1323" s="4">
        <v>-73.949999000000005</v>
      </c>
      <c r="T1323" s="2">
        <v>42320</v>
      </c>
      <c r="U1323" t="s">
        <v>49</v>
      </c>
      <c r="V1323" t="s">
        <v>71</v>
      </c>
      <c r="W1323" t="s">
        <v>51</v>
      </c>
      <c r="Z1323" s="4">
        <v>92</v>
      </c>
      <c r="AK1323" s="4">
        <v>92</v>
      </c>
      <c r="AL1323" s="4">
        <v>92</v>
      </c>
      <c r="AN1323" s="4">
        <v>92</v>
      </c>
      <c r="AO1323" s="4">
        <v>92</v>
      </c>
    </row>
    <row r="1324" spans="1:41" hidden="1" x14ac:dyDescent="0.2">
      <c r="A1324" t="s">
        <v>2210</v>
      </c>
      <c r="B1324" t="s">
        <v>2211</v>
      </c>
      <c r="C1324" s="2">
        <v>41729</v>
      </c>
      <c r="D1324" s="2">
        <v>41729</v>
      </c>
      <c r="E1324" s="3">
        <v>6628</v>
      </c>
      <c r="F1324" t="s">
        <v>643</v>
      </c>
      <c r="G1324" t="s">
        <v>1698</v>
      </c>
      <c r="H1324" t="s">
        <v>45</v>
      </c>
      <c r="I1324" s="3">
        <v>10009</v>
      </c>
      <c r="J1324" s="3">
        <v>1003790032</v>
      </c>
      <c r="K1324" s="3">
        <v>1004552</v>
      </c>
      <c r="L1324" t="s">
        <v>64</v>
      </c>
      <c r="M1324" s="4">
        <v>2</v>
      </c>
      <c r="N1324" t="s">
        <v>607</v>
      </c>
      <c r="O1324" t="s">
        <v>197</v>
      </c>
      <c r="P1324" s="4">
        <v>40.724749000000003</v>
      </c>
      <c r="Q1324" s="4">
        <v>-73.975268999999997</v>
      </c>
      <c r="R1324" s="4">
        <v>40.724837000000001</v>
      </c>
      <c r="S1324" s="4">
        <v>-73.975498999999999</v>
      </c>
      <c r="T1324" s="2">
        <v>41729</v>
      </c>
      <c r="U1324" t="s">
        <v>49</v>
      </c>
      <c r="V1324" t="s">
        <v>50</v>
      </c>
      <c r="W1324" t="s">
        <v>51</v>
      </c>
      <c r="Z1324" s="4">
        <v>17</v>
      </c>
      <c r="AD1324" s="4">
        <v>4</v>
      </c>
      <c r="AF1324" s="4">
        <v>9</v>
      </c>
      <c r="AG1324" s="4">
        <v>4</v>
      </c>
      <c r="AL1324" s="4">
        <v>17</v>
      </c>
      <c r="AN1324" s="4">
        <v>17</v>
      </c>
      <c r="AO1324" s="4">
        <v>17</v>
      </c>
    </row>
    <row r="1325" spans="1:41" hidden="1" x14ac:dyDescent="0.2">
      <c r="A1325" t="s">
        <v>2210</v>
      </c>
      <c r="B1325" t="s">
        <v>2211</v>
      </c>
      <c r="C1325" s="2">
        <v>41729</v>
      </c>
      <c r="D1325" s="2">
        <v>41729</v>
      </c>
      <c r="E1325" s="3">
        <v>11742</v>
      </c>
      <c r="F1325" t="s">
        <v>619</v>
      </c>
      <c r="G1325" t="s">
        <v>977</v>
      </c>
      <c r="H1325" t="s">
        <v>45</v>
      </c>
      <c r="I1325" s="3">
        <v>10009</v>
      </c>
      <c r="J1325" s="3">
        <v>1003930022</v>
      </c>
      <c r="K1325" s="3">
        <v>1004885</v>
      </c>
      <c r="L1325" t="s">
        <v>64</v>
      </c>
      <c r="M1325" s="4">
        <v>2</v>
      </c>
      <c r="N1325" t="s">
        <v>607</v>
      </c>
      <c r="O1325" t="s">
        <v>197</v>
      </c>
      <c r="P1325" s="4">
        <v>40.726965</v>
      </c>
      <c r="Q1325" s="4">
        <v>-73.978297999999995</v>
      </c>
      <c r="R1325" s="4">
        <v>40.726737</v>
      </c>
      <c r="S1325" s="4">
        <v>-73.978306000000003</v>
      </c>
      <c r="T1325" s="2">
        <v>41729</v>
      </c>
      <c r="U1325" t="s">
        <v>49</v>
      </c>
      <c r="V1325" t="s">
        <v>50</v>
      </c>
      <c r="W1325" t="s">
        <v>51</v>
      </c>
      <c r="Z1325" s="4">
        <v>10</v>
      </c>
      <c r="AD1325" s="4">
        <v>1</v>
      </c>
      <c r="AF1325" s="4">
        <v>9</v>
      </c>
      <c r="AL1325" s="4">
        <v>10</v>
      </c>
      <c r="AN1325" s="4">
        <v>10</v>
      </c>
      <c r="AO1325" s="4">
        <v>10</v>
      </c>
    </row>
    <row r="1326" spans="1:41" hidden="1" x14ac:dyDescent="0.2">
      <c r="A1326" t="s">
        <v>2212</v>
      </c>
      <c r="B1326" t="s">
        <v>2213</v>
      </c>
      <c r="C1326" s="2">
        <v>41717</v>
      </c>
      <c r="D1326" s="2">
        <v>41717</v>
      </c>
      <c r="E1326" s="3">
        <v>25197</v>
      </c>
      <c r="F1326" t="s">
        <v>2214</v>
      </c>
      <c r="G1326" t="s">
        <v>70</v>
      </c>
      <c r="H1326" t="s">
        <v>45</v>
      </c>
      <c r="I1326" s="3">
        <v>10025</v>
      </c>
      <c r="J1326" s="3">
        <v>1018430014</v>
      </c>
      <c r="K1326" s="3">
        <v>1055683</v>
      </c>
      <c r="L1326" t="s">
        <v>46</v>
      </c>
      <c r="M1326" s="4">
        <v>7</v>
      </c>
      <c r="N1326" t="s">
        <v>54</v>
      </c>
      <c r="O1326" t="s">
        <v>48</v>
      </c>
      <c r="P1326" s="4">
        <v>40.799427000000001</v>
      </c>
      <c r="Q1326" s="4">
        <v>-73.960926999999998</v>
      </c>
      <c r="R1326" s="4">
        <v>40.799563999999997</v>
      </c>
      <c r="S1326" s="4">
        <v>-73.961179999999999</v>
      </c>
      <c r="T1326" s="2">
        <v>41717</v>
      </c>
      <c r="U1326" t="s">
        <v>49</v>
      </c>
      <c r="V1326" t="s">
        <v>50</v>
      </c>
      <c r="W1326" t="s">
        <v>51</v>
      </c>
      <c r="Z1326" s="4">
        <v>21</v>
      </c>
      <c r="AC1326" s="4">
        <v>1</v>
      </c>
      <c r="AD1326" s="4">
        <v>1</v>
      </c>
      <c r="AF1326" s="4">
        <v>16</v>
      </c>
      <c r="AG1326" s="4">
        <v>5</v>
      </c>
      <c r="AL1326" s="4">
        <v>22</v>
      </c>
      <c r="AN1326" s="4">
        <v>22</v>
      </c>
      <c r="AO1326" s="4">
        <v>22</v>
      </c>
    </row>
    <row r="1327" spans="1:41" hidden="1" x14ac:dyDescent="0.2">
      <c r="A1327" t="s">
        <v>2212</v>
      </c>
      <c r="B1327" t="s">
        <v>2213</v>
      </c>
      <c r="C1327" s="2">
        <v>41717</v>
      </c>
      <c r="D1327" s="2">
        <v>41717</v>
      </c>
      <c r="E1327" s="3">
        <v>25198</v>
      </c>
      <c r="F1327" t="s">
        <v>728</v>
      </c>
      <c r="G1327" t="s">
        <v>70</v>
      </c>
      <c r="H1327" t="s">
        <v>45</v>
      </c>
      <c r="I1327" s="3">
        <v>10025</v>
      </c>
      <c r="J1327" s="3">
        <v>1018430015</v>
      </c>
      <c r="K1327" s="3">
        <v>1055684</v>
      </c>
      <c r="L1327" t="s">
        <v>46</v>
      </c>
      <c r="M1327" s="4">
        <v>7</v>
      </c>
      <c r="N1327" t="s">
        <v>54</v>
      </c>
      <c r="O1327" t="s">
        <v>48</v>
      </c>
      <c r="P1327" s="4">
        <v>40.799489999999999</v>
      </c>
      <c r="Q1327" s="4">
        <v>-73.960880000000003</v>
      </c>
      <c r="R1327" s="4">
        <v>40.799666000000002</v>
      </c>
      <c r="S1327" s="4">
        <v>-73.961107999999996</v>
      </c>
      <c r="T1327" s="2">
        <v>41717</v>
      </c>
      <c r="U1327" t="s">
        <v>49</v>
      </c>
      <c r="V1327" t="s">
        <v>50</v>
      </c>
      <c r="W1327" t="s">
        <v>51</v>
      </c>
      <c r="Z1327" s="4">
        <v>24</v>
      </c>
      <c r="AE1327" s="4">
        <v>19</v>
      </c>
      <c r="AF1327" s="4">
        <v>5</v>
      </c>
      <c r="AL1327" s="4">
        <v>24</v>
      </c>
      <c r="AN1327" s="4">
        <v>24</v>
      </c>
      <c r="AO1327" s="4">
        <v>24</v>
      </c>
    </row>
    <row r="1328" spans="1:41" hidden="1" x14ac:dyDescent="0.2">
      <c r="A1328" t="s">
        <v>2212</v>
      </c>
      <c r="B1328" t="s">
        <v>2213</v>
      </c>
      <c r="C1328" s="2">
        <v>41717</v>
      </c>
      <c r="D1328" s="2">
        <v>41717</v>
      </c>
      <c r="E1328" s="3">
        <v>25199</v>
      </c>
      <c r="F1328" t="s">
        <v>470</v>
      </c>
      <c r="G1328" t="s">
        <v>70</v>
      </c>
      <c r="H1328" t="s">
        <v>45</v>
      </c>
      <c r="I1328" s="3">
        <v>10025</v>
      </c>
      <c r="J1328" s="3">
        <v>1018430016</v>
      </c>
      <c r="K1328" s="3">
        <v>1055685</v>
      </c>
      <c r="L1328" t="s">
        <v>46</v>
      </c>
      <c r="M1328" s="4">
        <v>7</v>
      </c>
      <c r="N1328" t="s">
        <v>54</v>
      </c>
      <c r="O1328" t="s">
        <v>48</v>
      </c>
      <c r="P1328" s="4">
        <v>40.799553000000003</v>
      </c>
      <c r="Q1328" s="4">
        <v>-73.960832999999994</v>
      </c>
      <c r="R1328" s="4">
        <v>40.799759000000002</v>
      </c>
      <c r="S1328" s="4">
        <v>-73.961039</v>
      </c>
      <c r="T1328" s="2">
        <v>41717</v>
      </c>
      <c r="U1328" t="s">
        <v>49</v>
      </c>
      <c r="V1328" t="s">
        <v>50</v>
      </c>
      <c r="W1328" t="s">
        <v>51</v>
      </c>
      <c r="Z1328" s="4">
        <v>18</v>
      </c>
      <c r="AE1328" s="4">
        <v>10</v>
      </c>
      <c r="AF1328" s="4">
        <v>4</v>
      </c>
      <c r="AG1328" s="4">
        <v>4</v>
      </c>
      <c r="AL1328" s="4">
        <v>18</v>
      </c>
      <c r="AN1328" s="4">
        <v>18</v>
      </c>
      <c r="AO1328" s="4">
        <v>18</v>
      </c>
    </row>
    <row r="1329" spans="1:41" hidden="1" x14ac:dyDescent="0.2">
      <c r="A1329" t="s">
        <v>2215</v>
      </c>
      <c r="B1329" t="s">
        <v>2216</v>
      </c>
      <c r="C1329" s="2">
        <v>41712</v>
      </c>
      <c r="D1329" s="2">
        <v>42247</v>
      </c>
      <c r="E1329" s="3">
        <v>935095</v>
      </c>
      <c r="F1329" t="s">
        <v>2217</v>
      </c>
      <c r="G1329" t="s">
        <v>389</v>
      </c>
      <c r="H1329" t="s">
        <v>45</v>
      </c>
      <c r="I1329" s="3">
        <v>10034</v>
      </c>
      <c r="J1329" s="3">
        <v>1022380033</v>
      </c>
      <c r="K1329" s="3">
        <v>1089788</v>
      </c>
      <c r="L1329" t="s">
        <v>114</v>
      </c>
      <c r="M1329" s="4">
        <v>10</v>
      </c>
      <c r="N1329" t="s">
        <v>526</v>
      </c>
      <c r="O1329" t="s">
        <v>391</v>
      </c>
      <c r="P1329" s="4">
        <v>40.866733000000004</v>
      </c>
      <c r="Q1329" s="4">
        <v>-73.923918999999998</v>
      </c>
      <c r="R1329" s="4">
        <v>40.866953000000002</v>
      </c>
      <c r="S1329" s="4">
        <v>-73.924338000000006</v>
      </c>
      <c r="T1329" s="2">
        <v>42247</v>
      </c>
      <c r="U1329" t="s">
        <v>117</v>
      </c>
      <c r="V1329" t="s">
        <v>71</v>
      </c>
      <c r="W1329" t="s">
        <v>51</v>
      </c>
      <c r="Z1329" s="4">
        <v>6</v>
      </c>
      <c r="AE1329" s="4">
        <v>3</v>
      </c>
      <c r="AF1329" s="4">
        <v>3</v>
      </c>
      <c r="AL1329" s="4">
        <v>6</v>
      </c>
      <c r="AN1329" s="4">
        <v>6</v>
      </c>
      <c r="AO1329" s="4">
        <v>27</v>
      </c>
    </row>
    <row r="1330" spans="1:41" hidden="1" x14ac:dyDescent="0.2">
      <c r="A1330" t="s">
        <v>2218</v>
      </c>
      <c r="B1330" t="s">
        <v>2219</v>
      </c>
      <c r="C1330" s="2">
        <v>41696</v>
      </c>
      <c r="D1330" s="2">
        <v>42475</v>
      </c>
      <c r="E1330" s="3">
        <v>949027</v>
      </c>
      <c r="F1330" t="s">
        <v>2220</v>
      </c>
      <c r="G1330" t="s">
        <v>2221</v>
      </c>
      <c r="H1330" t="s">
        <v>45</v>
      </c>
      <c r="I1330" s="3">
        <v>10016</v>
      </c>
      <c r="J1330" s="3">
        <v>1009337501</v>
      </c>
      <c r="K1330" s="3">
        <v>1084666</v>
      </c>
      <c r="L1330" t="s">
        <v>165</v>
      </c>
      <c r="M1330" s="4">
        <v>2</v>
      </c>
      <c r="N1330" t="s">
        <v>682</v>
      </c>
      <c r="O1330" t="s">
        <v>239</v>
      </c>
      <c r="P1330" s="4">
        <v>40.739566000000003</v>
      </c>
      <c r="Q1330" s="4">
        <v>-73.977039000000005</v>
      </c>
      <c r="R1330" s="4">
        <v>40.739854000000001</v>
      </c>
      <c r="S1330" s="4">
        <v>-73.977417000000003</v>
      </c>
      <c r="T1330" s="2">
        <v>42475</v>
      </c>
      <c r="U1330" t="s">
        <v>117</v>
      </c>
      <c r="V1330" t="s">
        <v>71</v>
      </c>
      <c r="W1330" t="s">
        <v>51</v>
      </c>
      <c r="X1330" s="4">
        <v>8</v>
      </c>
      <c r="Z1330" s="4">
        <v>11</v>
      </c>
      <c r="AB1330" s="4">
        <v>3</v>
      </c>
      <c r="AC1330" s="4">
        <v>1</v>
      </c>
      <c r="AD1330" s="4">
        <v>23</v>
      </c>
      <c r="AL1330" s="4">
        <v>23</v>
      </c>
      <c r="AN1330" s="4">
        <v>23</v>
      </c>
      <c r="AO1330" s="4">
        <v>55</v>
      </c>
    </row>
    <row r="1331" spans="1:41" hidden="1" x14ac:dyDescent="0.2">
      <c r="A1331" t="s">
        <v>2222</v>
      </c>
      <c r="B1331" t="s">
        <v>2223</v>
      </c>
      <c r="C1331" s="2">
        <v>41681</v>
      </c>
      <c r="D1331" s="2">
        <v>41681</v>
      </c>
      <c r="E1331" s="3">
        <v>43765</v>
      </c>
      <c r="F1331" t="s">
        <v>463</v>
      </c>
      <c r="G1331" t="s">
        <v>2224</v>
      </c>
      <c r="H1331" t="s">
        <v>45</v>
      </c>
      <c r="I1331" s="3">
        <v>10463</v>
      </c>
      <c r="J1331" s="3">
        <v>1022150042</v>
      </c>
      <c r="K1331" s="3">
        <v>1064521</v>
      </c>
      <c r="L1331" t="s">
        <v>114</v>
      </c>
      <c r="M1331" s="4">
        <v>10</v>
      </c>
      <c r="N1331" t="s">
        <v>356</v>
      </c>
      <c r="O1331" t="s">
        <v>357</v>
      </c>
      <c r="P1331" s="4">
        <v>40.875121</v>
      </c>
      <c r="Q1331" s="4">
        <v>-73.912460999999993</v>
      </c>
      <c r="R1331" s="4">
        <v>40.875579999999999</v>
      </c>
      <c r="S1331" s="4">
        <v>-73.913483999999997</v>
      </c>
      <c r="T1331" s="2">
        <v>41681</v>
      </c>
      <c r="U1331" t="s">
        <v>49</v>
      </c>
      <c r="V1331" t="s">
        <v>50</v>
      </c>
      <c r="W1331" t="s">
        <v>51</v>
      </c>
      <c r="Z1331" s="4">
        <v>95</v>
      </c>
      <c r="AB1331" s="4">
        <v>222</v>
      </c>
      <c r="AE1331" s="4">
        <v>126</v>
      </c>
      <c r="AF1331" s="4">
        <v>127</v>
      </c>
      <c r="AG1331" s="4">
        <v>64</v>
      </c>
      <c r="AL1331" s="4">
        <v>317</v>
      </c>
      <c r="AN1331" s="4">
        <v>317</v>
      </c>
      <c r="AO1331" s="4">
        <v>317</v>
      </c>
    </row>
    <row r="1332" spans="1:41" hidden="1" x14ac:dyDescent="0.2">
      <c r="A1332" t="s">
        <v>2225</v>
      </c>
      <c r="B1332" t="s">
        <v>2226</v>
      </c>
      <c r="C1332" s="2">
        <v>41660</v>
      </c>
      <c r="D1332" s="2">
        <v>41660</v>
      </c>
      <c r="E1332" s="3">
        <v>37582</v>
      </c>
      <c r="F1332" t="s">
        <v>1400</v>
      </c>
      <c r="G1332" t="s">
        <v>44</v>
      </c>
      <c r="H1332" t="s">
        <v>45</v>
      </c>
      <c r="I1332" s="3">
        <v>10025</v>
      </c>
      <c r="J1332" s="3">
        <v>1018400060</v>
      </c>
      <c r="K1332" s="3">
        <v>1055508</v>
      </c>
      <c r="L1332" t="s">
        <v>46</v>
      </c>
      <c r="M1332" s="4">
        <v>7</v>
      </c>
      <c r="N1332" t="s">
        <v>47</v>
      </c>
      <c r="O1332" t="s">
        <v>48</v>
      </c>
      <c r="P1332" s="4">
        <v>40.798268999999998</v>
      </c>
      <c r="Q1332" s="4">
        <v>-73.962676000000002</v>
      </c>
      <c r="R1332" s="4">
        <v>40.798153999999997</v>
      </c>
      <c r="S1332" s="4">
        <v>-73.962997000000001</v>
      </c>
      <c r="T1332" s="2">
        <v>41660</v>
      </c>
      <c r="U1332" t="s">
        <v>49</v>
      </c>
      <c r="V1332" t="s">
        <v>50</v>
      </c>
      <c r="W1332" t="s">
        <v>51</v>
      </c>
      <c r="AA1332" s="4">
        <v>10</v>
      </c>
      <c r="AE1332" s="4">
        <v>9</v>
      </c>
      <c r="AF1332" s="4">
        <v>1</v>
      </c>
      <c r="AL1332" s="4">
        <v>10</v>
      </c>
      <c r="AN1332" s="4">
        <v>10</v>
      </c>
      <c r="AO1332" s="4">
        <v>10</v>
      </c>
    </row>
  </sheetData>
  <autoFilter ref="A1:AO1332" xr:uid="{00000000-0009-0000-0000-000000000000}">
    <filterColumn colId="11">
      <filters>
        <filter val="MN-0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zoomScale="125" workbookViewId="0">
      <selection activeCell="C24" sqref="C24"/>
    </sheetView>
  </sheetViews>
  <sheetFormatPr baseColWidth="10" defaultRowHeight="15" x14ac:dyDescent="0.2"/>
  <cols>
    <col min="1" max="1" width="20.5" bestFit="1" customWidth="1"/>
    <col min="3" max="3" width="15.33203125" bestFit="1" customWidth="1"/>
    <col min="4" max="4" width="23.33203125" bestFit="1" customWidth="1"/>
    <col min="5" max="5" width="19" bestFit="1" customWidth="1"/>
    <col min="6" max="6" width="14.83203125" bestFit="1" customWidth="1"/>
    <col min="7" max="7" width="19.6640625" bestFit="1" customWidth="1"/>
    <col min="8" max="8" width="17.5" bestFit="1" customWidth="1"/>
    <col min="9" max="9" width="16.33203125" bestFit="1" customWidth="1"/>
  </cols>
  <sheetData>
    <row r="1" spans="1:10" x14ac:dyDescent="0.2">
      <c r="A1" s="1" t="s">
        <v>1</v>
      </c>
      <c r="B1" s="1" t="s">
        <v>7</v>
      </c>
      <c r="C1" s="1" t="s">
        <v>11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2227</v>
      </c>
    </row>
    <row r="2" spans="1:10" x14ac:dyDescent="0.2">
      <c r="A2" t="s">
        <v>212</v>
      </c>
      <c r="B2" t="s">
        <v>45</v>
      </c>
      <c r="C2" t="s">
        <v>215</v>
      </c>
      <c r="D2" s="18"/>
      <c r="E2" s="18">
        <v>29</v>
      </c>
      <c r="F2" s="18">
        <v>76</v>
      </c>
      <c r="G2" s="18">
        <v>38</v>
      </c>
      <c r="H2" s="18"/>
      <c r="I2" s="18"/>
      <c r="J2" s="18">
        <f t="shared" ref="J2:J7" si="0">SUM(D2:I2)</f>
        <v>143</v>
      </c>
    </row>
    <row r="3" spans="1:10" x14ac:dyDescent="0.2">
      <c r="A3" t="s">
        <v>277</v>
      </c>
      <c r="B3" t="s">
        <v>45</v>
      </c>
      <c r="C3" t="s">
        <v>215</v>
      </c>
      <c r="D3" s="18"/>
      <c r="E3" s="18">
        <v>66</v>
      </c>
      <c r="F3" s="18">
        <v>4</v>
      </c>
      <c r="G3" s="18">
        <v>260</v>
      </c>
      <c r="H3" s="18"/>
      <c r="I3" s="18"/>
      <c r="J3" s="18">
        <f t="shared" si="0"/>
        <v>330</v>
      </c>
    </row>
    <row r="4" spans="1:10" x14ac:dyDescent="0.2">
      <c r="A4" t="s">
        <v>957</v>
      </c>
      <c r="B4" t="s">
        <v>45</v>
      </c>
      <c r="C4" t="s">
        <v>215</v>
      </c>
      <c r="D4" s="18"/>
      <c r="E4" s="18"/>
      <c r="F4" s="18">
        <v>21</v>
      </c>
      <c r="G4" s="18"/>
      <c r="H4" s="18">
        <v>42</v>
      </c>
      <c r="I4" s="18"/>
      <c r="J4" s="18">
        <f t="shared" si="0"/>
        <v>63</v>
      </c>
    </row>
    <row r="5" spans="1:10" x14ac:dyDescent="0.2">
      <c r="A5" t="s">
        <v>969</v>
      </c>
      <c r="B5" t="s">
        <v>45</v>
      </c>
      <c r="C5" t="s">
        <v>215</v>
      </c>
      <c r="D5" s="18">
        <v>86</v>
      </c>
      <c r="E5" s="18">
        <v>1</v>
      </c>
      <c r="F5" s="18"/>
      <c r="G5" s="18"/>
      <c r="H5" s="18"/>
      <c r="I5" s="18">
        <v>1</v>
      </c>
      <c r="J5" s="18">
        <f t="shared" si="0"/>
        <v>88</v>
      </c>
    </row>
    <row r="6" spans="1:10" x14ac:dyDescent="0.2">
      <c r="A6" t="s">
        <v>2056</v>
      </c>
      <c r="B6" t="s">
        <v>45</v>
      </c>
      <c r="C6" t="s">
        <v>215</v>
      </c>
      <c r="D6" s="18"/>
      <c r="E6" s="18"/>
      <c r="F6" s="18">
        <v>97</v>
      </c>
      <c r="G6" s="18"/>
      <c r="H6" s="18"/>
      <c r="I6" s="18"/>
      <c r="J6" s="18">
        <f t="shared" si="0"/>
        <v>97</v>
      </c>
    </row>
    <row r="7" spans="1:10" x14ac:dyDescent="0.2">
      <c r="A7" t="s">
        <v>2078</v>
      </c>
      <c r="B7" t="s">
        <v>45</v>
      </c>
      <c r="C7" t="s">
        <v>215</v>
      </c>
      <c r="D7" s="18"/>
      <c r="E7" s="18">
        <v>12</v>
      </c>
      <c r="F7" s="18">
        <v>12</v>
      </c>
      <c r="G7" s="18"/>
      <c r="H7" s="18">
        <v>6</v>
      </c>
      <c r="I7" s="18"/>
      <c r="J7" s="18">
        <f t="shared" si="0"/>
        <v>30</v>
      </c>
    </row>
    <row r="8" spans="1:10" x14ac:dyDescent="0.2">
      <c r="A8" t="s">
        <v>2185</v>
      </c>
      <c r="B8" t="s">
        <v>45</v>
      </c>
      <c r="C8" t="s">
        <v>215</v>
      </c>
      <c r="D8" s="18"/>
      <c r="E8" s="18"/>
      <c r="F8" s="18">
        <v>22</v>
      </c>
      <c r="G8" s="18"/>
      <c r="H8" s="18"/>
      <c r="I8" s="18"/>
    </row>
    <row r="15" spans="1:10" x14ac:dyDescent="0.2">
      <c r="E15" s="1" t="s">
        <v>2228</v>
      </c>
    </row>
    <row r="17" spans="5:5" x14ac:dyDescent="0.2">
      <c r="E17" s="1" t="s">
        <v>2229</v>
      </c>
    </row>
    <row r="19" spans="5:5" x14ac:dyDescent="0.2">
      <c r="E19" s="1" t="s">
        <v>2230</v>
      </c>
    </row>
    <row r="21" spans="5:5" x14ac:dyDescent="0.2">
      <c r="E21" s="1" t="s">
        <v>2231</v>
      </c>
    </row>
    <row r="23" spans="5:5" x14ac:dyDescent="0.2">
      <c r="E23" s="1" t="s">
        <v>2232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05B3-D2E7-B842-BB6A-E2E48C542D5D}">
  <dimension ref="A1:S19"/>
  <sheetViews>
    <sheetView tabSelected="1" workbookViewId="0">
      <selection activeCell="K30" sqref="K30"/>
    </sheetView>
  </sheetViews>
  <sheetFormatPr baseColWidth="10" defaultRowHeight="19" x14ac:dyDescent="0.25"/>
  <cols>
    <col min="1" max="1" width="38.5" style="46" bestFit="1" customWidth="1"/>
    <col min="2" max="2" width="20.5" style="46" bestFit="1" customWidth="1"/>
    <col min="3" max="3" width="11.83203125" style="46" hidden="1" customWidth="1"/>
    <col min="4" max="4" width="11.83203125" style="46" bestFit="1" customWidth="1"/>
    <col min="5" max="5" width="11.83203125" style="46" hidden="1" customWidth="1"/>
    <col min="6" max="6" width="13.33203125" style="46" hidden="1" customWidth="1"/>
    <col min="7" max="7" width="13.33203125" style="46" bestFit="1" customWidth="1"/>
    <col min="8" max="10" width="13.33203125" style="46" hidden="1" customWidth="1"/>
    <col min="11" max="11" width="13.33203125" style="46" bestFit="1" customWidth="1"/>
    <col min="12" max="12" width="13.33203125" style="46" hidden="1" customWidth="1"/>
    <col min="13" max="13" width="13.33203125" style="46" bestFit="1" customWidth="1"/>
    <col min="14" max="15" width="10.83203125" style="46"/>
    <col min="16" max="16" width="28.33203125" style="46" bestFit="1" customWidth="1"/>
    <col min="17" max="17" width="11.1640625" style="46" bestFit="1" customWidth="1"/>
    <col min="18" max="18" width="27" style="46" bestFit="1" customWidth="1"/>
    <col min="19" max="19" width="11.5" style="46" bestFit="1" customWidth="1"/>
    <col min="20" max="16384" width="10.83203125" style="46"/>
  </cols>
  <sheetData>
    <row r="1" spans="1:19" ht="21" x14ac:dyDescent="0.25">
      <c r="A1" s="45" t="s">
        <v>2300</v>
      </c>
    </row>
    <row r="2" spans="1:19" x14ac:dyDescent="0.25">
      <c r="A2" s="53" t="s">
        <v>2301</v>
      </c>
      <c r="B2" s="54">
        <v>0.3</v>
      </c>
      <c r="C2" s="54">
        <v>0.4</v>
      </c>
      <c r="D2" s="54">
        <v>0.5</v>
      </c>
      <c r="E2" s="54">
        <v>0.6</v>
      </c>
      <c r="F2" s="54">
        <v>0.7</v>
      </c>
      <c r="G2" s="54">
        <v>0.8</v>
      </c>
      <c r="H2" s="54">
        <v>0.9</v>
      </c>
      <c r="I2" s="54">
        <v>1</v>
      </c>
      <c r="J2" s="54">
        <v>1.1000000000000001</v>
      </c>
      <c r="K2" s="54">
        <v>1.2</v>
      </c>
      <c r="L2" s="54">
        <v>1.3</v>
      </c>
      <c r="M2" s="54">
        <v>1.65</v>
      </c>
      <c r="P2" s="49"/>
      <c r="Q2" s="49" t="s">
        <v>2235</v>
      </c>
      <c r="R2" s="49" t="s">
        <v>2282</v>
      </c>
      <c r="S2" s="49" t="s">
        <v>2283</v>
      </c>
    </row>
    <row r="3" spans="1:19" hidden="1" x14ac:dyDescent="0.25">
      <c r="A3" s="55">
        <v>1</v>
      </c>
      <c r="B3" s="56">
        <v>34020</v>
      </c>
      <c r="C3" s="56">
        <v>45360</v>
      </c>
      <c r="D3" s="56">
        <v>56700</v>
      </c>
      <c r="E3" s="56">
        <v>68040</v>
      </c>
      <c r="F3" s="56">
        <v>79380</v>
      </c>
      <c r="G3" s="56">
        <v>90720</v>
      </c>
      <c r="H3" s="56">
        <v>102060</v>
      </c>
      <c r="I3" s="56">
        <v>113400</v>
      </c>
      <c r="J3" s="56">
        <v>124740</v>
      </c>
      <c r="K3" s="56">
        <v>136080</v>
      </c>
      <c r="L3" s="56">
        <v>147420</v>
      </c>
      <c r="M3" s="56">
        <v>187110</v>
      </c>
      <c r="P3" s="49"/>
      <c r="Q3" s="49"/>
      <c r="R3" s="49"/>
      <c r="S3" s="49"/>
    </row>
    <row r="4" spans="1:19" hidden="1" x14ac:dyDescent="0.25">
      <c r="A4" s="55">
        <v>2</v>
      </c>
      <c r="B4" s="56">
        <v>38880</v>
      </c>
      <c r="C4" s="56">
        <v>51840</v>
      </c>
      <c r="D4" s="56">
        <v>64800</v>
      </c>
      <c r="E4" s="56">
        <v>77760</v>
      </c>
      <c r="F4" s="56">
        <v>90720</v>
      </c>
      <c r="G4" s="56">
        <v>103680</v>
      </c>
      <c r="H4" s="56">
        <v>116640</v>
      </c>
      <c r="I4" s="56">
        <v>129600</v>
      </c>
      <c r="J4" s="56">
        <v>142560</v>
      </c>
      <c r="K4" s="56">
        <v>155520</v>
      </c>
      <c r="L4" s="56">
        <v>168480</v>
      </c>
      <c r="M4" s="56">
        <v>213840</v>
      </c>
      <c r="P4" s="49"/>
      <c r="Q4" s="49"/>
      <c r="R4" s="49"/>
      <c r="S4" s="49"/>
    </row>
    <row r="5" spans="1:19" x14ac:dyDescent="0.25">
      <c r="A5" s="57" t="s">
        <v>2302</v>
      </c>
      <c r="B5" s="58">
        <v>43740</v>
      </c>
      <c r="C5" s="59">
        <v>58320</v>
      </c>
      <c r="D5" s="58">
        <v>72900</v>
      </c>
      <c r="E5" s="59">
        <v>87480</v>
      </c>
      <c r="F5" s="59">
        <v>102060</v>
      </c>
      <c r="G5" s="58">
        <v>116640</v>
      </c>
      <c r="H5" s="59">
        <v>131220</v>
      </c>
      <c r="I5" s="59">
        <v>145800</v>
      </c>
      <c r="J5" s="59">
        <v>160380</v>
      </c>
      <c r="K5" s="58">
        <v>174960</v>
      </c>
      <c r="L5" s="59">
        <v>189540</v>
      </c>
      <c r="M5" s="58">
        <v>240570</v>
      </c>
      <c r="P5" s="49" t="s">
        <v>2287</v>
      </c>
      <c r="Q5" s="49" t="s">
        <v>2288</v>
      </c>
      <c r="R5" s="49"/>
      <c r="S5" s="50">
        <v>86</v>
      </c>
    </row>
    <row r="6" spans="1:19" x14ac:dyDescent="0.25">
      <c r="A6" s="57" t="s">
        <v>2296</v>
      </c>
      <c r="B6" s="60">
        <f>Summary!B2</f>
        <v>86</v>
      </c>
      <c r="C6" s="57"/>
      <c r="D6" s="60">
        <f>Summary!B3</f>
        <v>108</v>
      </c>
      <c r="E6" s="57"/>
      <c r="F6" s="57"/>
      <c r="G6" s="60">
        <f>Summary!B4</f>
        <v>232</v>
      </c>
      <c r="H6" s="57"/>
      <c r="I6" s="57"/>
      <c r="J6" s="57"/>
      <c r="K6" s="60">
        <f>Summary!B5</f>
        <v>298</v>
      </c>
      <c r="L6" s="57"/>
      <c r="M6" s="60">
        <f>Summary!B6</f>
        <v>48</v>
      </c>
      <c r="P6" s="49" t="s">
        <v>2289</v>
      </c>
      <c r="Q6" s="49" t="s">
        <v>2284</v>
      </c>
      <c r="R6" s="49"/>
      <c r="S6" s="49">
        <v>108</v>
      </c>
    </row>
    <row r="7" spans="1:19" x14ac:dyDescent="0.25">
      <c r="P7" s="49" t="s">
        <v>2290</v>
      </c>
      <c r="Q7" s="49" t="s">
        <v>2291</v>
      </c>
      <c r="R7" s="49"/>
      <c r="S7" s="49">
        <v>232</v>
      </c>
    </row>
    <row r="8" spans="1:19" x14ac:dyDescent="0.25">
      <c r="P8" s="49" t="s">
        <v>2292</v>
      </c>
      <c r="Q8" s="49" t="s">
        <v>2293</v>
      </c>
      <c r="R8" s="49"/>
      <c r="S8" s="50">
        <v>298</v>
      </c>
    </row>
    <row r="9" spans="1:19" x14ac:dyDescent="0.25">
      <c r="A9" s="53" t="s">
        <v>2285</v>
      </c>
      <c r="B9" s="53" t="s">
        <v>2286</v>
      </c>
      <c r="P9" s="49" t="s">
        <v>2294</v>
      </c>
      <c r="Q9" s="49" t="s">
        <v>2295</v>
      </c>
      <c r="R9" s="49"/>
      <c r="S9" s="49">
        <v>48</v>
      </c>
    </row>
    <row r="10" spans="1:19" x14ac:dyDescent="0.25">
      <c r="A10" s="49" t="s">
        <v>2287</v>
      </c>
      <c r="B10" s="49" t="s">
        <v>2288</v>
      </c>
    </row>
    <row r="11" spans="1:19" x14ac:dyDescent="0.25">
      <c r="A11" s="49" t="s">
        <v>2289</v>
      </c>
      <c r="B11" s="49" t="s">
        <v>2284</v>
      </c>
    </row>
    <row r="12" spans="1:19" x14ac:dyDescent="0.25">
      <c r="A12" s="49" t="s">
        <v>2290</v>
      </c>
      <c r="B12" s="49" t="s">
        <v>2291</v>
      </c>
    </row>
    <row r="13" spans="1:19" x14ac:dyDescent="0.25">
      <c r="A13" s="49" t="s">
        <v>2292</v>
      </c>
      <c r="B13" s="49" t="s">
        <v>2293</v>
      </c>
    </row>
    <row r="14" spans="1:19" x14ac:dyDescent="0.25">
      <c r="A14" s="49" t="s">
        <v>2294</v>
      </c>
      <c r="B14" s="49" t="s">
        <v>2295</v>
      </c>
      <c r="N14" s="47"/>
      <c r="O14" s="47"/>
      <c r="P14" s="47"/>
      <c r="Q14" s="47"/>
      <c r="R14" s="47"/>
    </row>
    <row r="15" spans="1:19" x14ac:dyDescent="0.25">
      <c r="N15" s="47"/>
      <c r="O15" s="48"/>
      <c r="P15" s="48"/>
      <c r="Q15" s="48"/>
      <c r="R15" s="47"/>
    </row>
    <row r="16" spans="1:19" x14ac:dyDescent="0.25">
      <c r="N16" s="47"/>
      <c r="O16" s="47"/>
      <c r="P16" s="47"/>
      <c r="Q16" s="47"/>
      <c r="R16" s="47"/>
    </row>
    <row r="17" spans="1:1" x14ac:dyDescent="0.25">
      <c r="A17" s="52" t="s">
        <v>2299</v>
      </c>
    </row>
    <row r="18" spans="1:1" x14ac:dyDescent="0.25">
      <c r="A18" s="51" t="s">
        <v>2297</v>
      </c>
    </row>
    <row r="19" spans="1:1" x14ac:dyDescent="0.25">
      <c r="A19" s="51" t="s">
        <v>2298</v>
      </c>
    </row>
  </sheetData>
  <hyperlinks>
    <hyperlink ref="A18" r:id="rId1" display="https://www.nyc.gov/site/hpd/services-and-information/area-median-income.page" xr:uid="{4EE62519-236D-8445-A02F-11608752AFB0}"/>
    <hyperlink ref="A19" r:id="rId2" display="https://data.cityofnewyork.us/Housing-Development/Affordable-Housing-Production-by-Project/hq68-rnsi/about_data" xr:uid="{0FA55BDE-5E64-A840-94A9-4A13737BB8A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8" sqref="B8"/>
    </sheetView>
  </sheetViews>
  <sheetFormatPr baseColWidth="10" defaultRowHeight="15" x14ac:dyDescent="0.2"/>
  <cols>
    <col min="1" max="1" width="15.5" bestFit="1" customWidth="1"/>
    <col min="2" max="2" width="22.6640625" bestFit="1" customWidth="1"/>
  </cols>
  <sheetData>
    <row r="1" spans="1:2" x14ac:dyDescent="0.2">
      <c r="A1" t="s">
        <v>2233</v>
      </c>
      <c r="B1" t="s">
        <v>2234</v>
      </c>
    </row>
    <row r="2" spans="1:2" x14ac:dyDescent="0.2">
      <c r="A2">
        <v>101</v>
      </c>
      <c r="B2" s="5">
        <v>198945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E47" sqref="E47"/>
    </sheetView>
  </sheetViews>
  <sheetFormatPr baseColWidth="10" defaultRowHeight="15" x14ac:dyDescent="0.2"/>
  <cols>
    <col min="2" max="4" width="22.6640625" bestFit="1" customWidth="1"/>
    <col min="5" max="5" width="24.33203125" bestFit="1" customWidth="1"/>
  </cols>
  <sheetData>
    <row r="1" spans="1:6" ht="16" customHeight="1" x14ac:dyDescent="0.2">
      <c r="A1" s="17" t="s">
        <v>2235</v>
      </c>
      <c r="B1" s="17" t="s">
        <v>2236</v>
      </c>
      <c r="C1" s="17" t="s">
        <v>2237</v>
      </c>
      <c r="D1" s="17" t="s">
        <v>2238</v>
      </c>
      <c r="E1" s="17" t="s">
        <v>2239</v>
      </c>
    </row>
    <row r="2" spans="1:6" ht="16" customHeight="1" x14ac:dyDescent="0.2">
      <c r="A2" s="12">
        <v>0.3</v>
      </c>
      <c r="B2" s="9" t="s">
        <v>2240</v>
      </c>
      <c r="C2" s="10">
        <v>38880</v>
      </c>
      <c r="D2" s="10" t="s">
        <v>2241</v>
      </c>
      <c r="E2" s="10">
        <v>48600</v>
      </c>
    </row>
    <row r="3" spans="1:6" ht="19" customHeight="1" x14ac:dyDescent="0.25">
      <c r="A3" s="13">
        <v>0.4</v>
      </c>
      <c r="B3" s="14">
        <v>45360</v>
      </c>
      <c r="C3" s="14" t="s">
        <v>2242</v>
      </c>
      <c r="D3" s="15">
        <v>58320</v>
      </c>
      <c r="E3" s="14">
        <v>64800</v>
      </c>
    </row>
    <row r="4" spans="1:6" ht="19" customHeight="1" x14ac:dyDescent="0.25">
      <c r="A4" s="13">
        <v>0.5</v>
      </c>
      <c r="B4" s="15">
        <v>56700</v>
      </c>
      <c r="C4" s="14" t="s">
        <v>2243</v>
      </c>
      <c r="D4" s="14">
        <v>72900</v>
      </c>
      <c r="E4" s="14">
        <v>81000</v>
      </c>
    </row>
    <row r="5" spans="1:6" ht="19" customHeight="1" x14ac:dyDescent="0.25">
      <c r="A5" s="13">
        <v>0.6</v>
      </c>
      <c r="B5" s="14" t="s">
        <v>2244</v>
      </c>
      <c r="C5" s="14">
        <v>77760</v>
      </c>
      <c r="D5" s="14">
        <v>87480</v>
      </c>
      <c r="E5" s="15">
        <v>97200</v>
      </c>
    </row>
    <row r="6" spans="1:6" ht="19" customHeight="1" x14ac:dyDescent="0.25">
      <c r="A6" s="13">
        <v>0.7</v>
      </c>
      <c r="B6" s="15">
        <v>79380</v>
      </c>
      <c r="C6" s="14" t="s">
        <v>2245</v>
      </c>
      <c r="D6" s="14" t="s">
        <v>2246</v>
      </c>
      <c r="E6" s="14">
        <v>113400</v>
      </c>
    </row>
    <row r="7" spans="1:6" ht="19" customHeight="1" x14ac:dyDescent="0.25">
      <c r="A7" s="13">
        <v>0.8</v>
      </c>
      <c r="B7" s="14">
        <v>90720</v>
      </c>
      <c r="C7" s="14">
        <v>103680</v>
      </c>
      <c r="D7" s="14">
        <v>116640</v>
      </c>
      <c r="E7" s="14" t="s">
        <v>2247</v>
      </c>
    </row>
    <row r="8" spans="1:6" ht="19" customHeight="1" x14ac:dyDescent="0.25">
      <c r="A8" s="13">
        <v>0.9</v>
      </c>
      <c r="B8" s="14" t="s">
        <v>2246</v>
      </c>
      <c r="C8" s="15">
        <v>116640</v>
      </c>
      <c r="D8" s="14">
        <v>131220</v>
      </c>
      <c r="E8" s="15">
        <v>145800</v>
      </c>
    </row>
    <row r="9" spans="1:6" ht="21" customHeight="1" x14ac:dyDescent="0.25">
      <c r="A9" s="13">
        <v>1</v>
      </c>
      <c r="B9" s="14">
        <v>113400</v>
      </c>
      <c r="C9" s="14" t="s">
        <v>2247</v>
      </c>
      <c r="D9" s="14">
        <v>145800</v>
      </c>
      <c r="E9" s="15">
        <v>162000</v>
      </c>
      <c r="F9" s="7"/>
    </row>
    <row r="10" spans="1:6" ht="19" customHeight="1" x14ac:dyDescent="0.25">
      <c r="A10" s="13">
        <v>1.1000000000000001</v>
      </c>
      <c r="B10" s="15">
        <v>124740</v>
      </c>
      <c r="C10" s="14">
        <v>142560</v>
      </c>
      <c r="D10" s="14">
        <v>160380</v>
      </c>
      <c r="E10" s="14">
        <v>178200</v>
      </c>
    </row>
    <row r="11" spans="1:6" ht="19" customHeight="1" x14ac:dyDescent="0.25">
      <c r="A11" s="13">
        <v>1.2</v>
      </c>
      <c r="B11" s="15">
        <v>136080</v>
      </c>
      <c r="C11" s="15">
        <v>155520</v>
      </c>
      <c r="D11" s="14">
        <v>174960</v>
      </c>
      <c r="E11" s="14">
        <v>194400</v>
      </c>
    </row>
    <row r="12" spans="1:6" ht="19" customHeight="1" x14ac:dyDescent="0.25">
      <c r="A12" s="13">
        <v>1.3</v>
      </c>
      <c r="B12" s="16"/>
      <c r="C12" s="16"/>
      <c r="D12" s="16"/>
      <c r="E12" s="16"/>
    </row>
    <row r="13" spans="1:6" ht="19" customHeight="1" x14ac:dyDescent="0.25">
      <c r="A13" s="13">
        <v>1.65</v>
      </c>
      <c r="B13" s="16"/>
      <c r="C13" s="16"/>
      <c r="D13" s="16"/>
      <c r="E13" s="16"/>
    </row>
    <row r="14" spans="1:6" ht="16" customHeight="1" x14ac:dyDescent="0.2">
      <c r="A14" s="11"/>
      <c r="B14" s="11"/>
      <c r="C14" s="11"/>
      <c r="D14" s="11"/>
      <c r="E14" s="11"/>
    </row>
    <row r="15" spans="1:6" ht="16" customHeight="1" x14ac:dyDescent="0.2">
      <c r="A15" s="8"/>
      <c r="B15" s="8"/>
      <c r="C15" s="8"/>
      <c r="D15" s="8"/>
      <c r="E1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E47" sqref="E47"/>
    </sheetView>
  </sheetViews>
  <sheetFormatPr baseColWidth="10" defaultRowHeight="15" x14ac:dyDescent="0.2"/>
  <cols>
    <col min="2" max="4" width="22.6640625" bestFit="1" customWidth="1"/>
    <col min="5" max="5" width="24.33203125" bestFit="1" customWidth="1"/>
  </cols>
  <sheetData>
    <row r="1" spans="1:7" ht="16" customHeight="1" x14ac:dyDescent="0.2">
      <c r="A1" s="17" t="s">
        <v>2235</v>
      </c>
      <c r="B1" s="17" t="s">
        <v>2236</v>
      </c>
      <c r="C1" s="17" t="s">
        <v>2237</v>
      </c>
      <c r="D1" s="17" t="s">
        <v>2238</v>
      </c>
      <c r="E1" s="17" t="s">
        <v>2239</v>
      </c>
    </row>
    <row r="2" spans="1:7" ht="16" customHeight="1" x14ac:dyDescent="0.2">
      <c r="A2" s="12">
        <v>0.3</v>
      </c>
      <c r="B2" s="20">
        <v>34020</v>
      </c>
      <c r="C2" s="19">
        <v>38880</v>
      </c>
      <c r="D2" s="19">
        <v>43740</v>
      </c>
      <c r="E2" s="10">
        <v>48600</v>
      </c>
    </row>
    <row r="3" spans="1:7" ht="19" customHeight="1" x14ac:dyDescent="0.25">
      <c r="A3" s="13">
        <v>0.4</v>
      </c>
      <c r="B3" s="14">
        <v>45360</v>
      </c>
      <c r="C3" s="14">
        <v>51840</v>
      </c>
      <c r="D3" s="15">
        <v>58320</v>
      </c>
      <c r="E3" s="14">
        <v>64800</v>
      </c>
      <c r="G3" t="s">
        <v>2248</v>
      </c>
    </row>
    <row r="4" spans="1:7" ht="19" customHeight="1" x14ac:dyDescent="0.25">
      <c r="A4" s="13">
        <v>0.6</v>
      </c>
      <c r="B4" s="14">
        <v>68040</v>
      </c>
      <c r="C4" s="14">
        <v>77760</v>
      </c>
      <c r="D4" s="14">
        <v>87480</v>
      </c>
      <c r="E4" s="15">
        <v>97200</v>
      </c>
    </row>
    <row r="5" spans="1:7" ht="19" customHeight="1" x14ac:dyDescent="0.25">
      <c r="A5" s="13">
        <v>0.8</v>
      </c>
      <c r="B5" s="14">
        <v>90720</v>
      </c>
      <c r="C5" s="14">
        <v>103680</v>
      </c>
      <c r="D5" s="14">
        <v>116640</v>
      </c>
      <c r="E5" s="21">
        <v>129600</v>
      </c>
    </row>
    <row r="6" spans="1:7" ht="19" customHeight="1" x14ac:dyDescent="0.25">
      <c r="A6" s="13">
        <v>1.2</v>
      </c>
      <c r="B6" s="15">
        <v>136080</v>
      </c>
      <c r="C6" s="15">
        <v>155520</v>
      </c>
      <c r="D6" s="14">
        <v>174960</v>
      </c>
      <c r="E6" s="14">
        <v>194400</v>
      </c>
    </row>
    <row r="7" spans="1:7" ht="19" customHeight="1" x14ac:dyDescent="0.25">
      <c r="A7" s="13"/>
      <c r="B7" s="16"/>
      <c r="C7" s="16"/>
      <c r="D7" s="16"/>
      <c r="E7" s="16"/>
    </row>
    <row r="8" spans="1:7" ht="19" customHeight="1" x14ac:dyDescent="0.25">
      <c r="A8" s="13"/>
      <c r="B8" s="16"/>
      <c r="C8" s="16"/>
      <c r="D8" s="16"/>
      <c r="E8" s="16"/>
    </row>
    <row r="9" spans="1:7" ht="16" customHeight="1" x14ac:dyDescent="0.2">
      <c r="A9" s="11"/>
      <c r="B9" s="11"/>
      <c r="C9" s="11"/>
      <c r="D9" s="11"/>
      <c r="E9" s="11"/>
    </row>
    <row r="10" spans="1:7" ht="16" customHeight="1" x14ac:dyDescent="0.2">
      <c r="A10" s="8"/>
      <c r="B10" s="8"/>
      <c r="C10" s="8"/>
      <c r="D10" s="8"/>
      <c r="E1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zoomScale="164" zoomScaleNormal="164" workbookViewId="0">
      <selection activeCell="E47" sqref="E47"/>
    </sheetView>
  </sheetViews>
  <sheetFormatPr baseColWidth="10" defaultRowHeight="15" x14ac:dyDescent="0.2"/>
  <cols>
    <col min="1" max="2" width="11" bestFit="1" customWidth="1"/>
    <col min="3" max="3" width="13.5" bestFit="1" customWidth="1"/>
    <col min="4" max="6" width="13.1640625" bestFit="1" customWidth="1"/>
    <col min="7" max="7" width="14.1640625" bestFit="1" customWidth="1"/>
    <col min="8" max="8" width="14.33203125" bestFit="1" customWidth="1"/>
    <col min="9" max="11" width="13.1640625" bestFit="1" customWidth="1"/>
    <col min="12" max="12" width="25.6640625" bestFit="1" customWidth="1"/>
    <col min="13" max="13" width="22.83203125" bestFit="1" customWidth="1"/>
    <col min="14" max="14" width="11.1640625" bestFit="1" customWidth="1"/>
  </cols>
  <sheetData>
    <row r="1" spans="1:14" x14ac:dyDescent="0.2">
      <c r="A1" t="s">
        <v>2235</v>
      </c>
      <c r="B1" t="s">
        <v>2249</v>
      </c>
      <c r="C1" t="s">
        <v>2250</v>
      </c>
      <c r="D1" t="s">
        <v>2251</v>
      </c>
      <c r="E1" t="s">
        <v>2252</v>
      </c>
      <c r="F1" t="s">
        <v>2253</v>
      </c>
      <c r="G1" t="s">
        <v>2254</v>
      </c>
      <c r="H1" t="s">
        <v>2255</v>
      </c>
      <c r="I1" t="s">
        <v>2256</v>
      </c>
      <c r="J1" t="s">
        <v>2257</v>
      </c>
      <c r="K1" t="s">
        <v>2258</v>
      </c>
      <c r="L1" s="37" t="s">
        <v>2259</v>
      </c>
      <c r="M1" s="37" t="s">
        <v>2260</v>
      </c>
      <c r="N1" s="37" t="s">
        <v>2262</v>
      </c>
    </row>
    <row r="2" spans="1:14" ht="16" customHeight="1" x14ac:dyDescent="0.2">
      <c r="A2" s="27">
        <v>0.3</v>
      </c>
      <c r="B2" s="28">
        <f>SUM(HNY_CB1_raw1!D2:D8)</f>
        <v>86</v>
      </c>
      <c r="C2" s="29">
        <f>VLOOKUP(101, CB_income!$A$2:$B$2, 2, FALSE)</f>
        <v>198945</v>
      </c>
      <c r="D2" s="30">
        <f>VLOOKUP(A2,AMI_reference!$A$2:$E$7, 2, FALSE)</f>
        <v>34020</v>
      </c>
      <c r="E2" s="30">
        <f>VLOOKUP(A2,AMI_reference!$A$2:$E$7, 3, FALSE)</f>
        <v>38880</v>
      </c>
      <c r="F2" s="29">
        <f>VLOOKUP(A2, AMI_reference!$A$2:$E$7, 4, FALSE)</f>
        <v>43740</v>
      </c>
      <c r="G2" s="31">
        <f>VLOOKUP(A2,AMI_reference!$A$2:$E$7, 5, FALSE)</f>
        <v>48600</v>
      </c>
      <c r="H2" s="32">
        <f>C2-D2</f>
        <v>164925</v>
      </c>
      <c r="I2" s="33">
        <f>C2-E2</f>
        <v>160065</v>
      </c>
      <c r="J2" s="33">
        <f>C2-F2</f>
        <v>155205</v>
      </c>
      <c r="K2" s="33">
        <f>C2-G2</f>
        <v>150345</v>
      </c>
      <c r="L2" s="38">
        <f>VLOOKUP(A2,AMI_rent_2BR!$A$2:$B$13,2,FALSE)</f>
        <v>1093</v>
      </c>
      <c r="M2" s="38">
        <f>C2*0.3/12</f>
        <v>4973.625</v>
      </c>
      <c r="N2" s="38">
        <f>M2-L2</f>
        <v>3880.625</v>
      </c>
    </row>
    <row r="3" spans="1:14" ht="19" customHeight="1" x14ac:dyDescent="0.2">
      <c r="A3" s="27">
        <v>0.4</v>
      </c>
      <c r="B3" s="28">
        <f>SUM(HNY_CB1_raw1!E2:E7)</f>
        <v>108</v>
      </c>
      <c r="C3" s="29">
        <f>VLOOKUP(101, CB_income!$A$2:$B$2, 2, FALSE)</f>
        <v>198945</v>
      </c>
      <c r="D3" s="30">
        <f>VLOOKUP(A3,AMI_reference!$A$2:$E$7, 2, FALSE)</f>
        <v>45360</v>
      </c>
      <c r="E3" s="30">
        <f>VLOOKUP(A3,AMI_reference!$A$2:$E$7, 3, FALSE)</f>
        <v>51840</v>
      </c>
      <c r="F3" s="29">
        <f>VLOOKUP(A3, AMI_reference!$A$2:$E$7, 4, FALSE)</f>
        <v>58320</v>
      </c>
      <c r="G3" s="31">
        <f>VLOOKUP(A3,AMI_reference!$A$2:$E$7, 5, FALSE)</f>
        <v>64800</v>
      </c>
      <c r="H3" s="33">
        <f>C3-D3</f>
        <v>153585</v>
      </c>
      <c r="I3" s="33">
        <f>C3-E3</f>
        <v>147105</v>
      </c>
      <c r="J3" s="33">
        <f>C3-F3</f>
        <v>140625</v>
      </c>
      <c r="K3" s="33">
        <f>C3-G3</f>
        <v>134145</v>
      </c>
      <c r="L3" s="38">
        <f>VLOOKUP(A3,AMI_rent_2BR!$A$2:$B$13,2,FALSE)</f>
        <v>1458</v>
      </c>
      <c r="M3" s="38">
        <f>C3*A3/12</f>
        <v>6631.5</v>
      </c>
      <c r="N3" s="38">
        <f t="shared" ref="N3:N6" si="0">M3-L3</f>
        <v>5173.5</v>
      </c>
    </row>
    <row r="4" spans="1:14" ht="19" customHeight="1" x14ac:dyDescent="0.2">
      <c r="A4" s="27">
        <v>0.6</v>
      </c>
      <c r="B4" s="28">
        <f>SUM(HNY_CB1_raw1!F2:F8)</f>
        <v>232</v>
      </c>
      <c r="C4" s="29">
        <f>VLOOKUP(101, CB_income!$A$2:$B$2, 2, FALSE)</f>
        <v>198945</v>
      </c>
      <c r="D4" s="30">
        <f>VLOOKUP(A4,AMI_reference!$A$2:$E$7, 2, FALSE)</f>
        <v>68040</v>
      </c>
      <c r="E4" s="30">
        <f>VLOOKUP(A4,AMI_reference!$A$2:$E$7, 3, FALSE)</f>
        <v>77760</v>
      </c>
      <c r="F4" s="29">
        <f>VLOOKUP(A4, AMI_reference!$A$2:$E$7, 4, FALSE)</f>
        <v>87480</v>
      </c>
      <c r="G4" s="31">
        <f>VLOOKUP(A4,AMI_reference!$A$2:$E$7, 5, FALSE)</f>
        <v>97200</v>
      </c>
      <c r="H4" s="35">
        <f>C4-D4</f>
        <v>130905</v>
      </c>
      <c r="I4" s="33">
        <f>C4-E4</f>
        <v>121185</v>
      </c>
      <c r="J4" s="33">
        <f>C4-F4</f>
        <v>111465</v>
      </c>
      <c r="K4" s="33">
        <f>C4-G4</f>
        <v>101745</v>
      </c>
      <c r="L4" s="38">
        <f>VLOOKUP(A4,AMI_rent_2BR!$A$2:$B$13,2,FALSE)</f>
        <v>2187</v>
      </c>
      <c r="M4" s="38">
        <f>C4*A4/12</f>
        <v>9947.25</v>
      </c>
      <c r="N4" s="38">
        <f t="shared" si="0"/>
        <v>7760.25</v>
      </c>
    </row>
    <row r="5" spans="1:14" ht="19" customHeight="1" x14ac:dyDescent="0.2">
      <c r="A5" s="27">
        <v>0.8</v>
      </c>
      <c r="B5" s="28">
        <f>SUM(HNY_CB1_raw1!G2:G8)</f>
        <v>298</v>
      </c>
      <c r="C5" s="29">
        <f>VLOOKUP(101, CB_income!$A$2:$B$2, 2, FALSE)</f>
        <v>198945</v>
      </c>
      <c r="D5" s="30">
        <f>VLOOKUP(A5,AMI_reference!$A$2:$E$7, 2, FALSE)</f>
        <v>90720</v>
      </c>
      <c r="E5" s="30">
        <f>VLOOKUP(A5,AMI_reference!$A$2:$E$7, 3, FALSE)</f>
        <v>103680</v>
      </c>
      <c r="F5" s="29">
        <f>VLOOKUP(A5, AMI_reference!$A$2:$E$7, 4, FALSE)</f>
        <v>116640</v>
      </c>
      <c r="G5" s="31">
        <f>VLOOKUP(A5,AMI_reference!$A$2:$E$7, 5, FALSE)</f>
        <v>129600</v>
      </c>
      <c r="H5" s="33">
        <f>C5-D5</f>
        <v>108225</v>
      </c>
      <c r="I5" s="33">
        <f>C5-E5</f>
        <v>95265</v>
      </c>
      <c r="J5" s="33">
        <f>C5-F5</f>
        <v>82305</v>
      </c>
      <c r="K5" s="33">
        <f>C5-G5</f>
        <v>69345</v>
      </c>
      <c r="L5" s="38">
        <f>VLOOKUP(A5,AMI_rent_2BR!$A$2:$B$13,2,FALSE)</f>
        <v>2916</v>
      </c>
      <c r="M5" s="38">
        <f>C5*A5/12</f>
        <v>13263</v>
      </c>
      <c r="N5" s="38">
        <f t="shared" si="0"/>
        <v>10347</v>
      </c>
    </row>
    <row r="6" spans="1:14" ht="19" customHeight="1" x14ac:dyDescent="0.2">
      <c r="A6" s="27">
        <v>1.2</v>
      </c>
      <c r="B6" s="28">
        <f>SUM(HNY_CB1_raw1!H2:H8)</f>
        <v>48</v>
      </c>
      <c r="C6" s="29">
        <f>VLOOKUP(101, CB_income!$A$2:$B$2, 2, FALSE)</f>
        <v>198945</v>
      </c>
      <c r="D6" s="30">
        <f>VLOOKUP(A6,AMI_reference!$A$2:$E$7, 2, FALSE)</f>
        <v>136080</v>
      </c>
      <c r="E6" s="30">
        <f>VLOOKUP(A6,AMI_reference!$A$2:$E$7, 3, FALSE)</f>
        <v>155520</v>
      </c>
      <c r="F6" s="29">
        <f>VLOOKUP(A6, AMI_reference!$A$2:$E$7, 4, FALSE)</f>
        <v>174960</v>
      </c>
      <c r="G6" s="31">
        <f>VLOOKUP(A6,AMI_reference!$A$2:$E$7, 5, FALSE)</f>
        <v>194400</v>
      </c>
      <c r="H6" s="33">
        <f>C6-D6</f>
        <v>62865</v>
      </c>
      <c r="I6" s="33">
        <f>C6-E6</f>
        <v>43425</v>
      </c>
      <c r="J6" s="33">
        <f>C6-F6</f>
        <v>23985</v>
      </c>
      <c r="K6" s="33">
        <f>C6-G6</f>
        <v>4545</v>
      </c>
      <c r="L6" s="38">
        <f>VLOOKUP(A6,AMI_rent_2BR!$A$2:$B$13,2,FALSE)</f>
        <v>4374</v>
      </c>
      <c r="M6" s="38">
        <f>C6*A6/12</f>
        <v>19894.5</v>
      </c>
      <c r="N6" s="38">
        <f t="shared" si="0"/>
        <v>15520.5</v>
      </c>
    </row>
    <row r="7" spans="1:14" ht="16" x14ac:dyDescent="0.2">
      <c r="A7" s="27"/>
      <c r="B7" s="34"/>
      <c r="C7" s="34"/>
      <c r="D7" s="34"/>
      <c r="E7" s="34"/>
      <c r="F7" s="34"/>
      <c r="G7" s="36"/>
      <c r="H7" s="34"/>
      <c r="I7" s="34"/>
      <c r="J7" s="34"/>
      <c r="K7" s="34"/>
      <c r="L7" s="34"/>
    </row>
    <row r="8" spans="1:14" x14ac:dyDescent="0.2">
      <c r="A8" s="6"/>
    </row>
    <row r="9" spans="1:14" x14ac:dyDescent="0.2">
      <c r="A9" s="6"/>
    </row>
    <row r="10" spans="1:14" x14ac:dyDescent="0.2">
      <c r="A10" s="6"/>
    </row>
    <row r="11" spans="1:14" x14ac:dyDescent="0.2">
      <c r="A11" s="6"/>
    </row>
    <row r="12" spans="1:14" x14ac:dyDescent="0.2">
      <c r="M12" t="s">
        <v>2263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FFA6-C7A9-7B4B-AB93-1B9365B02502}">
  <dimension ref="A1:M17"/>
  <sheetViews>
    <sheetView workbookViewId="0">
      <selection activeCell="E47" sqref="E47"/>
    </sheetView>
  </sheetViews>
  <sheetFormatPr baseColWidth="10" defaultRowHeight="15" x14ac:dyDescent="0.2"/>
  <cols>
    <col min="1" max="1" width="20" bestFit="1" customWidth="1"/>
    <col min="2" max="5" width="13.1640625" bestFit="1" customWidth="1"/>
    <col min="6" max="8" width="13.33203125" bestFit="1" customWidth="1"/>
    <col min="9" max="13" width="14.6640625" bestFit="1" customWidth="1"/>
  </cols>
  <sheetData>
    <row r="1" spans="1:13" x14ac:dyDescent="0.2">
      <c r="A1" t="s">
        <v>2281</v>
      </c>
    </row>
    <row r="3" spans="1:13" ht="20" x14ac:dyDescent="0.2">
      <c r="A3" s="41" t="s">
        <v>2264</v>
      </c>
      <c r="B3" s="40" t="s">
        <v>2265</v>
      </c>
      <c r="C3" s="40" t="s">
        <v>2266</v>
      </c>
      <c r="D3" s="40" t="s">
        <v>2267</v>
      </c>
      <c r="E3" s="40" t="s">
        <v>2268</v>
      </c>
      <c r="F3" s="40" t="s">
        <v>2269</v>
      </c>
      <c r="G3" s="40" t="s">
        <v>2270</v>
      </c>
      <c r="H3" s="40" t="s">
        <v>2271</v>
      </c>
      <c r="I3" s="40" t="s">
        <v>2272</v>
      </c>
      <c r="J3" s="40" t="s">
        <v>2273</v>
      </c>
      <c r="K3" s="40" t="s">
        <v>2274</v>
      </c>
      <c r="L3" s="40" t="s">
        <v>2275</v>
      </c>
      <c r="M3" s="40" t="s">
        <v>2276</v>
      </c>
    </row>
    <row r="4" spans="1:13" ht="20" x14ac:dyDescent="0.2">
      <c r="A4" s="40" t="s">
        <v>2277</v>
      </c>
      <c r="B4" s="39">
        <v>850</v>
      </c>
      <c r="C4" s="39">
        <v>1134</v>
      </c>
      <c r="D4" s="39">
        <v>1417</v>
      </c>
      <c r="E4" s="39">
        <v>1701</v>
      </c>
      <c r="F4" s="39">
        <v>1984</v>
      </c>
      <c r="G4" s="39">
        <v>2268</v>
      </c>
      <c r="H4" s="39">
        <v>2552</v>
      </c>
      <c r="I4" s="39">
        <v>2835</v>
      </c>
      <c r="J4" s="39">
        <v>3119</v>
      </c>
      <c r="K4" s="39">
        <v>3402</v>
      </c>
      <c r="L4" s="39">
        <v>3685</v>
      </c>
      <c r="M4" s="39">
        <v>4678</v>
      </c>
    </row>
    <row r="5" spans="1:13" ht="20" x14ac:dyDescent="0.2">
      <c r="A5" s="40" t="s">
        <v>2278</v>
      </c>
      <c r="B5" s="39">
        <v>911</v>
      </c>
      <c r="C5" s="39">
        <v>1215</v>
      </c>
      <c r="D5" s="39">
        <v>1518</v>
      </c>
      <c r="E5" s="39">
        <v>1822</v>
      </c>
      <c r="F5" s="39">
        <v>2126</v>
      </c>
      <c r="G5" s="39">
        <v>2430</v>
      </c>
      <c r="H5" s="39">
        <v>2733</v>
      </c>
      <c r="I5" s="39">
        <v>3037</v>
      </c>
      <c r="J5" s="39">
        <v>3341</v>
      </c>
      <c r="K5" s="39">
        <v>3644</v>
      </c>
      <c r="L5" s="39">
        <v>3948</v>
      </c>
      <c r="M5" s="39">
        <v>5011</v>
      </c>
    </row>
    <row r="6" spans="1:13" ht="20" x14ac:dyDescent="0.2">
      <c r="A6" s="40" t="s">
        <v>2279</v>
      </c>
      <c r="B6" s="39">
        <v>1093</v>
      </c>
      <c r="C6" s="39">
        <v>1458</v>
      </c>
      <c r="D6" s="39">
        <v>1822</v>
      </c>
      <c r="E6" s="39">
        <v>2187</v>
      </c>
      <c r="F6" s="39">
        <v>2551</v>
      </c>
      <c r="G6" s="39">
        <v>2916</v>
      </c>
      <c r="H6" s="39">
        <v>3281</v>
      </c>
      <c r="I6" s="39">
        <v>3645</v>
      </c>
      <c r="J6" s="39">
        <v>4010</v>
      </c>
      <c r="K6" s="39">
        <v>4374</v>
      </c>
      <c r="L6" s="39">
        <v>4738</v>
      </c>
      <c r="M6" s="39">
        <v>6014</v>
      </c>
    </row>
    <row r="13" spans="1:13" ht="20" x14ac:dyDescent="0.2">
      <c r="A13" s="40" t="s">
        <v>2280</v>
      </c>
      <c r="B13" s="42">
        <v>0.3</v>
      </c>
      <c r="C13" s="42">
        <v>0.4</v>
      </c>
      <c r="D13" s="42">
        <v>0.5</v>
      </c>
      <c r="E13" s="42">
        <v>0.6</v>
      </c>
      <c r="F13" s="42">
        <v>0.7</v>
      </c>
      <c r="G13" s="42">
        <v>0.8</v>
      </c>
      <c r="H13" s="42">
        <v>0.9</v>
      </c>
      <c r="I13" s="42">
        <v>1</v>
      </c>
      <c r="J13" s="42">
        <v>1.1000000000000001</v>
      </c>
      <c r="K13" s="42">
        <v>1.2</v>
      </c>
      <c r="L13" s="42">
        <v>1.3</v>
      </c>
      <c r="M13" s="42">
        <v>1.65</v>
      </c>
    </row>
    <row r="14" spans="1:13" ht="20" x14ac:dyDescent="0.2">
      <c r="A14" s="43">
        <v>1</v>
      </c>
      <c r="B14" s="44">
        <v>34020</v>
      </c>
      <c r="C14" s="44">
        <v>45360</v>
      </c>
      <c r="D14" s="44">
        <v>56700</v>
      </c>
      <c r="E14" s="44">
        <v>68040</v>
      </c>
      <c r="F14" s="44">
        <v>79380</v>
      </c>
      <c r="G14" s="44">
        <v>90720</v>
      </c>
      <c r="H14" s="44">
        <v>102060</v>
      </c>
      <c r="I14" s="44">
        <v>113400</v>
      </c>
      <c r="J14" s="44">
        <v>124740</v>
      </c>
      <c r="K14" s="44">
        <v>136080</v>
      </c>
      <c r="L14" s="44">
        <v>147420</v>
      </c>
      <c r="M14" s="44">
        <v>187110</v>
      </c>
    </row>
    <row r="15" spans="1:13" ht="20" x14ac:dyDescent="0.2">
      <c r="A15" s="43">
        <v>2</v>
      </c>
      <c r="B15" s="44">
        <v>38880</v>
      </c>
      <c r="C15" s="44">
        <v>51840</v>
      </c>
      <c r="D15" s="44">
        <v>64800</v>
      </c>
      <c r="E15" s="44">
        <v>77760</v>
      </c>
      <c r="F15" s="44">
        <v>90720</v>
      </c>
      <c r="G15" s="44">
        <v>103680</v>
      </c>
      <c r="H15" s="44">
        <v>116640</v>
      </c>
      <c r="I15" s="44">
        <v>129600</v>
      </c>
      <c r="J15" s="44">
        <v>142560</v>
      </c>
      <c r="K15" s="44">
        <v>155520</v>
      </c>
      <c r="L15" s="44">
        <v>168480</v>
      </c>
      <c r="M15" s="44">
        <v>213840</v>
      </c>
    </row>
    <row r="16" spans="1:13" ht="20" x14ac:dyDescent="0.2">
      <c r="A16" s="43">
        <v>3</v>
      </c>
      <c r="B16" s="44">
        <v>43740</v>
      </c>
      <c r="C16" s="44">
        <v>58320</v>
      </c>
      <c r="D16" s="44">
        <v>72900</v>
      </c>
      <c r="E16" s="44">
        <v>87480</v>
      </c>
      <c r="F16" s="44">
        <v>102060</v>
      </c>
      <c r="G16" s="44">
        <v>116640</v>
      </c>
      <c r="H16" s="44">
        <v>131220</v>
      </c>
      <c r="I16" s="44">
        <v>145800</v>
      </c>
      <c r="J16" s="44">
        <v>160380</v>
      </c>
      <c r="K16" s="44">
        <v>174960</v>
      </c>
      <c r="L16" s="44">
        <v>189540</v>
      </c>
      <c r="M16" s="44">
        <v>240570</v>
      </c>
    </row>
    <row r="17" spans="1:13" ht="20" x14ac:dyDescent="0.2">
      <c r="A17" s="43">
        <v>4</v>
      </c>
      <c r="B17" s="44">
        <v>48600</v>
      </c>
      <c r="C17" s="44">
        <v>64800</v>
      </c>
      <c r="D17" s="44">
        <v>81000</v>
      </c>
      <c r="E17" s="44">
        <v>97200</v>
      </c>
      <c r="F17" s="44">
        <v>113400</v>
      </c>
      <c r="G17" s="44">
        <v>129600</v>
      </c>
      <c r="H17" s="44">
        <v>145800</v>
      </c>
      <c r="I17" s="44">
        <v>162000</v>
      </c>
      <c r="J17" s="44">
        <v>178200</v>
      </c>
      <c r="K17" s="44">
        <v>194400</v>
      </c>
      <c r="L17" s="44">
        <v>210600</v>
      </c>
      <c r="M17" s="44">
        <v>267300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="171" zoomScaleNormal="171" workbookViewId="0">
      <selection activeCell="E47" sqref="E47"/>
    </sheetView>
  </sheetViews>
  <sheetFormatPr baseColWidth="10" defaultColWidth="8.83203125" defaultRowHeight="15" x14ac:dyDescent="0.2"/>
  <cols>
    <col min="1" max="1" width="22.33203125" customWidth="1"/>
    <col min="2" max="3" width="22.6640625" customWidth="1"/>
    <col min="4" max="4" width="22.6640625" bestFit="1" customWidth="1"/>
    <col min="5" max="5" width="22.6640625" hidden="1" customWidth="1"/>
  </cols>
  <sheetData>
    <row r="1" spans="1:5" x14ac:dyDescent="0.2">
      <c r="A1" s="1" t="s">
        <v>2235</v>
      </c>
      <c r="B1" s="1" t="s">
        <v>2236</v>
      </c>
      <c r="C1" s="1" t="s">
        <v>2237</v>
      </c>
      <c r="D1" s="1" t="s">
        <v>2238</v>
      </c>
      <c r="E1" s="1" t="s">
        <v>2239</v>
      </c>
    </row>
    <row r="2" spans="1:5" x14ac:dyDescent="0.2">
      <c r="A2" s="25">
        <v>0.3</v>
      </c>
      <c r="B2" s="26">
        <v>34020</v>
      </c>
      <c r="C2" s="26">
        <v>38880</v>
      </c>
      <c r="D2" s="26">
        <v>43740</v>
      </c>
      <c r="E2" s="26">
        <v>48600</v>
      </c>
    </row>
    <row r="3" spans="1:5" x14ac:dyDescent="0.2">
      <c r="A3" s="25">
        <v>0.4</v>
      </c>
      <c r="B3" s="26">
        <v>45360</v>
      </c>
      <c r="C3" s="26">
        <v>51840</v>
      </c>
      <c r="D3" s="26">
        <v>58320</v>
      </c>
      <c r="E3" s="26">
        <v>64800</v>
      </c>
    </row>
    <row r="4" spans="1:5" x14ac:dyDescent="0.2">
      <c r="A4" s="25">
        <v>0.6</v>
      </c>
      <c r="B4" s="26">
        <v>68040</v>
      </c>
      <c r="C4" s="26">
        <v>77760</v>
      </c>
      <c r="D4" s="26">
        <v>87480</v>
      </c>
      <c r="E4" s="26">
        <v>97200</v>
      </c>
    </row>
    <row r="5" spans="1:5" x14ac:dyDescent="0.2">
      <c r="A5" s="25">
        <v>0.8</v>
      </c>
      <c r="B5" s="26">
        <v>90720</v>
      </c>
      <c r="C5" s="26">
        <v>103680</v>
      </c>
      <c r="D5" s="26">
        <v>116640</v>
      </c>
      <c r="E5" s="26">
        <v>129600</v>
      </c>
    </row>
    <row r="6" spans="1:5" x14ac:dyDescent="0.2">
      <c r="A6" s="25">
        <v>1</v>
      </c>
      <c r="B6" s="26">
        <v>113400</v>
      </c>
      <c r="C6" s="26">
        <v>129600</v>
      </c>
      <c r="D6" s="26">
        <v>145800</v>
      </c>
      <c r="E6" s="26">
        <v>162000</v>
      </c>
    </row>
    <row r="7" spans="1:5" x14ac:dyDescent="0.2">
      <c r="A7" s="25">
        <v>1.2</v>
      </c>
      <c r="B7" s="26">
        <v>136080</v>
      </c>
      <c r="C7" s="26">
        <v>155520</v>
      </c>
      <c r="D7" s="26">
        <v>174960</v>
      </c>
      <c r="E7" s="26">
        <v>194400</v>
      </c>
    </row>
    <row r="8" spans="1:5" x14ac:dyDescent="0.2">
      <c r="A8" s="25"/>
    </row>
    <row r="9" spans="1:5" x14ac:dyDescent="0.2">
      <c r="A9" s="2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zoomScale="163" zoomScaleNormal="163" workbookViewId="0">
      <selection activeCell="E47" sqref="E47"/>
    </sheetView>
  </sheetViews>
  <sheetFormatPr baseColWidth="10" defaultColWidth="8.83203125" defaultRowHeight="15" x14ac:dyDescent="0.2"/>
  <cols>
    <col min="1" max="1" width="11.33203125" customWidth="1"/>
    <col min="2" max="2" width="28.1640625" bestFit="1" customWidth="1"/>
    <col min="3" max="3" width="24.6640625" bestFit="1" customWidth="1"/>
  </cols>
  <sheetData>
    <row r="1" spans="1:4" ht="16" x14ac:dyDescent="0.2">
      <c r="A1" s="17" t="s">
        <v>2235</v>
      </c>
      <c r="B1" s="17" t="s">
        <v>2259</v>
      </c>
      <c r="C1" s="17" t="s">
        <v>2260</v>
      </c>
      <c r="D1" s="22"/>
    </row>
    <row r="2" spans="1:4" ht="16" x14ac:dyDescent="0.2">
      <c r="A2" s="24">
        <f>Summary!A2</f>
        <v>0.3</v>
      </c>
      <c r="B2" s="23">
        <f>Summary!L2</f>
        <v>1093</v>
      </c>
      <c r="C2" s="23">
        <f>Summary!M2</f>
        <v>4973.625</v>
      </c>
      <c r="D2" s="22"/>
    </row>
    <row r="3" spans="1:4" ht="16" x14ac:dyDescent="0.2">
      <c r="A3" s="24">
        <f>Summary!A3</f>
        <v>0.4</v>
      </c>
      <c r="B3" s="23">
        <f>Summary!L3</f>
        <v>1458</v>
      </c>
      <c r="C3" s="23">
        <f>Summary!M3</f>
        <v>6631.5</v>
      </c>
      <c r="D3" s="22"/>
    </row>
    <row r="4" spans="1:4" ht="16" x14ac:dyDescent="0.2">
      <c r="A4" s="24">
        <f>Summary!A4</f>
        <v>0.6</v>
      </c>
      <c r="B4" s="23">
        <f>Summary!L4</f>
        <v>2187</v>
      </c>
      <c r="C4" s="23">
        <f>Summary!M4</f>
        <v>9947.25</v>
      </c>
      <c r="D4" s="22"/>
    </row>
    <row r="5" spans="1:4" ht="16" x14ac:dyDescent="0.2">
      <c r="A5" s="24">
        <f>Summary!A5</f>
        <v>0.8</v>
      </c>
      <c r="B5" s="23">
        <f>Summary!L5</f>
        <v>2916</v>
      </c>
      <c r="C5" s="23">
        <f>Summary!M5</f>
        <v>13263</v>
      </c>
      <c r="D5" s="22"/>
    </row>
    <row r="6" spans="1:4" ht="16" x14ac:dyDescent="0.2">
      <c r="A6" s="24">
        <f>Summary!A6</f>
        <v>1.2</v>
      </c>
      <c r="B6" s="23">
        <f>Summary!L6</f>
        <v>4374</v>
      </c>
      <c r="C6" s="23">
        <f>Summary!M6</f>
        <v>19894.5</v>
      </c>
      <c r="D6" s="22"/>
    </row>
    <row r="7" spans="1:4" ht="16" x14ac:dyDescent="0.2">
      <c r="A7" s="22"/>
      <c r="B7" s="22"/>
      <c r="C7" s="22"/>
      <c r="D7" s="22"/>
    </row>
    <row r="8" spans="1:4" ht="16" x14ac:dyDescent="0.2">
      <c r="A8" s="22"/>
      <c r="B8" s="22"/>
      <c r="C8" s="22"/>
      <c r="D8" s="22"/>
    </row>
    <row r="14" spans="1:4" x14ac:dyDescent="0.2">
      <c r="C14" s="18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3"/>
  <sheetViews>
    <sheetView zoomScale="170" zoomScaleNormal="170" workbookViewId="0">
      <selection activeCell="E47" sqref="E47"/>
    </sheetView>
  </sheetViews>
  <sheetFormatPr baseColWidth="10" defaultColWidth="8.83203125" defaultRowHeight="15" x14ac:dyDescent="0.2"/>
  <cols>
    <col min="2" max="2" width="12.5" bestFit="1" customWidth="1"/>
  </cols>
  <sheetData>
    <row r="1" spans="1:2" x14ac:dyDescent="0.2">
      <c r="A1" s="1" t="s">
        <v>2235</v>
      </c>
      <c r="B1" s="1" t="s">
        <v>2261</v>
      </c>
    </row>
    <row r="2" spans="1:2" x14ac:dyDescent="0.2">
      <c r="A2" s="25">
        <v>0.3</v>
      </c>
      <c r="B2" s="26">
        <v>1093</v>
      </c>
    </row>
    <row r="3" spans="1:2" x14ac:dyDescent="0.2">
      <c r="A3" s="25">
        <v>0.4</v>
      </c>
      <c r="B3" s="26">
        <v>1458</v>
      </c>
    </row>
    <row r="4" spans="1:2" x14ac:dyDescent="0.2">
      <c r="A4" s="25">
        <v>0.5</v>
      </c>
      <c r="B4" s="26">
        <v>1822</v>
      </c>
    </row>
    <row r="5" spans="1:2" x14ac:dyDescent="0.2">
      <c r="A5" s="25">
        <v>0.6</v>
      </c>
      <c r="B5" s="26">
        <v>2187</v>
      </c>
    </row>
    <row r="6" spans="1:2" x14ac:dyDescent="0.2">
      <c r="A6" s="25">
        <v>0.7</v>
      </c>
      <c r="B6" s="26">
        <v>2551</v>
      </c>
    </row>
    <row r="7" spans="1:2" x14ac:dyDescent="0.2">
      <c r="A7" s="25">
        <v>0.8</v>
      </c>
      <c r="B7" s="26">
        <v>2916</v>
      </c>
    </row>
    <row r="8" spans="1:2" x14ac:dyDescent="0.2">
      <c r="A8" s="25">
        <v>0.9</v>
      </c>
      <c r="B8" s="26">
        <v>3281</v>
      </c>
    </row>
    <row r="9" spans="1:2" x14ac:dyDescent="0.2">
      <c r="A9" s="25">
        <v>1</v>
      </c>
      <c r="B9" s="26">
        <v>3645</v>
      </c>
    </row>
    <row r="10" spans="1:2" x14ac:dyDescent="0.2">
      <c r="A10" s="25">
        <v>1.1000000000000001</v>
      </c>
      <c r="B10" s="26">
        <v>4010</v>
      </c>
    </row>
    <row r="11" spans="1:2" x14ac:dyDescent="0.2">
      <c r="A11" s="25">
        <v>1.2</v>
      </c>
      <c r="B11" s="26">
        <v>4374</v>
      </c>
    </row>
    <row r="12" spans="1:2" x14ac:dyDescent="0.2">
      <c r="A12" s="25">
        <v>1.3</v>
      </c>
      <c r="B12" s="26">
        <v>4738</v>
      </c>
    </row>
    <row r="13" spans="1:2" x14ac:dyDescent="0.2">
      <c r="A13" s="25">
        <v>1.65</v>
      </c>
      <c r="B13" s="26">
        <v>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HNY_CB1_filter</vt:lpstr>
      <vt:lpstr>HNY_CB1_raw1</vt:lpstr>
      <vt:lpstr>SUMMARY - FINAL </vt:lpstr>
      <vt:lpstr>CB_income</vt:lpstr>
      <vt:lpstr>AMI_referenc xe</vt:lpstr>
      <vt:lpstr>AMI_reference </vt:lpstr>
      <vt:lpstr>Summary</vt:lpstr>
      <vt:lpstr>New Data</vt:lpstr>
      <vt:lpstr>AMI_reference</vt:lpstr>
      <vt:lpstr>Chart_Data</vt:lpstr>
      <vt:lpstr>AMI_rent_2BR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Baron Carr</cp:lastModifiedBy>
  <dcterms:created xsi:type="dcterms:W3CDTF">2025-11-17T17:30:34Z</dcterms:created>
  <dcterms:modified xsi:type="dcterms:W3CDTF">2025-11-24T00:25:41Z</dcterms:modified>
</cp:coreProperties>
</file>