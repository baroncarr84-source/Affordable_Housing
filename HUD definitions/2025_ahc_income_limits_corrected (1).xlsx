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barona.carr/Desktop/Data/DATA ASSIGNMENT 2/Data Story/untitled folder/"/>
    </mc:Choice>
  </mc:AlternateContent>
  <xr:revisionPtr revIDLastSave="0" documentId="8_{80B1C928-CE32-A04A-9B5D-D060A4130522}" xr6:coauthVersionLast="47" xr6:coauthVersionMax="47" xr10:uidLastSave="{00000000-0000-0000-0000-000000000000}"/>
  <bookViews>
    <workbookView xWindow="0" yWindow="760" windowWidth="19420" windowHeight="10300" activeTab="2" xr2:uid="{00000000-000D-0000-FFFF-FFFF00000000}"/>
  </bookViews>
  <sheets>
    <sheet name="NYMTSP" sheetId="1" r:id="rId1"/>
    <sheet name="Income Limits Table" sheetId="3" r:id="rId2"/>
    <sheet name="Income Limits Defini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3" l="1"/>
  <c r="C7" i="4"/>
  <c r="F12" i="4"/>
  <c r="F8" i="4"/>
  <c r="F7" i="4"/>
  <c r="C4" i="4"/>
  <c r="C8" i="4"/>
  <c r="C10" i="4"/>
  <c r="C9" i="4"/>
  <c r="G57" i="3"/>
  <c r="C20" i="3"/>
  <c r="B20" i="3" s="1"/>
  <c r="J59" i="3"/>
  <c r="K59" i="3"/>
  <c r="C54" i="3"/>
  <c r="B54" i="3" s="1"/>
  <c r="E13" i="3"/>
  <c r="C2" i="3"/>
  <c r="F17" i="3"/>
  <c r="D64" i="3"/>
  <c r="D54" i="3"/>
  <c r="I59" i="3"/>
  <c r="H59" i="3"/>
  <c r="G59" i="3"/>
  <c r="F58" i="3"/>
  <c r="E58" i="3"/>
  <c r="D58" i="3"/>
  <c r="C12" i="4"/>
  <c r="C1" i="4"/>
  <c r="C2" i="4"/>
  <c r="C3" i="4"/>
  <c r="F10" i="4" l="1"/>
  <c r="F4" i="4" l="1"/>
  <c r="C5" i="4"/>
  <c r="F5" i="4" s="1"/>
  <c r="K5" i="3" l="1"/>
  <c r="J5" i="3"/>
  <c r="I5" i="3"/>
  <c r="H5" i="3"/>
  <c r="G5" i="3"/>
  <c r="F5" i="3"/>
  <c r="E5" i="3"/>
  <c r="D5" i="3"/>
  <c r="B1" i="3"/>
  <c r="B70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F59" i="3"/>
  <c r="E59" i="3"/>
  <c r="D59" i="3"/>
  <c r="K58" i="3"/>
  <c r="J58" i="3"/>
  <c r="I58" i="3"/>
  <c r="H58" i="3"/>
  <c r="G58" i="3"/>
  <c r="K57" i="3"/>
  <c r="J57" i="3"/>
  <c r="I57" i="3"/>
  <c r="H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E17" i="3"/>
  <c r="D17" i="3"/>
  <c r="K16" i="3"/>
  <c r="J16" i="3"/>
  <c r="I16" i="3"/>
  <c r="H16" i="3"/>
  <c r="G16" i="3"/>
  <c r="F16" i="3"/>
  <c r="E16" i="3"/>
  <c r="D16" i="3"/>
  <c r="K15" i="3"/>
  <c r="J15" i="3"/>
  <c r="I15" i="3"/>
  <c r="H15" i="3"/>
  <c r="G15" i="3"/>
  <c r="F15" i="3"/>
  <c r="E15" i="3"/>
  <c r="D15" i="3"/>
  <c r="K14" i="3"/>
  <c r="J14" i="3"/>
  <c r="I14" i="3"/>
  <c r="H14" i="3"/>
  <c r="G14" i="3"/>
  <c r="F14" i="3"/>
  <c r="E14" i="3"/>
  <c r="D14" i="3"/>
  <c r="K13" i="3"/>
  <c r="J13" i="3"/>
  <c r="I13" i="3"/>
  <c r="H13" i="3"/>
  <c r="G13" i="3"/>
  <c r="F13" i="3"/>
  <c r="D13" i="3"/>
  <c r="K12" i="3"/>
  <c r="J12" i="3"/>
  <c r="I12" i="3"/>
  <c r="H12" i="3"/>
  <c r="G12" i="3"/>
  <c r="F12" i="3"/>
  <c r="E12" i="3"/>
  <c r="D12" i="3"/>
  <c r="K11" i="3"/>
  <c r="J11" i="3"/>
  <c r="I11" i="3"/>
  <c r="H11" i="3"/>
  <c r="G11" i="3"/>
  <c r="F11" i="3"/>
  <c r="E11" i="3"/>
  <c r="D11" i="3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G8" i="3"/>
  <c r="F8" i="3"/>
  <c r="E8" i="3"/>
  <c r="D8" i="3"/>
  <c r="K7" i="3"/>
  <c r="J7" i="3"/>
  <c r="I7" i="3"/>
  <c r="H7" i="3"/>
  <c r="G7" i="3"/>
  <c r="F7" i="3"/>
  <c r="E7" i="3"/>
  <c r="D7" i="3"/>
  <c r="C68" i="3" l="1"/>
  <c r="B68" i="3" s="1"/>
  <c r="C67" i="3"/>
  <c r="B67" i="3" s="1"/>
  <c r="C66" i="3"/>
  <c r="B66" i="3" s="1"/>
  <c r="C65" i="3"/>
  <c r="B65" i="3" s="1"/>
  <c r="C64" i="3"/>
  <c r="B64" i="3" s="1"/>
  <c r="C63" i="3"/>
  <c r="B63" i="3" s="1"/>
  <c r="C62" i="3"/>
  <c r="B62" i="3" s="1"/>
  <c r="C61" i="3"/>
  <c r="B61" i="3" s="1"/>
  <c r="C60" i="3"/>
  <c r="B60" i="3" s="1"/>
  <c r="C59" i="3"/>
  <c r="B59" i="3" s="1"/>
  <c r="C58" i="3"/>
  <c r="B58" i="3" s="1"/>
  <c r="C57" i="3"/>
  <c r="B57" i="3" s="1"/>
  <c r="C56" i="3"/>
  <c r="B56" i="3" s="1"/>
  <c r="C55" i="3"/>
  <c r="B55" i="3" s="1"/>
  <c r="C53" i="3"/>
  <c r="B53" i="3" s="1"/>
  <c r="C52" i="3"/>
  <c r="B52" i="3" s="1"/>
  <c r="C51" i="3"/>
  <c r="B51" i="3" s="1"/>
  <c r="C50" i="3"/>
  <c r="B50" i="3" s="1"/>
  <c r="C49" i="3"/>
  <c r="B49" i="3" s="1"/>
  <c r="C48" i="3"/>
  <c r="B48" i="3" s="1"/>
  <c r="C47" i="3"/>
  <c r="B47" i="3" s="1"/>
  <c r="C46" i="3"/>
  <c r="B46" i="3" s="1"/>
  <c r="C45" i="3"/>
  <c r="B45" i="3" s="1"/>
  <c r="C44" i="3"/>
  <c r="B44" i="3" s="1"/>
  <c r="C43" i="3"/>
  <c r="B43" i="3" s="1"/>
  <c r="C42" i="3"/>
  <c r="B42" i="3" s="1"/>
  <c r="C41" i="3"/>
  <c r="B41" i="3" s="1"/>
  <c r="C40" i="3"/>
  <c r="B40" i="3" s="1"/>
  <c r="C39" i="3"/>
  <c r="B39" i="3" s="1"/>
  <c r="C38" i="3"/>
  <c r="B38" i="3" s="1"/>
  <c r="C37" i="3"/>
  <c r="B37" i="3" s="1"/>
  <c r="C36" i="3"/>
  <c r="B36" i="3" s="1"/>
  <c r="C35" i="3"/>
  <c r="B35" i="3" s="1"/>
  <c r="C34" i="3"/>
  <c r="B34" i="3" s="1"/>
  <c r="C33" i="3"/>
  <c r="B33" i="3" s="1"/>
  <c r="C32" i="3"/>
  <c r="B32" i="3" s="1"/>
  <c r="C31" i="3"/>
  <c r="B31" i="3" s="1"/>
  <c r="C30" i="3"/>
  <c r="B30" i="3" s="1"/>
  <c r="C29" i="3"/>
  <c r="B29" i="3" s="1"/>
  <c r="C28" i="3"/>
  <c r="B28" i="3" s="1"/>
  <c r="C27" i="3"/>
  <c r="B27" i="3" s="1"/>
  <c r="C26" i="3"/>
  <c r="B26" i="3" s="1"/>
  <c r="C25" i="3"/>
  <c r="B25" i="3" s="1"/>
  <c r="C24" i="3"/>
  <c r="B24" i="3" s="1"/>
  <c r="C23" i="3"/>
  <c r="B23" i="3" s="1"/>
  <c r="C22" i="3"/>
  <c r="B22" i="3" s="1"/>
  <c r="C21" i="3"/>
  <c r="B21" i="3" s="1"/>
  <c r="C19" i="3"/>
  <c r="B19" i="3" s="1"/>
  <c r="C18" i="3"/>
  <c r="B18" i="3" s="1"/>
  <c r="C17" i="3"/>
  <c r="B17" i="3" s="1"/>
  <c r="C16" i="3"/>
  <c r="B16" i="3" s="1"/>
  <c r="C15" i="3"/>
  <c r="B15" i="3" s="1"/>
  <c r="C14" i="3"/>
  <c r="B14" i="3" s="1"/>
  <c r="C13" i="3"/>
  <c r="B13" i="3" s="1"/>
  <c r="C12" i="3"/>
  <c r="B12" i="3" s="1"/>
  <c r="C11" i="3"/>
  <c r="B11" i="3" s="1"/>
  <c r="C10" i="3"/>
  <c r="B10" i="3" s="1"/>
  <c r="C9" i="3"/>
  <c r="B9" i="3" s="1"/>
  <c r="C8" i="3"/>
  <c r="B8" i="3" s="1"/>
  <c r="C7" i="3"/>
  <c r="B7" i="3" s="1"/>
  <c r="C13" i="4"/>
  <c r="F13" i="4" s="1"/>
  <c r="C11" i="4"/>
  <c r="F11" i="4" s="1"/>
  <c r="F9" i="4"/>
  <c r="C6" i="4"/>
  <c r="F6" i="4" s="1"/>
</calcChain>
</file>

<file path=xl/sharedStrings.xml><?xml version="1.0" encoding="utf-8"?>
<sst xmlns="http://schemas.openxmlformats.org/spreadsheetml/2006/main" count="692" uniqueCount="299">
  <si>
    <t>State</t>
  </si>
  <si>
    <t>cbsasub</t>
  </si>
  <si>
    <t>areaname</t>
  </si>
  <si>
    <t>statename</t>
  </si>
  <si>
    <t>metro</t>
  </si>
  <si>
    <t>county_town_name</t>
  </si>
  <si>
    <t>stusps</t>
  </si>
  <si>
    <t>county</t>
  </si>
  <si>
    <t>county_name</t>
  </si>
  <si>
    <t>METRO10580M10580</t>
  </si>
  <si>
    <t>Albany-Schenectady-Troy, NY MSA</t>
  </si>
  <si>
    <t>Regular</t>
  </si>
  <si>
    <t>NEW YORK</t>
  </si>
  <si>
    <t>Albany County</t>
  </si>
  <si>
    <t>NY</t>
  </si>
  <si>
    <t>NCNTY36003N36003</t>
  </si>
  <si>
    <t>Allegany County, NY</t>
  </si>
  <si>
    <t>Allegany County</t>
  </si>
  <si>
    <t>METRO35620MM5600</t>
  </si>
  <si>
    <t>New York, NY HUD Metro FMR Area</t>
  </si>
  <si>
    <t>Bronx County</t>
  </si>
  <si>
    <t>METRO13780M13780</t>
  </si>
  <si>
    <t>Binghamton, NY MSA</t>
  </si>
  <si>
    <t>Special</t>
  </si>
  <si>
    <t>Broome County</t>
  </si>
  <si>
    <t>NCNTY36009N36009</t>
  </si>
  <si>
    <t>Cattaraugus County, NY</t>
  </si>
  <si>
    <t>Cattaraugus County</t>
  </si>
  <si>
    <t>NCNTY36011N36011</t>
  </si>
  <si>
    <t>Cayuga County, NY</t>
  </si>
  <si>
    <t>Cayuga County</t>
  </si>
  <si>
    <t>NCNTY36013N36013</t>
  </si>
  <si>
    <t>Chautauqua County, NY</t>
  </si>
  <si>
    <t>Chautauqua County</t>
  </si>
  <si>
    <t>METRO21300M21300</t>
  </si>
  <si>
    <t>Elmira, NY MSA</t>
  </si>
  <si>
    <t>Chemung County</t>
  </si>
  <si>
    <t>NCNTY36017N36017</t>
  </si>
  <si>
    <t>Chenango County, NY</t>
  </si>
  <si>
    <t>Chenango County</t>
  </si>
  <si>
    <t>NCNTY36019N36019</t>
  </si>
  <si>
    <t>Clinton County, NY</t>
  </si>
  <si>
    <t>Clinton County</t>
  </si>
  <si>
    <t>NCNTY36021N36021</t>
  </si>
  <si>
    <t>Columbia County, NY</t>
  </si>
  <si>
    <t>Columbia County</t>
  </si>
  <si>
    <t>NCNTY36023N36023</t>
  </si>
  <si>
    <t>Cortland County, NY</t>
  </si>
  <si>
    <t>Cortland County</t>
  </si>
  <si>
    <t>NCNTY36025N36025</t>
  </si>
  <si>
    <t>Delaware County, NY</t>
  </si>
  <si>
    <t>Delaware County</t>
  </si>
  <si>
    <t>Dutchess County</t>
  </si>
  <si>
    <t>METRO15380M15380</t>
  </si>
  <si>
    <t>Buffalo-Cheektowaga-Niagara Falls, NY MSA</t>
  </si>
  <si>
    <t>Erie County</t>
  </si>
  <si>
    <t>NCNTY36031N36031</t>
  </si>
  <si>
    <t>Essex County, NY</t>
  </si>
  <si>
    <t>Essex County</t>
  </si>
  <si>
    <t>NCNTY36033N36033</t>
  </si>
  <si>
    <t>Franklin County, NY</t>
  </si>
  <si>
    <t>Franklin County</t>
  </si>
  <si>
    <t>NCNTY36035N36035</t>
  </si>
  <si>
    <t>Fulton County, NY</t>
  </si>
  <si>
    <t>Fulton County</t>
  </si>
  <si>
    <t>NCNTY36037N36037</t>
  </si>
  <si>
    <t>Genesee County, NY</t>
  </si>
  <si>
    <t>Genesee County</t>
  </si>
  <si>
    <t>NCNTY36039N36039</t>
  </si>
  <si>
    <t>Greene County, NY</t>
  </si>
  <si>
    <t>Greene County</t>
  </si>
  <si>
    <t>NCNTY36041N36041</t>
  </si>
  <si>
    <t>Hamilton County, NY</t>
  </si>
  <si>
    <t>Hamilton County</t>
  </si>
  <si>
    <t>METRO46540M46540</t>
  </si>
  <si>
    <t>Utica-Rome, NY MSA</t>
  </si>
  <si>
    <t>Herkimer County</t>
  </si>
  <si>
    <t>METRO48060M48060</t>
  </si>
  <si>
    <t>Watertown-Fort Drum, NY MSA</t>
  </si>
  <si>
    <t>Jefferson County</t>
  </si>
  <si>
    <t>Kings County</t>
  </si>
  <si>
    <t>NCNTY36049N36049</t>
  </si>
  <si>
    <t>Lewis County, NY</t>
  </si>
  <si>
    <t>Lewis County</t>
  </si>
  <si>
    <t>METRO40380M40380</t>
  </si>
  <si>
    <t>Rochester, NY HUD Metro FMR Area</t>
  </si>
  <si>
    <t>Livingston County</t>
  </si>
  <si>
    <t>METRO45060M45060</t>
  </si>
  <si>
    <t>Syracuse, NY MSA</t>
  </si>
  <si>
    <t>Madison County</t>
  </si>
  <si>
    <t>Monroe County</t>
  </si>
  <si>
    <t>NCNTY36057N36057</t>
  </si>
  <si>
    <t>Montgomery County, NY</t>
  </si>
  <si>
    <t>Montgomery County</t>
  </si>
  <si>
    <t>METRO35620MM5380</t>
  </si>
  <si>
    <t>Nassau-Suffolk, NY HUD Metro FMR Area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</si>
  <si>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</si>
  <si>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</si>
  <si>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</si>
  <si>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</si>
  <si>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</si>
  <si>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</si>
  <si>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</si>
  <si>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</si>
  <si>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</si>
  <si>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NCNTY36077N36077</t>
  </si>
  <si>
    <t>Otsego County, NY</t>
  </si>
  <si>
    <t>Otsego County</t>
  </si>
  <si>
    <t>Putnam County</t>
  </si>
  <si>
    <t>Queens County</t>
  </si>
  <si>
    <t>Rensselaer County</t>
  </si>
  <si>
    <t>Richmond County</t>
  </si>
  <si>
    <t>METRO40525M40525</t>
  </si>
  <si>
    <t>Rockland County</t>
  </si>
  <si>
    <t>NCNTY36089N36089</t>
  </si>
  <si>
    <t>St. Lawrence County, NY</t>
  </si>
  <si>
    <t>St. Lawrence County</t>
  </si>
  <si>
    <t>Saratoga County</t>
  </si>
  <si>
    <t>Schenectady County</t>
  </si>
  <si>
    <t>Schoharie County</t>
  </si>
  <si>
    <t>NCNTY36097N36097</t>
  </si>
  <si>
    <t>Schuyler County, NY</t>
  </si>
  <si>
    <t>Schuyler County</t>
  </si>
  <si>
    <t>NCNTY36099N36099</t>
  </si>
  <si>
    <t>Seneca County, NY</t>
  </si>
  <si>
    <t>Seneca County</t>
  </si>
  <si>
    <t>NCNTY36101N36101</t>
  </si>
  <si>
    <t>Steuben County, NY</t>
  </si>
  <si>
    <t>Steuben County</t>
  </si>
  <si>
    <t>Suffolk County</t>
  </si>
  <si>
    <t>NCNTY36105N36105</t>
  </si>
  <si>
    <t>Sullivan County, NY</t>
  </si>
  <si>
    <t>Sullivan County</t>
  </si>
  <si>
    <t>Tioga County</t>
  </si>
  <si>
    <t>METRO27060M27060</t>
  </si>
  <si>
    <t>Ithaca, NY MSA</t>
  </si>
  <si>
    <t>Tompkins County</t>
  </si>
  <si>
    <t>METRO28740M28740</t>
  </si>
  <si>
    <t>Kingston, NY MSA</t>
  </si>
  <si>
    <t>Ulster County</t>
  </si>
  <si>
    <t>METRO24020M24020</t>
  </si>
  <si>
    <t>Glens Falls, NY MSA</t>
  </si>
  <si>
    <t>Warren County</t>
  </si>
  <si>
    <t>Washington County</t>
  </si>
  <si>
    <t>Wayne County</t>
  </si>
  <si>
    <t>METRO48325M48325</t>
  </si>
  <si>
    <t>Westchester County, NY Statutory Exception Area</t>
  </si>
  <si>
    <t>Westchester County</t>
  </si>
  <si>
    <t>NCNTY36121N36121</t>
  </si>
  <si>
    <t>Wyoming County, NY</t>
  </si>
  <si>
    <t>Wyoming County</t>
  </si>
  <si>
    <t>Yates County</t>
  </si>
  <si>
    <t>Area</t>
  </si>
  <si>
    <t xml:space="preserve">1 Person </t>
  </si>
  <si>
    <t>2 Person</t>
  </si>
  <si>
    <t>3 Person</t>
  </si>
  <si>
    <t>4 Person</t>
  </si>
  <si>
    <t>5 Person</t>
  </si>
  <si>
    <t>6 Person</t>
  </si>
  <si>
    <t>7 Person</t>
  </si>
  <si>
    <t>8 Person</t>
  </si>
  <si>
    <t>Option</t>
  </si>
  <si>
    <t>NON-METROPOLITAN AREAS</t>
  </si>
  <si>
    <t>UNITED STATES</t>
  </si>
  <si>
    <t>MSA:  Metropolitan Statistical Area; PMSA: Primary Metropolitan Statistical Area.</t>
  </si>
  <si>
    <t># - Low Income Limit Adjusted Upward</t>
  </si>
  <si>
    <t>is equal to…</t>
  </si>
  <si>
    <t>HUD VLI</t>
  </si>
  <si>
    <t>AMI</t>
  </si>
  <si>
    <t>100% HLIL (80% AMI)</t>
  </si>
  <si>
    <t>112% HLIL (approx. 90% AMI)</t>
  </si>
  <si>
    <t>120% HLIL (96% AMI)</t>
  </si>
  <si>
    <t>137% HLIL (approx. 110% AMI)</t>
  </si>
  <si>
    <t>144% HLIL (approx. 115% AMI)</t>
  </si>
  <si>
    <t>150% HLIL (120% AMI)</t>
  </si>
  <si>
    <t>166% HLIL (approx. 133% AMI)</t>
  </si>
  <si>
    <t>75% HLIL (60% AMI)</t>
  </si>
  <si>
    <t>Approx. 156% HLIL (125% AMI)</t>
  </si>
  <si>
    <t>Approx. 163% HLIL (130% AMI)</t>
  </si>
  <si>
    <t>Approx. 38% HLIL (30% AMI)</t>
  </si>
  <si>
    <t>Approx. 63% HLIL (50% AMI)</t>
  </si>
  <si>
    <t>120% OF THE HUD LOW INCOME LIMIT</t>
  </si>
  <si>
    <t>112% OF THE HUD LOW INCOME LIMIT</t>
  </si>
  <si>
    <t>156.3% OF THE HUD LOW INCOME LIMIT</t>
  </si>
  <si>
    <t>137% OF THE HUD LOW INCOME LIMIT</t>
  </si>
  <si>
    <t>150% OF THE HUD LOW INCOME LIMIT</t>
  </si>
  <si>
    <t>166% OF THE HUD LOW INCOME LIMIT</t>
  </si>
  <si>
    <t>75% OF THE HUD LOW INCOME LIMIT</t>
  </si>
  <si>
    <t>144% OF THE HUD LOW INCOME LIMIT</t>
  </si>
  <si>
    <t>162.5% OF THE HUD LOW INCOME LIMIT</t>
  </si>
  <si>
    <t>HUD VERY LOW INCOME LIMIT</t>
  </si>
  <si>
    <t>HUD LOW INCOME LIMIT</t>
  </si>
  <si>
    <t>HUD EXTREMELY LOW INCOME LIMIT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</si>
  <si>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</si>
  <si>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</si>
  <si>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</si>
  <si>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</si>
  <si>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</si>
  <si>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</si>
  <si>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</si>
  <si>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</si>
  <si>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</si>
  <si>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</si>
  <si>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</si>
  <si>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</si>
  <si>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</si>
  <si>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</si>
  <si>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</si>
  <si>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</si>
  <si>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</si>
  <si>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</si>
  <si>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</si>
  <si>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</si>
  <si>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</si>
  <si>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</si>
  <si>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</si>
  <si>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</si>
  <si>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</si>
  <si>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</si>
  <si>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</si>
  <si>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</si>
  <si>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</si>
  <si>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</si>
  <si>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</si>
  <si>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</si>
  <si>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</si>
  <si>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</si>
  <si>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</si>
  <si>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</si>
  <si>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</si>
  <si>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</si>
  <si>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</si>
  <si>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</si>
  <si>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</si>
  <si>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</si>
  <si>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</si>
  <si>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Rockland, NY HUD Income Limit Area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</si>
  <si>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</si>
  <si>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</si>
  <si>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</si>
  <si>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</si>
  <si>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</si>
  <si>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</si>
  <si>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</si>
  <si>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</si>
  <si>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</si>
  <si>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</si>
  <si>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</si>
  <si>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</si>
  <si>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</si>
  <si>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</si>
  <si>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</si>
  <si>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</si>
  <si>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</si>
  <si>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</si>
  <si>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</si>
  <si>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* - Low Income Limit adjusted upward to 80% of State Non-Metropolitan Area median income.</t>
  </si>
  <si>
    <t>† - HUD Low Income Limit is capped by US National Median Income, 160% of HUD Very Low Income Limit establishes AHC Low Income Limit</t>
  </si>
  <si>
    <t>NYS MEDIAN FAMILY INCOME</t>
  </si>
  <si>
    <t>median2025</t>
  </si>
  <si>
    <t>lim50_25p1</t>
  </si>
  <si>
    <t>lim50_25p2</t>
  </si>
  <si>
    <t>lim50_25p3</t>
  </si>
  <si>
    <t>lim50_25p4</t>
  </si>
  <si>
    <t>lim50_25p5</t>
  </si>
  <si>
    <t>lim50_25p6</t>
  </si>
  <si>
    <t>lim50_25p7</t>
  </si>
  <si>
    <t>lim50_25p8</t>
  </si>
  <si>
    <t>Lim60_25p1</t>
  </si>
  <si>
    <t>Lim60_25p2</t>
  </si>
  <si>
    <t>Lim60_25p3</t>
  </si>
  <si>
    <t>Lim60_25p4</t>
  </si>
  <si>
    <t>Lim60_25p5</t>
  </si>
  <si>
    <t>Lim60_25p6</t>
  </si>
  <si>
    <t>Lim60_25p7</t>
  </si>
  <si>
    <t>Lim60_25p8</t>
  </si>
  <si>
    <t>HERA_Lim_type25</t>
  </si>
  <si>
    <t>Lim50_HERA_25p1</t>
  </si>
  <si>
    <t>Lim50_HERA_25p2</t>
  </si>
  <si>
    <t>Lim50_HERA_25p3</t>
  </si>
  <si>
    <t>Lim50_HERA_25p4</t>
  </si>
  <si>
    <t>Lim50_HERA_25p5</t>
  </si>
  <si>
    <t>Lim50_HERA_25p6</t>
  </si>
  <si>
    <t>Lim50_HERA_25p7</t>
  </si>
  <si>
    <t>Lim50_HERA_25p8</t>
  </si>
  <si>
    <t>Lim60_HERA_25p1</t>
  </si>
  <si>
    <t>Lim60_HERA_25p2</t>
  </si>
  <si>
    <t>Lim60_HERA_25p3</t>
  </si>
  <si>
    <t>Lim60_HERA_25p4</t>
  </si>
  <si>
    <t>Lim60_HERA_25p5</t>
  </si>
  <si>
    <t>Lim60_HERA_25p6</t>
  </si>
  <si>
    <t>Lim60_HERA_25p7</t>
  </si>
  <si>
    <t>Lim60_HERA_25p8</t>
  </si>
  <si>
    <t>NCNTY36123N36123</t>
  </si>
  <si>
    <t>Yates County, NY</t>
  </si>
  <si>
    <t>METRO28880M28880</t>
  </si>
  <si>
    <t>Kiryas Joel-Poughkeepsie-Newburgh, NY MSA</t>
  </si>
  <si>
    <t>125% HLIL (100% AMI)</t>
  </si>
  <si>
    <t>125% OF THE HUD LOW INCOME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</si>
</sst>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5" fontId="2" fillId="0" borderId="2" xfId="0" applyNumberFormat="1" applyFont="1" applyBorder="1" applyAlignment="1">
      <alignment horizontal="center" wrapText="1"/>
    </xf>
    <xf numFmtId="0" fontId="3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3" fillId="0" borderId="8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5" xfId="0" applyFont="1" applyBorder="1" applyAlignment="1">
      <alignment horizontal="left"/>
    </xf>
    <xf numFmtId="5" fontId="3" fillId="0" borderId="16" xfId="0" applyNumberFormat="1" applyFont="1" applyBorder="1"/>
    <xf numFmtId="0" fontId="3" fillId="0" borderId="8" xfId="0" applyFont="1" applyBorder="1" applyAlignment="1">
      <alignment horizontal="left"/>
    </xf>
    <xf numFmtId="0" fontId="3" fillId="0" borderId="17" xfId="0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5" fontId="3" fillId="0" borderId="21" xfId="0" applyNumberFormat="1" applyFont="1" applyBorder="1"/>
    <xf numFmtId="5" fontId="3" fillId="0" borderId="18" xfId="0" applyNumberFormat="1" applyFont="1" applyBorder="1"/>
    <xf numFmtId="5" fontId="3" fillId="0" borderId="22" xfId="0" applyNumberFormat="1" applyFont="1" applyBorder="1"/>
    <xf numFmtId="0" fontId="3" fillId="0" borderId="26" xfId="0" applyFont="1" applyBorder="1"/>
    <xf numFmtId="1" fontId="0" fillId="0" borderId="0" xfId="0" applyNumberFormat="1"/>
    <xf numFmtId="5" fontId="3" fillId="0" borderId="4" xfId="0" applyNumberFormat="1" applyFont="1" applyBorder="1"/>
    <xf numFmtId="5" fontId="3" fillId="0" borderId="9" xfId="0" applyNumberFormat="1" applyFont="1" applyBorder="1"/>
    <xf numFmtId="5" fontId="3" fillId="0" borderId="27" xfId="0" applyNumberFormat="1" applyFont="1" applyBorder="1"/>
    <xf numFmtId="5" fontId="3" fillId="0" borderId="14" xfId="0" applyNumberFormat="1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4" fontId="4" fillId="0" borderId="31" xfId="0" applyNumberFormat="1" applyFont="1" applyBorder="1" applyAlignment="1">
      <alignment horizontal="center" vertical="center" wrapText="1"/>
    </xf>
    <xf numFmtId="9" fontId="0" fillId="2" borderId="19" xfId="1" applyFont="1" applyFill="1" applyBorder="1" applyAlignment="1">
      <alignment horizontal="center" vertical="center" wrapText="1"/>
    </xf>
    <xf numFmtId="9" fontId="0" fillId="2" borderId="20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3"/>
  <sheetViews>
    <sheetView topLeftCell="A40" workbookViewId="0">
      <selection activeCell="I32" sqref="I32"/>
    </sheetView>
  </sheetViews>
  <sheetFormatPr baseColWidth="10" defaultColWidth="8.83203125" defaultRowHeight="15" x14ac:dyDescent="0.2"/>
  <cols>
    <col min="2" max="2" width="20" bestFit="1" customWidth="1"/>
    <col min="3" max="3" width="59.5" bestFit="1" customWidth="1"/>
    <col min="4" max="4" width="11.5" bestFit="1" customWidth="1"/>
    <col min="5" max="5" width="10.5" bestFit="1" customWidth="1"/>
  </cols>
  <sheetData>
    <row r="1" spans="1:44" x14ac:dyDescent="0.2">
      <c r="A1" s="16" t="s">
        <v>0</v>
      </c>
      <c r="B1" s="16" t="s">
        <v>1</v>
      </c>
      <c r="C1" t="s">
        <v>2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  <c r="AB1" t="s">
        <v>283</v>
      </c>
      <c r="AC1" t="s">
        <v>284</v>
      </c>
      <c r="AD1" t="s">
        <v>285</v>
      </c>
      <c r="AE1" t="s">
        <v>286</v>
      </c>
      <c r="AF1" t="s">
        <v>287</v>
      </c>
      <c r="AG1" t="s">
        <v>288</v>
      </c>
      <c r="AH1" t="s">
        <v>289</v>
      </c>
      <c r="AI1" t="s">
        <v>290</v>
      </c>
      <c r="AJ1" t="s">
        <v>291</v>
      </c>
      <c r="AK1" t="s">
        <v>292</v>
      </c>
      <c r="AL1" t="s">
        <v>0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</row>
    <row r="2" spans="1:44" x14ac:dyDescent="0.2">
      <c r="A2" s="16">
        <v>36</v>
      </c>
      <c r="B2" s="16" t="s">
        <v>9</v>
      </c>
      <c r="C2" t="s">
        <v>10</v>
      </c>
      <c r="D2" s="21">
        <v>116100</v>
      </c>
      <c r="E2" s="21">
        <v>40650</v>
      </c>
      <c r="F2" s="21">
        <v>46450</v>
      </c>
      <c r="G2" s="21">
        <v>52250</v>
      </c>
      <c r="H2" s="21">
        <v>58050</v>
      </c>
      <c r="I2" s="21">
        <v>62700</v>
      </c>
      <c r="J2" s="21">
        <v>67350</v>
      </c>
      <c r="K2" s="21">
        <v>72000</v>
      </c>
      <c r="L2" s="21">
        <v>76650</v>
      </c>
      <c r="M2" s="21">
        <v>48780</v>
      </c>
      <c r="N2" s="21">
        <v>55740</v>
      </c>
      <c r="O2" s="21">
        <v>62700</v>
      </c>
      <c r="P2" s="21">
        <v>69660</v>
      </c>
      <c r="Q2" s="21">
        <v>75240</v>
      </c>
      <c r="R2" s="21">
        <v>80820</v>
      </c>
      <c r="S2" s="21">
        <v>86400</v>
      </c>
      <c r="T2" s="21">
        <v>91980</v>
      </c>
      <c r="U2" s="21" t="s">
        <v>11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>
        <v>36</v>
      </c>
      <c r="AM2" t="s">
        <v>12</v>
      </c>
      <c r="AN2">
        <v>1</v>
      </c>
      <c r="AO2" t="s">
        <v>13</v>
      </c>
      <c r="AP2" t="s">
        <v>14</v>
      </c>
      <c r="AQ2" t="s">
        <v>193</v>
      </c>
      <c r="AR2" t="s">
        <v>13</v>
      </c>
    </row>
    <row r="3" spans="1:44" x14ac:dyDescent="0.2">
      <c r="A3" s="16">
        <v>36</v>
      </c>
      <c r="B3" s="16" t="s">
        <v>15</v>
      </c>
      <c r="C3" t="s">
        <v>16</v>
      </c>
      <c r="D3" s="21">
        <v>86400</v>
      </c>
      <c r="E3" s="21">
        <v>31000</v>
      </c>
      <c r="F3" s="21">
        <v>35400</v>
      </c>
      <c r="G3" s="21">
        <v>39850</v>
      </c>
      <c r="H3" s="21">
        <v>44250</v>
      </c>
      <c r="I3" s="21">
        <v>47800</v>
      </c>
      <c r="J3" s="21">
        <v>51350</v>
      </c>
      <c r="K3" s="21">
        <v>54900</v>
      </c>
      <c r="L3" s="21">
        <v>58450</v>
      </c>
      <c r="M3" s="21">
        <v>37200</v>
      </c>
      <c r="N3" s="21">
        <v>42480</v>
      </c>
      <c r="O3" s="21">
        <v>47820</v>
      </c>
      <c r="P3" s="21">
        <v>53100</v>
      </c>
      <c r="Q3" s="21">
        <v>57360</v>
      </c>
      <c r="R3" s="21">
        <v>61620</v>
      </c>
      <c r="S3" s="21">
        <v>65880</v>
      </c>
      <c r="T3" s="21">
        <v>70140</v>
      </c>
      <c r="U3" s="21" t="s">
        <v>11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>
        <v>36</v>
      </c>
      <c r="AM3" t="s">
        <v>12</v>
      </c>
      <c r="AN3">
        <v>0</v>
      </c>
      <c r="AO3" t="s">
        <v>17</v>
      </c>
      <c r="AP3" t="s">
        <v>14</v>
      </c>
      <c r="AQ3" t="s">
        <v>194</v>
      </c>
      <c r="AR3" t="s">
        <v>17</v>
      </c>
    </row>
    <row r="4" spans="1:44" x14ac:dyDescent="0.2">
      <c r="A4" s="16">
        <v>36</v>
      </c>
      <c r="B4" s="16" t="s">
        <v>18</v>
      </c>
      <c r="C4" t="s">
        <v>19</v>
      </c>
      <c r="D4" s="21">
        <v>103000</v>
      </c>
      <c r="E4" s="21">
        <v>56700</v>
      </c>
      <c r="F4" s="21">
        <v>64800</v>
      </c>
      <c r="G4" s="21">
        <v>72900</v>
      </c>
      <c r="H4" s="21">
        <v>81000</v>
      </c>
      <c r="I4" s="21">
        <v>87500</v>
      </c>
      <c r="J4" s="21">
        <v>94000</v>
      </c>
      <c r="K4" s="21">
        <v>100450</v>
      </c>
      <c r="L4" s="21">
        <v>106950</v>
      </c>
      <c r="M4" s="21">
        <v>68040</v>
      </c>
      <c r="N4" s="21">
        <v>77760</v>
      </c>
      <c r="O4" s="21">
        <v>87480</v>
      </c>
      <c r="P4" s="21">
        <v>97200</v>
      </c>
      <c r="Q4" s="21">
        <v>105000</v>
      </c>
      <c r="R4" s="21">
        <v>112800</v>
      </c>
      <c r="S4" s="21">
        <v>120540</v>
      </c>
      <c r="T4" s="21">
        <v>128340</v>
      </c>
      <c r="U4" s="21" t="s">
        <v>11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>
        <v>36</v>
      </c>
      <c r="AM4" t="s">
        <v>12</v>
      </c>
      <c r="AN4">
        <v>1</v>
      </c>
      <c r="AO4" t="s">
        <v>20</v>
      </c>
      <c r="AP4" t="s">
        <v>14</v>
      </c>
      <c r="AQ4" t="s">
        <v>195</v>
      </c>
      <c r="AR4" t="s">
        <v>20</v>
      </c>
    </row>
    <row r="5" spans="1:44" x14ac:dyDescent="0.2">
      <c r="A5" s="16">
        <v>36</v>
      </c>
      <c r="B5" s="16" t="s">
        <v>21</v>
      </c>
      <c r="C5" t="s">
        <v>22</v>
      </c>
      <c r="D5" s="21">
        <v>94500</v>
      </c>
      <c r="E5" s="21">
        <v>33100</v>
      </c>
      <c r="F5" s="21">
        <v>37800</v>
      </c>
      <c r="G5" s="21">
        <v>42550</v>
      </c>
      <c r="H5" s="21">
        <v>47250</v>
      </c>
      <c r="I5" s="21">
        <v>51050</v>
      </c>
      <c r="J5" s="21">
        <v>54850</v>
      </c>
      <c r="K5" s="21">
        <v>58600</v>
      </c>
      <c r="L5" s="21">
        <v>62400</v>
      </c>
      <c r="M5" s="21">
        <v>39720</v>
      </c>
      <c r="N5" s="21">
        <v>45360</v>
      </c>
      <c r="O5" s="21">
        <v>51060</v>
      </c>
      <c r="P5" s="21">
        <v>56700</v>
      </c>
      <c r="Q5" s="21">
        <v>61260</v>
      </c>
      <c r="R5" s="21">
        <v>65820</v>
      </c>
      <c r="S5" s="21">
        <v>70320</v>
      </c>
      <c r="T5" s="21">
        <v>74880</v>
      </c>
      <c r="U5" s="21" t="s">
        <v>11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>
        <v>36</v>
      </c>
      <c r="AM5" t="s">
        <v>12</v>
      </c>
      <c r="AN5">
        <v>1</v>
      </c>
      <c r="AO5" t="s">
        <v>24</v>
      </c>
      <c r="AP5" t="s">
        <v>14</v>
      </c>
      <c r="AQ5" t="s">
        <v>196</v>
      </c>
      <c r="AR5" t="s">
        <v>24</v>
      </c>
    </row>
    <row r="6" spans="1:44" x14ac:dyDescent="0.2">
      <c r="A6" s="16">
        <v>36</v>
      </c>
      <c r="B6" s="16" t="s">
        <v>25</v>
      </c>
      <c r="C6" t="s">
        <v>26</v>
      </c>
      <c r="D6" s="21">
        <v>77200</v>
      </c>
      <c r="E6" s="21">
        <v>31000</v>
      </c>
      <c r="F6" s="21">
        <v>35400</v>
      </c>
      <c r="G6" s="21">
        <v>39850</v>
      </c>
      <c r="H6" s="21">
        <v>44250</v>
      </c>
      <c r="I6" s="21">
        <v>47800</v>
      </c>
      <c r="J6" s="21">
        <v>51350</v>
      </c>
      <c r="K6" s="21">
        <v>54900</v>
      </c>
      <c r="L6" s="21">
        <v>58450</v>
      </c>
      <c r="M6" s="21">
        <v>37200</v>
      </c>
      <c r="N6" s="21">
        <v>42480</v>
      </c>
      <c r="O6" s="21">
        <v>47820</v>
      </c>
      <c r="P6" s="21">
        <v>53100</v>
      </c>
      <c r="Q6" s="21">
        <v>57360</v>
      </c>
      <c r="R6" s="21">
        <v>61620</v>
      </c>
      <c r="S6" s="21">
        <v>65880</v>
      </c>
      <c r="T6" s="21">
        <v>70140</v>
      </c>
      <c r="U6" s="21" t="s">
        <v>11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>
        <v>36</v>
      </c>
      <c r="AM6" t="s">
        <v>12</v>
      </c>
      <c r="AN6">
        <v>0</v>
      </c>
      <c r="AO6" t="s">
        <v>27</v>
      </c>
      <c r="AP6" t="s">
        <v>14</v>
      </c>
      <c r="AQ6" t="s">
        <v>197</v>
      </c>
      <c r="AR6" t="s">
        <v>27</v>
      </c>
    </row>
    <row r="7" spans="1:44" x14ac:dyDescent="0.2">
      <c r="A7" s="16">
        <v>36</v>
      </c>
      <c r="B7" s="16" t="s">
        <v>28</v>
      </c>
      <c r="C7" t="s">
        <v>29</v>
      </c>
      <c r="D7" s="21">
        <v>83500</v>
      </c>
      <c r="E7" s="21">
        <v>31000</v>
      </c>
      <c r="F7" s="21">
        <v>35400</v>
      </c>
      <c r="G7" s="21">
        <v>39850</v>
      </c>
      <c r="H7" s="21">
        <v>44250</v>
      </c>
      <c r="I7" s="21">
        <v>47800</v>
      </c>
      <c r="J7" s="21">
        <v>51350</v>
      </c>
      <c r="K7" s="21">
        <v>54900</v>
      </c>
      <c r="L7" s="21">
        <v>58450</v>
      </c>
      <c r="M7" s="21">
        <v>37200</v>
      </c>
      <c r="N7" s="21">
        <v>42480</v>
      </c>
      <c r="O7" s="21">
        <v>47820</v>
      </c>
      <c r="P7" s="21">
        <v>53100</v>
      </c>
      <c r="Q7" s="21">
        <v>57360</v>
      </c>
      <c r="R7" s="21">
        <v>61620</v>
      </c>
      <c r="S7" s="21">
        <v>65880</v>
      </c>
      <c r="T7" s="21">
        <v>70140</v>
      </c>
      <c r="U7" s="21" t="s">
        <v>23</v>
      </c>
      <c r="V7" s="21">
        <v>31650</v>
      </c>
      <c r="W7" s="21">
        <v>36150</v>
      </c>
      <c r="X7" s="21">
        <v>40650</v>
      </c>
      <c r="Y7" s="21">
        <v>45150</v>
      </c>
      <c r="Z7" s="21">
        <v>48800</v>
      </c>
      <c r="AA7" s="21">
        <v>52400</v>
      </c>
      <c r="AB7" s="21">
        <v>56000</v>
      </c>
      <c r="AC7" s="21">
        <v>59600</v>
      </c>
      <c r="AD7" s="21">
        <v>37980</v>
      </c>
      <c r="AE7" s="21">
        <v>43380</v>
      </c>
      <c r="AF7" s="21">
        <v>48780</v>
      </c>
      <c r="AG7" s="21">
        <v>54180</v>
      </c>
      <c r="AH7" s="21">
        <v>58560</v>
      </c>
      <c r="AI7" s="21">
        <v>62880</v>
      </c>
      <c r="AJ7" s="21">
        <v>67200</v>
      </c>
      <c r="AK7" s="21">
        <v>71520</v>
      </c>
      <c r="AL7">
        <v>36</v>
      </c>
      <c r="AM7" t="s">
        <v>12</v>
      </c>
      <c r="AN7">
        <v>0</v>
      </c>
      <c r="AO7" t="s">
        <v>30</v>
      </c>
      <c r="AP7" t="s">
        <v>14</v>
      </c>
      <c r="AQ7" t="s">
        <v>198</v>
      </c>
      <c r="AR7" t="s">
        <v>30</v>
      </c>
    </row>
    <row r="8" spans="1:44" x14ac:dyDescent="0.2">
      <c r="A8" s="16">
        <v>36</v>
      </c>
      <c r="B8" s="16" t="s">
        <v>31</v>
      </c>
      <c r="C8" t="s">
        <v>32</v>
      </c>
      <c r="D8" s="21">
        <v>82700</v>
      </c>
      <c r="E8" s="21">
        <v>31000</v>
      </c>
      <c r="F8" s="21">
        <v>35400</v>
      </c>
      <c r="G8" s="21">
        <v>39850</v>
      </c>
      <c r="H8" s="21">
        <v>44250</v>
      </c>
      <c r="I8" s="21">
        <v>47800</v>
      </c>
      <c r="J8" s="21">
        <v>51350</v>
      </c>
      <c r="K8" s="21">
        <v>54900</v>
      </c>
      <c r="L8" s="21">
        <v>58450</v>
      </c>
      <c r="M8" s="21">
        <v>37200</v>
      </c>
      <c r="N8" s="21">
        <v>42480</v>
      </c>
      <c r="O8" s="21">
        <v>47820</v>
      </c>
      <c r="P8" s="21">
        <v>53100</v>
      </c>
      <c r="Q8" s="21">
        <v>57360</v>
      </c>
      <c r="R8" s="21">
        <v>61620</v>
      </c>
      <c r="S8" s="21">
        <v>65880</v>
      </c>
      <c r="T8" s="21">
        <v>70140</v>
      </c>
      <c r="U8" s="21" t="s">
        <v>11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>
        <v>36</v>
      </c>
      <c r="AM8" t="s">
        <v>12</v>
      </c>
      <c r="AN8">
        <v>0</v>
      </c>
      <c r="AO8" t="s">
        <v>33</v>
      </c>
      <c r="AP8" t="s">
        <v>14</v>
      </c>
      <c r="AQ8" t="s">
        <v>199</v>
      </c>
      <c r="AR8" t="s">
        <v>33</v>
      </c>
    </row>
    <row r="9" spans="1:44" x14ac:dyDescent="0.2">
      <c r="A9" s="16">
        <v>36</v>
      </c>
      <c r="B9" s="16" t="s">
        <v>34</v>
      </c>
      <c r="C9" t="s">
        <v>35</v>
      </c>
      <c r="D9" s="21">
        <v>81900</v>
      </c>
      <c r="E9" s="21">
        <v>31000</v>
      </c>
      <c r="F9" s="21">
        <v>35400</v>
      </c>
      <c r="G9" s="21">
        <v>39850</v>
      </c>
      <c r="H9" s="21">
        <v>44250</v>
      </c>
      <c r="I9" s="21">
        <v>47800</v>
      </c>
      <c r="J9" s="21">
        <v>51350</v>
      </c>
      <c r="K9" s="21">
        <v>54900</v>
      </c>
      <c r="L9" s="21">
        <v>58450</v>
      </c>
      <c r="M9" s="21">
        <v>37200</v>
      </c>
      <c r="N9" s="21">
        <v>42480</v>
      </c>
      <c r="O9" s="21">
        <v>47820</v>
      </c>
      <c r="P9" s="21">
        <v>53100</v>
      </c>
      <c r="Q9" s="21">
        <v>57360</v>
      </c>
      <c r="R9" s="21">
        <v>61620</v>
      </c>
      <c r="S9" s="21">
        <v>65880</v>
      </c>
      <c r="T9" s="21">
        <v>70140</v>
      </c>
      <c r="U9" s="21" t="s">
        <v>11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>
        <v>36</v>
      </c>
      <c r="AM9" t="s">
        <v>12</v>
      </c>
      <c r="AN9">
        <v>1</v>
      </c>
      <c r="AO9" t="s">
        <v>36</v>
      </c>
      <c r="AP9" t="s">
        <v>14</v>
      </c>
      <c r="AQ9" t="s">
        <v>200</v>
      </c>
      <c r="AR9" t="s">
        <v>36</v>
      </c>
    </row>
    <row r="10" spans="1:44" x14ac:dyDescent="0.2">
      <c r="A10" s="16">
        <v>36</v>
      </c>
      <c r="B10" s="16" t="s">
        <v>37</v>
      </c>
      <c r="C10" t="s">
        <v>38</v>
      </c>
      <c r="D10" s="21">
        <v>83100</v>
      </c>
      <c r="E10" s="21">
        <v>31000</v>
      </c>
      <c r="F10" s="21">
        <v>35400</v>
      </c>
      <c r="G10" s="21">
        <v>39850</v>
      </c>
      <c r="H10" s="21">
        <v>44250</v>
      </c>
      <c r="I10" s="21">
        <v>47800</v>
      </c>
      <c r="J10" s="21">
        <v>51350</v>
      </c>
      <c r="K10" s="21">
        <v>54900</v>
      </c>
      <c r="L10" s="21">
        <v>58450</v>
      </c>
      <c r="M10" s="21">
        <v>37200</v>
      </c>
      <c r="N10" s="21">
        <v>42480</v>
      </c>
      <c r="O10" s="21">
        <v>47820</v>
      </c>
      <c r="P10" s="21">
        <v>53100</v>
      </c>
      <c r="Q10" s="21">
        <v>57360</v>
      </c>
      <c r="R10" s="21">
        <v>61620</v>
      </c>
      <c r="S10" s="21">
        <v>65880</v>
      </c>
      <c r="T10" s="21">
        <v>70140</v>
      </c>
      <c r="U10" s="21" t="s">
        <v>11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>
        <v>36</v>
      </c>
      <c r="AM10" t="s">
        <v>12</v>
      </c>
      <c r="AN10">
        <v>0</v>
      </c>
      <c r="AO10" t="s">
        <v>39</v>
      </c>
      <c r="AP10" t="s">
        <v>14</v>
      </c>
      <c r="AQ10" t="s">
        <v>201</v>
      </c>
      <c r="AR10" t="s">
        <v>39</v>
      </c>
    </row>
    <row r="11" spans="1:44" x14ac:dyDescent="0.2">
      <c r="A11" s="16">
        <v>36</v>
      </c>
      <c r="B11" s="16" t="s">
        <v>40</v>
      </c>
      <c r="C11" t="s">
        <v>41</v>
      </c>
      <c r="D11" s="21">
        <v>94300</v>
      </c>
      <c r="E11" s="21">
        <v>33050</v>
      </c>
      <c r="F11" s="21">
        <v>37750</v>
      </c>
      <c r="G11" s="21">
        <v>42450</v>
      </c>
      <c r="H11" s="21">
        <v>47150</v>
      </c>
      <c r="I11" s="21">
        <v>50950</v>
      </c>
      <c r="J11" s="21">
        <v>54700</v>
      </c>
      <c r="K11" s="21">
        <v>58500</v>
      </c>
      <c r="L11" s="21">
        <v>62250</v>
      </c>
      <c r="M11" s="21">
        <v>39660</v>
      </c>
      <c r="N11" s="21">
        <v>45300</v>
      </c>
      <c r="O11" s="21">
        <v>50940</v>
      </c>
      <c r="P11" s="21">
        <v>56580</v>
      </c>
      <c r="Q11" s="21">
        <v>61140</v>
      </c>
      <c r="R11" s="21">
        <v>65640</v>
      </c>
      <c r="S11" s="21">
        <v>70200</v>
      </c>
      <c r="T11" s="21">
        <v>74700</v>
      </c>
      <c r="U11" s="21" t="s">
        <v>11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>
        <v>36</v>
      </c>
      <c r="AM11" t="s">
        <v>12</v>
      </c>
      <c r="AN11">
        <v>0</v>
      </c>
      <c r="AO11" t="s">
        <v>42</v>
      </c>
      <c r="AP11" t="s">
        <v>14</v>
      </c>
      <c r="AQ11" t="s">
        <v>202</v>
      </c>
      <c r="AR11" t="s">
        <v>42</v>
      </c>
    </row>
    <row r="12" spans="1:44" x14ac:dyDescent="0.2">
      <c r="A12" s="16">
        <v>36</v>
      </c>
      <c r="B12" s="16" t="s">
        <v>43</v>
      </c>
      <c r="C12" t="s">
        <v>44</v>
      </c>
      <c r="D12" s="21">
        <v>113100</v>
      </c>
      <c r="E12" s="21">
        <v>39450</v>
      </c>
      <c r="F12" s="21">
        <v>45100</v>
      </c>
      <c r="G12" s="21">
        <v>50700</v>
      </c>
      <c r="H12" s="21">
        <v>56350</v>
      </c>
      <c r="I12" s="21">
        <v>60850</v>
      </c>
      <c r="J12" s="21">
        <v>65400</v>
      </c>
      <c r="K12" s="21">
        <v>69900</v>
      </c>
      <c r="L12" s="21">
        <v>74400</v>
      </c>
      <c r="M12" s="21">
        <v>47340</v>
      </c>
      <c r="N12" s="21">
        <v>54120</v>
      </c>
      <c r="O12" s="21">
        <v>60840</v>
      </c>
      <c r="P12" s="21">
        <v>67620</v>
      </c>
      <c r="Q12" s="21">
        <v>73020</v>
      </c>
      <c r="R12" s="21">
        <v>78480</v>
      </c>
      <c r="S12" s="21">
        <v>83880</v>
      </c>
      <c r="T12" s="21">
        <v>89280</v>
      </c>
      <c r="U12" s="21" t="s">
        <v>11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>
        <v>36</v>
      </c>
      <c r="AM12" t="s">
        <v>12</v>
      </c>
      <c r="AN12">
        <v>0</v>
      </c>
      <c r="AO12" t="s">
        <v>45</v>
      </c>
      <c r="AP12" t="s">
        <v>14</v>
      </c>
      <c r="AQ12" t="s">
        <v>203</v>
      </c>
      <c r="AR12" t="s">
        <v>45</v>
      </c>
    </row>
    <row r="13" spans="1:44" x14ac:dyDescent="0.2">
      <c r="A13" s="16">
        <v>36</v>
      </c>
      <c r="B13" s="16" t="s">
        <v>46</v>
      </c>
      <c r="C13" t="s">
        <v>47</v>
      </c>
      <c r="D13" s="21">
        <v>92200</v>
      </c>
      <c r="E13" s="21">
        <v>32300</v>
      </c>
      <c r="F13" s="21">
        <v>36900</v>
      </c>
      <c r="G13" s="21">
        <v>41500</v>
      </c>
      <c r="H13" s="21">
        <v>46100</v>
      </c>
      <c r="I13" s="21">
        <v>49800</v>
      </c>
      <c r="J13" s="21">
        <v>53500</v>
      </c>
      <c r="K13" s="21">
        <v>57200</v>
      </c>
      <c r="L13" s="21">
        <v>60900</v>
      </c>
      <c r="M13" s="21">
        <v>38760</v>
      </c>
      <c r="N13" s="21">
        <v>44280</v>
      </c>
      <c r="O13" s="21">
        <v>49800</v>
      </c>
      <c r="P13" s="21">
        <v>55320</v>
      </c>
      <c r="Q13" s="21">
        <v>59760</v>
      </c>
      <c r="R13" s="21">
        <v>64200</v>
      </c>
      <c r="S13" s="21">
        <v>68640</v>
      </c>
      <c r="T13" s="21">
        <v>73080</v>
      </c>
      <c r="U13" s="21" t="s">
        <v>11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>
        <v>36</v>
      </c>
      <c r="AM13" t="s">
        <v>12</v>
      </c>
      <c r="AN13">
        <v>0</v>
      </c>
      <c r="AO13" t="s">
        <v>48</v>
      </c>
      <c r="AP13" t="s">
        <v>14</v>
      </c>
      <c r="AQ13" t="s">
        <v>204</v>
      </c>
      <c r="AR13" t="s">
        <v>48</v>
      </c>
    </row>
    <row r="14" spans="1:44" x14ac:dyDescent="0.2">
      <c r="A14" s="16">
        <v>36</v>
      </c>
      <c r="B14" s="16" t="s">
        <v>49</v>
      </c>
      <c r="C14" t="s">
        <v>50</v>
      </c>
      <c r="D14" s="21">
        <v>82600</v>
      </c>
      <c r="E14" s="21">
        <v>31000</v>
      </c>
      <c r="F14" s="21">
        <v>35400</v>
      </c>
      <c r="G14" s="21">
        <v>39850</v>
      </c>
      <c r="H14" s="21">
        <v>44250</v>
      </c>
      <c r="I14" s="21">
        <v>47800</v>
      </c>
      <c r="J14" s="21">
        <v>51350</v>
      </c>
      <c r="K14" s="21">
        <v>54900</v>
      </c>
      <c r="L14" s="21">
        <v>58450</v>
      </c>
      <c r="M14" s="21">
        <v>37200</v>
      </c>
      <c r="N14" s="21">
        <v>42480</v>
      </c>
      <c r="O14" s="21">
        <v>47820</v>
      </c>
      <c r="P14" s="21">
        <v>53100</v>
      </c>
      <c r="Q14" s="21">
        <v>57360</v>
      </c>
      <c r="R14" s="21">
        <v>61620</v>
      </c>
      <c r="S14" s="21">
        <v>65880</v>
      </c>
      <c r="T14" s="21">
        <v>70140</v>
      </c>
      <c r="U14" s="21" t="s">
        <v>11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>
        <v>36</v>
      </c>
      <c r="AM14" t="s">
        <v>12</v>
      </c>
      <c r="AN14">
        <v>0</v>
      </c>
      <c r="AO14" t="s">
        <v>51</v>
      </c>
      <c r="AP14" t="s">
        <v>14</v>
      </c>
      <c r="AQ14" t="s">
        <v>205</v>
      </c>
      <c r="AR14" t="s">
        <v>51</v>
      </c>
    </row>
    <row r="15" spans="1:44" x14ac:dyDescent="0.2">
      <c r="A15" s="16">
        <v>36</v>
      </c>
      <c r="B15" s="16" t="s">
        <v>295</v>
      </c>
      <c r="C15" t="s">
        <v>296</v>
      </c>
      <c r="D15" s="21">
        <v>123000</v>
      </c>
      <c r="E15" s="21">
        <v>43050</v>
      </c>
      <c r="F15" s="21">
        <v>49200</v>
      </c>
      <c r="G15" s="21">
        <v>55350</v>
      </c>
      <c r="H15" s="21">
        <v>61500</v>
      </c>
      <c r="I15" s="21">
        <v>66450</v>
      </c>
      <c r="J15" s="21">
        <v>71350</v>
      </c>
      <c r="K15" s="21">
        <v>76300</v>
      </c>
      <c r="L15" s="21">
        <v>81200</v>
      </c>
      <c r="M15" s="21">
        <v>51660</v>
      </c>
      <c r="N15" s="21">
        <v>59040</v>
      </c>
      <c r="O15" s="21">
        <v>66420</v>
      </c>
      <c r="P15" s="21">
        <v>73800</v>
      </c>
      <c r="Q15" s="21">
        <v>79740</v>
      </c>
      <c r="R15" s="21">
        <v>85620</v>
      </c>
      <c r="S15" s="21">
        <v>91560</v>
      </c>
      <c r="T15" s="21">
        <v>97440</v>
      </c>
      <c r="U15" s="21" t="s">
        <v>11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>
        <v>36</v>
      </c>
      <c r="AM15" t="s">
        <v>12</v>
      </c>
      <c r="AN15">
        <v>1</v>
      </c>
      <c r="AO15" t="s">
        <v>52</v>
      </c>
      <c r="AP15" t="s">
        <v>14</v>
      </c>
      <c r="AQ15" t="s">
        <v>206</v>
      </c>
      <c r="AR15" t="s">
        <v>52</v>
      </c>
    </row>
    <row r="16" spans="1:44" x14ac:dyDescent="0.2">
      <c r="A16" s="16">
        <v>36</v>
      </c>
      <c r="B16" s="16" t="s">
        <v>53</v>
      </c>
      <c r="C16" t="s">
        <v>54</v>
      </c>
      <c r="D16" s="21">
        <v>101000</v>
      </c>
      <c r="E16" s="21">
        <v>35350</v>
      </c>
      <c r="F16" s="21">
        <v>40400</v>
      </c>
      <c r="G16" s="21">
        <v>45450</v>
      </c>
      <c r="H16" s="21">
        <v>50500</v>
      </c>
      <c r="I16" s="21">
        <v>54550</v>
      </c>
      <c r="J16" s="21">
        <v>58600</v>
      </c>
      <c r="K16" s="21">
        <v>62650</v>
      </c>
      <c r="L16" s="21">
        <v>66700</v>
      </c>
      <c r="M16" s="21">
        <v>42420</v>
      </c>
      <c r="N16" s="21">
        <v>48480</v>
      </c>
      <c r="O16" s="21">
        <v>54540</v>
      </c>
      <c r="P16" s="21">
        <v>60600</v>
      </c>
      <c r="Q16" s="21">
        <v>65460</v>
      </c>
      <c r="R16" s="21">
        <v>70320</v>
      </c>
      <c r="S16" s="21">
        <v>75180</v>
      </c>
      <c r="T16" s="21">
        <v>80040</v>
      </c>
      <c r="U16" s="21" t="s">
        <v>11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>
        <v>36</v>
      </c>
      <c r="AM16" t="s">
        <v>12</v>
      </c>
      <c r="AN16">
        <v>1</v>
      </c>
      <c r="AO16" t="s">
        <v>55</v>
      </c>
      <c r="AP16" t="s">
        <v>14</v>
      </c>
      <c r="AQ16" t="s">
        <v>207</v>
      </c>
      <c r="AR16" t="s">
        <v>55</v>
      </c>
    </row>
    <row r="17" spans="1:44" x14ac:dyDescent="0.2">
      <c r="A17" s="16">
        <v>36</v>
      </c>
      <c r="B17" s="16" t="s">
        <v>56</v>
      </c>
      <c r="C17" t="s">
        <v>57</v>
      </c>
      <c r="D17" s="21">
        <v>91900</v>
      </c>
      <c r="E17" s="21">
        <v>32200</v>
      </c>
      <c r="F17" s="21">
        <v>36800</v>
      </c>
      <c r="G17" s="21">
        <v>41400</v>
      </c>
      <c r="H17" s="21">
        <v>45950</v>
      </c>
      <c r="I17" s="21">
        <v>49650</v>
      </c>
      <c r="J17" s="21">
        <v>53350</v>
      </c>
      <c r="K17" s="21">
        <v>57000</v>
      </c>
      <c r="L17" s="21">
        <v>60700</v>
      </c>
      <c r="M17" s="21">
        <v>38640</v>
      </c>
      <c r="N17" s="21">
        <v>44160</v>
      </c>
      <c r="O17" s="21">
        <v>49680</v>
      </c>
      <c r="P17" s="21">
        <v>55140</v>
      </c>
      <c r="Q17" s="21">
        <v>59580</v>
      </c>
      <c r="R17" s="21">
        <v>64020</v>
      </c>
      <c r="S17" s="21">
        <v>68400</v>
      </c>
      <c r="T17" s="21">
        <v>72840</v>
      </c>
      <c r="U17" s="21" t="s">
        <v>11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>
        <v>36</v>
      </c>
      <c r="AM17" t="s">
        <v>12</v>
      </c>
      <c r="AN17">
        <v>0</v>
      </c>
      <c r="AO17" t="s">
        <v>58</v>
      </c>
      <c r="AP17" t="s">
        <v>14</v>
      </c>
      <c r="AQ17" t="s">
        <v>208</v>
      </c>
      <c r="AR17" t="s">
        <v>58</v>
      </c>
    </row>
    <row r="18" spans="1:44" x14ac:dyDescent="0.2">
      <c r="A18" s="16">
        <v>36</v>
      </c>
      <c r="B18" s="16" t="s">
        <v>59</v>
      </c>
      <c r="C18" t="s">
        <v>60</v>
      </c>
      <c r="D18" s="21">
        <v>82100</v>
      </c>
      <c r="E18" s="21">
        <v>31000</v>
      </c>
      <c r="F18" s="21">
        <v>35400</v>
      </c>
      <c r="G18" s="21">
        <v>39850</v>
      </c>
      <c r="H18" s="21">
        <v>44250</v>
      </c>
      <c r="I18" s="21">
        <v>47800</v>
      </c>
      <c r="J18" s="21">
        <v>51350</v>
      </c>
      <c r="K18" s="21">
        <v>54900</v>
      </c>
      <c r="L18" s="21">
        <v>58450</v>
      </c>
      <c r="M18" s="21">
        <v>37200</v>
      </c>
      <c r="N18" s="21">
        <v>42480</v>
      </c>
      <c r="O18" s="21">
        <v>47820</v>
      </c>
      <c r="P18" s="21">
        <v>53100</v>
      </c>
      <c r="Q18" s="21">
        <v>57360</v>
      </c>
      <c r="R18" s="21">
        <v>61620</v>
      </c>
      <c r="S18" s="21">
        <v>65880</v>
      </c>
      <c r="T18" s="21">
        <v>70140</v>
      </c>
      <c r="U18" s="21" t="s">
        <v>11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>
        <v>36</v>
      </c>
      <c r="AM18" t="s">
        <v>12</v>
      </c>
      <c r="AN18">
        <v>0</v>
      </c>
      <c r="AO18" t="s">
        <v>61</v>
      </c>
      <c r="AP18" t="s">
        <v>14</v>
      </c>
      <c r="AQ18" t="s">
        <v>209</v>
      </c>
      <c r="AR18" t="s">
        <v>61</v>
      </c>
    </row>
    <row r="19" spans="1:44" x14ac:dyDescent="0.2">
      <c r="A19" s="16">
        <v>36</v>
      </c>
      <c r="B19" s="16" t="s">
        <v>62</v>
      </c>
      <c r="C19" t="s">
        <v>63</v>
      </c>
      <c r="D19" s="21">
        <v>79100</v>
      </c>
      <c r="E19" s="21">
        <v>31000</v>
      </c>
      <c r="F19" s="21">
        <v>35400</v>
      </c>
      <c r="G19" s="21">
        <v>39850</v>
      </c>
      <c r="H19" s="21">
        <v>44250</v>
      </c>
      <c r="I19" s="21">
        <v>47800</v>
      </c>
      <c r="J19" s="21">
        <v>51350</v>
      </c>
      <c r="K19" s="21">
        <v>54900</v>
      </c>
      <c r="L19" s="21">
        <v>58450</v>
      </c>
      <c r="M19" s="21">
        <v>37200</v>
      </c>
      <c r="N19" s="21">
        <v>42480</v>
      </c>
      <c r="O19" s="21">
        <v>47820</v>
      </c>
      <c r="P19" s="21">
        <v>53100</v>
      </c>
      <c r="Q19" s="21">
        <v>57360</v>
      </c>
      <c r="R19" s="21">
        <v>61620</v>
      </c>
      <c r="S19" s="21">
        <v>65880</v>
      </c>
      <c r="T19" s="21">
        <v>70140</v>
      </c>
      <c r="U19" s="21" t="s">
        <v>11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>
        <v>36</v>
      </c>
      <c r="AM19" t="s">
        <v>12</v>
      </c>
      <c r="AN19">
        <v>0</v>
      </c>
      <c r="AO19" t="s">
        <v>64</v>
      </c>
      <c r="AP19" t="s">
        <v>14</v>
      </c>
      <c r="AQ19" t="s">
        <v>210</v>
      </c>
      <c r="AR19" t="s">
        <v>64</v>
      </c>
    </row>
    <row r="20" spans="1:44" x14ac:dyDescent="0.2">
      <c r="A20" s="16">
        <v>36</v>
      </c>
      <c r="B20" s="16" t="s">
        <v>65</v>
      </c>
      <c r="C20" t="s">
        <v>66</v>
      </c>
      <c r="D20" s="21">
        <v>96900</v>
      </c>
      <c r="E20" s="21">
        <v>33950</v>
      </c>
      <c r="F20" s="21">
        <v>38800</v>
      </c>
      <c r="G20" s="21">
        <v>43650</v>
      </c>
      <c r="H20" s="21">
        <v>48450</v>
      </c>
      <c r="I20" s="21">
        <v>52350</v>
      </c>
      <c r="J20" s="21">
        <v>56250</v>
      </c>
      <c r="K20" s="21">
        <v>60100</v>
      </c>
      <c r="L20" s="21">
        <v>64000</v>
      </c>
      <c r="M20" s="21">
        <v>40740</v>
      </c>
      <c r="N20" s="21">
        <v>46560</v>
      </c>
      <c r="O20" s="21">
        <v>52380</v>
      </c>
      <c r="P20" s="21">
        <v>58140</v>
      </c>
      <c r="Q20" s="21">
        <v>62820</v>
      </c>
      <c r="R20" s="21">
        <v>67500</v>
      </c>
      <c r="S20" s="21">
        <v>72120</v>
      </c>
      <c r="T20" s="21">
        <v>76800</v>
      </c>
      <c r="U20" s="21" t="s">
        <v>23</v>
      </c>
      <c r="V20" s="21">
        <v>35300</v>
      </c>
      <c r="W20" s="21">
        <v>40350</v>
      </c>
      <c r="X20" s="21">
        <v>45400</v>
      </c>
      <c r="Y20" s="21">
        <v>50400</v>
      </c>
      <c r="Z20" s="21">
        <v>54450</v>
      </c>
      <c r="AA20" s="21">
        <v>58500</v>
      </c>
      <c r="AB20" s="21">
        <v>62500</v>
      </c>
      <c r="AC20" s="21">
        <v>66550</v>
      </c>
      <c r="AD20" s="21">
        <v>42360</v>
      </c>
      <c r="AE20" s="21">
        <v>48420</v>
      </c>
      <c r="AF20" s="21">
        <v>54480</v>
      </c>
      <c r="AG20" s="21">
        <v>60480</v>
      </c>
      <c r="AH20" s="21">
        <v>65340</v>
      </c>
      <c r="AI20" s="21">
        <v>70200</v>
      </c>
      <c r="AJ20" s="21">
        <v>75000</v>
      </c>
      <c r="AK20" s="21">
        <v>79860</v>
      </c>
      <c r="AL20">
        <v>36</v>
      </c>
      <c r="AM20" t="s">
        <v>12</v>
      </c>
      <c r="AN20">
        <v>0</v>
      </c>
      <c r="AO20" t="s">
        <v>67</v>
      </c>
      <c r="AP20" t="s">
        <v>14</v>
      </c>
      <c r="AQ20" t="s">
        <v>211</v>
      </c>
      <c r="AR20" t="s">
        <v>67</v>
      </c>
    </row>
    <row r="21" spans="1:44" x14ac:dyDescent="0.2">
      <c r="A21" s="16">
        <v>36</v>
      </c>
      <c r="B21" s="16" t="s">
        <v>68</v>
      </c>
      <c r="C21" t="s">
        <v>69</v>
      </c>
      <c r="D21" s="21">
        <v>104300</v>
      </c>
      <c r="E21" s="21">
        <v>35150</v>
      </c>
      <c r="F21" s="21">
        <v>40100</v>
      </c>
      <c r="G21" s="21">
        <v>45150</v>
      </c>
      <c r="H21" s="21">
        <v>50150</v>
      </c>
      <c r="I21" s="21">
        <v>54200</v>
      </c>
      <c r="J21" s="21">
        <v>58200</v>
      </c>
      <c r="K21" s="21">
        <v>62200</v>
      </c>
      <c r="L21" s="21">
        <v>66200</v>
      </c>
      <c r="M21" s="21">
        <v>42180</v>
      </c>
      <c r="N21" s="21">
        <v>48120</v>
      </c>
      <c r="O21" s="21">
        <v>54180</v>
      </c>
      <c r="P21" s="21">
        <v>60180</v>
      </c>
      <c r="Q21" s="21">
        <v>65040</v>
      </c>
      <c r="R21" s="21">
        <v>69840</v>
      </c>
      <c r="S21" s="21">
        <v>74640</v>
      </c>
      <c r="T21" s="21">
        <v>79440</v>
      </c>
      <c r="U21" s="21" t="s">
        <v>11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>
        <v>36</v>
      </c>
      <c r="AM21" t="s">
        <v>12</v>
      </c>
      <c r="AN21">
        <v>0</v>
      </c>
      <c r="AO21" t="s">
        <v>70</v>
      </c>
      <c r="AP21" t="s">
        <v>14</v>
      </c>
      <c r="AQ21" t="s">
        <v>212</v>
      </c>
      <c r="AR21" t="s">
        <v>70</v>
      </c>
    </row>
    <row r="22" spans="1:44" x14ac:dyDescent="0.2">
      <c r="A22" s="16">
        <v>36</v>
      </c>
      <c r="B22" s="16" t="s">
        <v>71</v>
      </c>
      <c r="C22" t="s">
        <v>72</v>
      </c>
      <c r="D22" s="21">
        <v>94300</v>
      </c>
      <c r="E22" s="21">
        <v>33000</v>
      </c>
      <c r="F22" s="21">
        <v>37750</v>
      </c>
      <c r="G22" s="21">
        <v>42450</v>
      </c>
      <c r="H22" s="21">
        <v>47150</v>
      </c>
      <c r="I22" s="21">
        <v>50950</v>
      </c>
      <c r="J22" s="21">
        <v>54700</v>
      </c>
      <c r="K22" s="21">
        <v>58500</v>
      </c>
      <c r="L22" s="21">
        <v>62250</v>
      </c>
      <c r="M22" s="21">
        <v>39600</v>
      </c>
      <c r="N22" s="21">
        <v>45300</v>
      </c>
      <c r="O22" s="21">
        <v>50940</v>
      </c>
      <c r="P22" s="21">
        <v>56580</v>
      </c>
      <c r="Q22" s="21">
        <v>61140</v>
      </c>
      <c r="R22" s="21">
        <v>65640</v>
      </c>
      <c r="S22" s="21">
        <v>70200</v>
      </c>
      <c r="T22" s="21">
        <v>74700</v>
      </c>
      <c r="U22" s="21" t="s">
        <v>11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>
        <v>36</v>
      </c>
      <c r="AM22" t="s">
        <v>12</v>
      </c>
      <c r="AN22">
        <v>0</v>
      </c>
      <c r="AO22" t="s">
        <v>73</v>
      </c>
      <c r="AP22" t="s">
        <v>14</v>
      </c>
      <c r="AQ22" t="s">
        <v>213</v>
      </c>
      <c r="AR22" t="s">
        <v>73</v>
      </c>
    </row>
    <row r="23" spans="1:44" x14ac:dyDescent="0.2">
      <c r="A23" s="16">
        <v>36</v>
      </c>
      <c r="B23" s="16" t="s">
        <v>74</v>
      </c>
      <c r="C23" t="s">
        <v>75</v>
      </c>
      <c r="D23" s="21">
        <v>89000</v>
      </c>
      <c r="E23" s="21">
        <v>31150</v>
      </c>
      <c r="F23" s="21">
        <v>35600</v>
      </c>
      <c r="G23" s="21">
        <v>40050</v>
      </c>
      <c r="H23" s="21">
        <v>44500</v>
      </c>
      <c r="I23" s="21">
        <v>48100</v>
      </c>
      <c r="J23" s="21">
        <v>51650</v>
      </c>
      <c r="K23" s="21">
        <v>55200</v>
      </c>
      <c r="L23" s="21">
        <v>58750</v>
      </c>
      <c r="M23" s="21">
        <v>37380</v>
      </c>
      <c r="N23" s="21">
        <v>42720</v>
      </c>
      <c r="O23" s="21">
        <v>48060</v>
      </c>
      <c r="P23" s="21">
        <v>53400</v>
      </c>
      <c r="Q23" s="21">
        <v>57720</v>
      </c>
      <c r="R23" s="21">
        <v>61980</v>
      </c>
      <c r="S23" s="21">
        <v>66240</v>
      </c>
      <c r="T23" s="21">
        <v>70500</v>
      </c>
      <c r="U23" s="21" t="s">
        <v>11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>
        <v>36</v>
      </c>
      <c r="AM23" t="s">
        <v>12</v>
      </c>
      <c r="AN23">
        <v>1</v>
      </c>
      <c r="AO23" t="s">
        <v>76</v>
      </c>
      <c r="AP23" t="s">
        <v>14</v>
      </c>
      <c r="AQ23" t="s">
        <v>214</v>
      </c>
      <c r="AR23" t="s">
        <v>76</v>
      </c>
    </row>
    <row r="24" spans="1:44" x14ac:dyDescent="0.2">
      <c r="A24" s="16">
        <v>36</v>
      </c>
      <c r="B24" s="16" t="s">
        <v>77</v>
      </c>
      <c r="C24" t="s">
        <v>78</v>
      </c>
      <c r="D24" s="21">
        <v>83400</v>
      </c>
      <c r="E24" s="21">
        <v>31000</v>
      </c>
      <c r="F24" s="21">
        <v>35400</v>
      </c>
      <c r="G24" s="21">
        <v>39850</v>
      </c>
      <c r="H24" s="21">
        <v>44250</v>
      </c>
      <c r="I24" s="21">
        <v>47800</v>
      </c>
      <c r="J24" s="21">
        <v>51350</v>
      </c>
      <c r="K24" s="21">
        <v>54900</v>
      </c>
      <c r="L24" s="21">
        <v>58450</v>
      </c>
      <c r="M24" s="21">
        <v>37200</v>
      </c>
      <c r="N24" s="21">
        <v>42480</v>
      </c>
      <c r="O24" s="21">
        <v>47820</v>
      </c>
      <c r="P24" s="21">
        <v>53100</v>
      </c>
      <c r="Q24" s="21">
        <v>57360</v>
      </c>
      <c r="R24" s="21">
        <v>61620</v>
      </c>
      <c r="S24" s="21">
        <v>65880</v>
      </c>
      <c r="T24" s="21">
        <v>70140</v>
      </c>
      <c r="U24" s="21" t="s">
        <v>11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>
        <v>36</v>
      </c>
      <c r="AM24" t="s">
        <v>12</v>
      </c>
      <c r="AN24">
        <v>1</v>
      </c>
      <c r="AO24" t="s">
        <v>79</v>
      </c>
      <c r="AP24" t="s">
        <v>14</v>
      </c>
      <c r="AQ24" t="s">
        <v>215</v>
      </c>
      <c r="AR24" t="s">
        <v>79</v>
      </c>
    </row>
    <row r="25" spans="1:44" x14ac:dyDescent="0.2">
      <c r="A25" s="16">
        <v>36</v>
      </c>
      <c r="B25" s="16" t="s">
        <v>18</v>
      </c>
      <c r="C25" t="s">
        <v>19</v>
      </c>
      <c r="D25" s="21">
        <v>103000</v>
      </c>
      <c r="E25" s="21">
        <v>56700</v>
      </c>
      <c r="F25" s="21">
        <v>64800</v>
      </c>
      <c r="G25" s="21">
        <v>72900</v>
      </c>
      <c r="H25" s="21">
        <v>81000</v>
      </c>
      <c r="I25" s="21">
        <v>87500</v>
      </c>
      <c r="J25" s="21">
        <v>94000</v>
      </c>
      <c r="K25" s="21">
        <v>100450</v>
      </c>
      <c r="L25" s="21">
        <v>106950</v>
      </c>
      <c r="M25" s="21">
        <v>68040</v>
      </c>
      <c r="N25" s="21">
        <v>77760</v>
      </c>
      <c r="O25" s="21">
        <v>87480</v>
      </c>
      <c r="P25" s="21">
        <v>97200</v>
      </c>
      <c r="Q25" s="21">
        <v>105000</v>
      </c>
      <c r="R25" s="21">
        <v>112800</v>
      </c>
      <c r="S25" s="21">
        <v>120540</v>
      </c>
      <c r="T25" s="21">
        <v>128340</v>
      </c>
      <c r="U25" s="21" t="s">
        <v>11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>
        <v>36</v>
      </c>
      <c r="AM25" t="s">
        <v>12</v>
      </c>
      <c r="AN25">
        <v>1</v>
      </c>
      <c r="AO25" t="s">
        <v>80</v>
      </c>
      <c r="AP25" t="s">
        <v>14</v>
      </c>
      <c r="AQ25" t="s">
        <v>216</v>
      </c>
      <c r="AR25" t="s">
        <v>80</v>
      </c>
    </row>
    <row r="26" spans="1:44" x14ac:dyDescent="0.2">
      <c r="A26" s="16">
        <v>36</v>
      </c>
      <c r="B26" s="16" t="s">
        <v>81</v>
      </c>
      <c r="C26" t="s">
        <v>82</v>
      </c>
      <c r="D26" s="21">
        <v>84400</v>
      </c>
      <c r="E26" s="21">
        <v>31000</v>
      </c>
      <c r="F26" s="21">
        <v>35400</v>
      </c>
      <c r="G26" s="21">
        <v>39850</v>
      </c>
      <c r="H26" s="21">
        <v>44250</v>
      </c>
      <c r="I26" s="21">
        <v>47800</v>
      </c>
      <c r="J26" s="21">
        <v>51350</v>
      </c>
      <c r="K26" s="21">
        <v>54900</v>
      </c>
      <c r="L26" s="21">
        <v>58450</v>
      </c>
      <c r="M26" s="21">
        <v>37200</v>
      </c>
      <c r="N26" s="21">
        <v>42480</v>
      </c>
      <c r="O26" s="21">
        <v>47820</v>
      </c>
      <c r="P26" s="21">
        <v>53100</v>
      </c>
      <c r="Q26" s="21">
        <v>57360</v>
      </c>
      <c r="R26" s="21">
        <v>61620</v>
      </c>
      <c r="S26" s="21">
        <v>65880</v>
      </c>
      <c r="T26" s="21">
        <v>70140</v>
      </c>
      <c r="U26" s="21" t="s">
        <v>11</v>
      </c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>
        <v>36</v>
      </c>
      <c r="AM26" t="s">
        <v>12</v>
      </c>
      <c r="AN26">
        <v>0</v>
      </c>
      <c r="AO26" t="s">
        <v>83</v>
      </c>
      <c r="AP26" t="s">
        <v>14</v>
      </c>
      <c r="AQ26" t="s">
        <v>217</v>
      </c>
      <c r="AR26" t="s">
        <v>83</v>
      </c>
    </row>
    <row r="27" spans="1:44" x14ac:dyDescent="0.2">
      <c r="A27" s="16">
        <v>36</v>
      </c>
      <c r="B27" s="16" t="s">
        <v>84</v>
      </c>
      <c r="C27" t="s">
        <v>85</v>
      </c>
      <c r="D27" s="21">
        <v>103900</v>
      </c>
      <c r="E27" s="21">
        <v>36400</v>
      </c>
      <c r="F27" s="21">
        <v>41600</v>
      </c>
      <c r="G27" s="21">
        <v>46800</v>
      </c>
      <c r="H27" s="21">
        <v>51950</v>
      </c>
      <c r="I27" s="21">
        <v>56150</v>
      </c>
      <c r="J27" s="21">
        <v>60300</v>
      </c>
      <c r="K27" s="21">
        <v>64450</v>
      </c>
      <c r="L27" s="21">
        <v>68600</v>
      </c>
      <c r="M27" s="21">
        <v>43680</v>
      </c>
      <c r="N27" s="21">
        <v>49920</v>
      </c>
      <c r="O27" s="21">
        <v>56160</v>
      </c>
      <c r="P27" s="21">
        <v>62340</v>
      </c>
      <c r="Q27" s="21">
        <v>67380</v>
      </c>
      <c r="R27" s="21">
        <v>72360</v>
      </c>
      <c r="S27" s="21">
        <v>77340</v>
      </c>
      <c r="T27" s="21">
        <v>82320</v>
      </c>
      <c r="U27" s="21" t="s">
        <v>23</v>
      </c>
      <c r="V27" s="21">
        <v>36750</v>
      </c>
      <c r="W27" s="21">
        <v>42000</v>
      </c>
      <c r="X27" s="21">
        <v>47250</v>
      </c>
      <c r="Y27" s="21">
        <v>52450</v>
      </c>
      <c r="Z27" s="21">
        <v>56650</v>
      </c>
      <c r="AA27" s="21">
        <v>60850</v>
      </c>
      <c r="AB27" s="21">
        <v>65050</v>
      </c>
      <c r="AC27" s="21">
        <v>69250</v>
      </c>
      <c r="AD27" s="21">
        <v>44100</v>
      </c>
      <c r="AE27" s="21">
        <v>50400</v>
      </c>
      <c r="AF27" s="21">
        <v>56700</v>
      </c>
      <c r="AG27" s="21">
        <v>62940</v>
      </c>
      <c r="AH27" s="21">
        <v>67980</v>
      </c>
      <c r="AI27" s="21">
        <v>73020</v>
      </c>
      <c r="AJ27" s="21">
        <v>78060</v>
      </c>
      <c r="AK27" s="21">
        <v>83100</v>
      </c>
      <c r="AL27">
        <v>36</v>
      </c>
      <c r="AM27" t="s">
        <v>12</v>
      </c>
      <c r="AN27">
        <v>1</v>
      </c>
      <c r="AO27" t="s">
        <v>86</v>
      </c>
      <c r="AP27" t="s">
        <v>14</v>
      </c>
      <c r="AQ27" t="s">
        <v>218</v>
      </c>
      <c r="AR27" t="s">
        <v>86</v>
      </c>
    </row>
    <row r="28" spans="1:44" x14ac:dyDescent="0.2">
      <c r="A28" s="16">
        <v>36</v>
      </c>
      <c r="B28" s="16" t="s">
        <v>87</v>
      </c>
      <c r="C28" t="s">
        <v>88</v>
      </c>
      <c r="D28" s="21">
        <v>104100</v>
      </c>
      <c r="E28" s="21">
        <v>36250</v>
      </c>
      <c r="F28" s="21">
        <v>41400</v>
      </c>
      <c r="G28" s="21">
        <v>46600</v>
      </c>
      <c r="H28" s="21">
        <v>51750</v>
      </c>
      <c r="I28" s="21">
        <v>55900</v>
      </c>
      <c r="J28" s="21">
        <v>60050</v>
      </c>
      <c r="K28" s="21">
        <v>64200</v>
      </c>
      <c r="L28" s="21">
        <v>68350</v>
      </c>
      <c r="M28" s="21">
        <v>43500</v>
      </c>
      <c r="N28" s="21">
        <v>49680</v>
      </c>
      <c r="O28" s="21">
        <v>55920</v>
      </c>
      <c r="P28" s="21">
        <v>62100</v>
      </c>
      <c r="Q28" s="21">
        <v>67080</v>
      </c>
      <c r="R28" s="21">
        <v>72060</v>
      </c>
      <c r="S28" s="21">
        <v>77040</v>
      </c>
      <c r="T28" s="21">
        <v>82020</v>
      </c>
      <c r="U28" s="21" t="s">
        <v>23</v>
      </c>
      <c r="V28" s="21">
        <v>36450</v>
      </c>
      <c r="W28" s="21">
        <v>41650</v>
      </c>
      <c r="X28" s="21">
        <v>46850</v>
      </c>
      <c r="Y28" s="21">
        <v>52050</v>
      </c>
      <c r="Z28" s="21">
        <v>56250</v>
      </c>
      <c r="AA28" s="21">
        <v>60400</v>
      </c>
      <c r="AB28" s="21">
        <v>64550</v>
      </c>
      <c r="AC28" s="21">
        <v>68750</v>
      </c>
      <c r="AD28" s="21">
        <v>43740</v>
      </c>
      <c r="AE28" s="21">
        <v>49980</v>
      </c>
      <c r="AF28" s="21">
        <v>56220</v>
      </c>
      <c r="AG28" s="21">
        <v>62460</v>
      </c>
      <c r="AH28" s="21">
        <v>67500</v>
      </c>
      <c r="AI28" s="21">
        <v>72480</v>
      </c>
      <c r="AJ28" s="21">
        <v>77460</v>
      </c>
      <c r="AK28" s="21">
        <v>82500</v>
      </c>
      <c r="AL28">
        <v>36</v>
      </c>
      <c r="AM28" t="s">
        <v>12</v>
      </c>
      <c r="AN28">
        <v>1</v>
      </c>
      <c r="AO28" t="s">
        <v>89</v>
      </c>
      <c r="AP28" t="s">
        <v>14</v>
      </c>
      <c r="AQ28" t="s">
        <v>219</v>
      </c>
      <c r="AR28" t="s">
        <v>89</v>
      </c>
    </row>
    <row r="29" spans="1:44" x14ac:dyDescent="0.2">
      <c r="A29" s="16">
        <v>36</v>
      </c>
      <c r="B29" s="16" t="s">
        <v>84</v>
      </c>
      <c r="C29" t="s">
        <v>85</v>
      </c>
      <c r="D29" s="21">
        <v>103900</v>
      </c>
      <c r="E29" s="21">
        <v>36400</v>
      </c>
      <c r="F29" s="21">
        <v>41600</v>
      </c>
      <c r="G29" s="21">
        <v>46800</v>
      </c>
      <c r="H29" s="21">
        <v>51950</v>
      </c>
      <c r="I29" s="21">
        <v>56150</v>
      </c>
      <c r="J29" s="21">
        <v>60300</v>
      </c>
      <c r="K29" s="21">
        <v>64450</v>
      </c>
      <c r="L29" s="21">
        <v>68600</v>
      </c>
      <c r="M29" s="21">
        <v>43680</v>
      </c>
      <c r="N29" s="21">
        <v>49920</v>
      </c>
      <c r="O29" s="21">
        <v>56160</v>
      </c>
      <c r="P29" s="21">
        <v>62340</v>
      </c>
      <c r="Q29" s="21">
        <v>67380</v>
      </c>
      <c r="R29" s="21">
        <v>72360</v>
      </c>
      <c r="S29" s="21">
        <v>77340</v>
      </c>
      <c r="T29" s="21">
        <v>82320</v>
      </c>
      <c r="U29" s="21" t="s">
        <v>23</v>
      </c>
      <c r="V29" s="21">
        <v>36750</v>
      </c>
      <c r="W29" s="21">
        <v>42000</v>
      </c>
      <c r="X29" s="21">
        <v>47250</v>
      </c>
      <c r="Y29" s="21">
        <v>52450</v>
      </c>
      <c r="Z29" s="21">
        <v>56650</v>
      </c>
      <c r="AA29" s="21">
        <v>60850</v>
      </c>
      <c r="AB29" s="21">
        <v>65050</v>
      </c>
      <c r="AC29" s="21">
        <v>69250</v>
      </c>
      <c r="AD29" s="21">
        <v>44100</v>
      </c>
      <c r="AE29" s="21">
        <v>50400</v>
      </c>
      <c r="AF29" s="21">
        <v>56700</v>
      </c>
      <c r="AG29" s="21">
        <v>62940</v>
      </c>
      <c r="AH29" s="21">
        <v>67980</v>
      </c>
      <c r="AI29" s="21">
        <v>73020</v>
      </c>
      <c r="AJ29" s="21">
        <v>78060</v>
      </c>
      <c r="AK29" s="21">
        <v>83100</v>
      </c>
      <c r="AL29">
        <v>36</v>
      </c>
      <c r="AM29" t="s">
        <v>12</v>
      </c>
      <c r="AN29">
        <v>1</v>
      </c>
      <c r="AO29" t="s">
        <v>90</v>
      </c>
      <c r="AP29" t="s">
        <v>14</v>
      </c>
      <c r="AQ29" t="s">
        <v>220</v>
      </c>
      <c r="AR29" t="s">
        <v>90</v>
      </c>
    </row>
    <row r="30" spans="1:44" x14ac:dyDescent="0.2">
      <c r="A30" s="16">
        <v>36</v>
      </c>
      <c r="B30" s="16" t="s">
        <v>91</v>
      </c>
      <c r="C30" t="s">
        <v>92</v>
      </c>
      <c r="D30" s="21">
        <v>92900</v>
      </c>
      <c r="E30" s="21">
        <v>31950</v>
      </c>
      <c r="F30" s="21">
        <v>36450</v>
      </c>
      <c r="G30" s="21">
        <v>41050</v>
      </c>
      <c r="H30" s="21">
        <v>45600</v>
      </c>
      <c r="I30" s="21">
        <v>49250</v>
      </c>
      <c r="J30" s="21">
        <v>52900</v>
      </c>
      <c r="K30" s="21">
        <v>56550</v>
      </c>
      <c r="L30" s="21">
        <v>60200</v>
      </c>
      <c r="M30" s="21">
        <v>38340</v>
      </c>
      <c r="N30" s="21">
        <v>43740</v>
      </c>
      <c r="O30" s="21">
        <v>49260</v>
      </c>
      <c r="P30" s="21">
        <v>54720</v>
      </c>
      <c r="Q30" s="21">
        <v>59100</v>
      </c>
      <c r="R30" s="21">
        <v>63480</v>
      </c>
      <c r="S30" s="21">
        <v>67860</v>
      </c>
      <c r="T30" s="21">
        <v>72240</v>
      </c>
      <c r="U30" s="21" t="s">
        <v>23</v>
      </c>
      <c r="V30" s="21">
        <v>40500</v>
      </c>
      <c r="W30" s="21">
        <v>46300</v>
      </c>
      <c r="X30" s="21">
        <v>52100</v>
      </c>
      <c r="Y30" s="21">
        <v>57850</v>
      </c>
      <c r="Z30" s="21">
        <v>62500</v>
      </c>
      <c r="AA30" s="21">
        <v>67150</v>
      </c>
      <c r="AB30" s="21">
        <v>71750</v>
      </c>
      <c r="AC30" s="21">
        <v>76400</v>
      </c>
      <c r="AD30" s="21">
        <v>48600</v>
      </c>
      <c r="AE30" s="21">
        <v>55560</v>
      </c>
      <c r="AF30" s="21">
        <v>62520</v>
      </c>
      <c r="AG30" s="21">
        <v>69420</v>
      </c>
      <c r="AH30" s="21">
        <v>75000</v>
      </c>
      <c r="AI30" s="21">
        <v>80580</v>
      </c>
      <c r="AJ30" s="21">
        <v>86100</v>
      </c>
      <c r="AK30" s="21">
        <v>91680</v>
      </c>
      <c r="AL30">
        <v>36</v>
      </c>
      <c r="AM30" t="s">
        <v>12</v>
      </c>
      <c r="AN30">
        <v>0</v>
      </c>
      <c r="AO30" t="s">
        <v>93</v>
      </c>
      <c r="AP30" t="s">
        <v>14</v>
      </c>
      <c r="AQ30" t="s">
        <v>221</v>
      </c>
      <c r="AR30" t="s">
        <v>93</v>
      </c>
    </row>
    <row r="31" spans="1:44" x14ac:dyDescent="0.2">
      <c r="A31" s="16">
        <v>36</v>
      </c>
      <c r="B31" s="16" t="s">
        <v>94</v>
      </c>
      <c r="C31" t="s">
        <v>95</v>
      </c>
      <c r="D31" s="21">
        <v>164900</v>
      </c>
      <c r="E31" s="21">
        <v>57750</v>
      </c>
      <c r="F31" s="21">
        <v>66000</v>
      </c>
      <c r="G31" s="21">
        <v>74250</v>
      </c>
      <c r="H31" s="21">
        <v>82450</v>
      </c>
      <c r="I31" s="21">
        <v>89050</v>
      </c>
      <c r="J31" s="21">
        <v>95650</v>
      </c>
      <c r="K31" s="21">
        <v>102250</v>
      </c>
      <c r="L31" s="21">
        <v>108850</v>
      </c>
      <c r="M31" s="21">
        <v>69300</v>
      </c>
      <c r="N31" s="21">
        <v>79200</v>
      </c>
      <c r="O31" s="21">
        <v>89100</v>
      </c>
      <c r="P31" s="21">
        <v>98940</v>
      </c>
      <c r="Q31" s="21">
        <v>106860</v>
      </c>
      <c r="R31" s="21">
        <v>114780</v>
      </c>
      <c r="S31" s="21">
        <v>122700</v>
      </c>
      <c r="T31" s="21">
        <v>130620</v>
      </c>
      <c r="U31" s="21" t="s">
        <v>11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>
        <v>36</v>
      </c>
      <c r="AM31" t="s">
        <v>12</v>
      </c>
      <c r="AN31">
        <v>1</v>
      </c>
      <c r="AO31" t="s">
        <v>96</v>
      </c>
      <c r="AP31" t="s">
        <v>14</v>
      </c>
      <c r="AQ31" t="s">
        <v>222</v>
      </c>
      <c r="AR31" t="s">
        <v>96</v>
      </c>
    </row>
    <row r="32" spans="1:44" x14ac:dyDescent="0.2">
      <c r="A32" s="16">
        <v>36</v>
      </c>
      <c r="B32" s="16" t="s">
        <v>18</v>
      </c>
      <c r="C32" t="s">
        <v>19</v>
      </c>
      <c r="D32" s="21">
        <v>103000</v>
      </c>
      <c r="E32" s="21">
        <v>56700</v>
      </c>
      <c r="F32" s="21">
        <v>64800</v>
      </c>
      <c r="G32" s="21">
        <v>72900</v>
      </c>
      <c r="H32" s="21">
        <v>81000</v>
      </c>
      <c r="I32" s="21">
        <v>87500</v>
      </c>
      <c r="J32" s="21">
        <v>94000</v>
      </c>
      <c r="K32" s="21">
        <v>100450</v>
      </c>
      <c r="L32" s="21">
        <v>106950</v>
      </c>
      <c r="M32" s="21">
        <v>68040</v>
      </c>
      <c r="N32" s="21">
        <v>77760</v>
      </c>
      <c r="O32" s="21">
        <v>87480</v>
      </c>
      <c r="P32" s="21">
        <v>97200</v>
      </c>
      <c r="Q32" s="21">
        <v>105000</v>
      </c>
      <c r="R32" s="21">
        <v>112800</v>
      </c>
      <c r="S32" s="21">
        <v>120540</v>
      </c>
      <c r="T32" s="21">
        <v>128340</v>
      </c>
      <c r="U32" s="21" t="s">
        <v>11</v>
      </c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>
        <v>36</v>
      </c>
      <c r="AM32" t="s">
        <v>12</v>
      </c>
      <c r="AN32">
        <v>1</v>
      </c>
      <c r="AO32" t="s">
        <v>97</v>
      </c>
      <c r="AP32" t="s">
        <v>14</v>
      </c>
      <c r="AQ32" t="s">
        <v>223</v>
      </c>
      <c r="AR32" t="s">
        <v>97</v>
      </c>
    </row>
    <row r="33" spans="1:44" x14ac:dyDescent="0.2">
      <c r="A33" s="16">
        <v>36</v>
      </c>
      <c r="B33" s="16" t="s">
        <v>53</v>
      </c>
      <c r="C33" t="s">
        <v>54</v>
      </c>
      <c r="D33" s="21">
        <v>101000</v>
      </c>
      <c r="E33" s="21">
        <v>35350</v>
      </c>
      <c r="F33" s="21">
        <v>40400</v>
      </c>
      <c r="G33" s="21">
        <v>45450</v>
      </c>
      <c r="H33" s="21">
        <v>50500</v>
      </c>
      <c r="I33" s="21">
        <v>54550</v>
      </c>
      <c r="J33" s="21">
        <v>58600</v>
      </c>
      <c r="K33" s="21">
        <v>62650</v>
      </c>
      <c r="L33" s="21">
        <v>66700</v>
      </c>
      <c r="M33" s="21">
        <v>42420</v>
      </c>
      <c r="N33" s="21">
        <v>48480</v>
      </c>
      <c r="O33" s="21">
        <v>54540</v>
      </c>
      <c r="P33" s="21">
        <v>60600</v>
      </c>
      <c r="Q33" s="21">
        <v>65460</v>
      </c>
      <c r="R33" s="21">
        <v>70320</v>
      </c>
      <c r="S33" s="21">
        <v>75180</v>
      </c>
      <c r="T33" s="21">
        <v>80040</v>
      </c>
      <c r="U33" s="21" t="s">
        <v>11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>
        <v>36</v>
      </c>
      <c r="AM33" t="s">
        <v>12</v>
      </c>
      <c r="AN33">
        <v>1</v>
      </c>
      <c r="AO33" t="s">
        <v>98</v>
      </c>
      <c r="AP33" t="s">
        <v>14</v>
      </c>
      <c r="AQ33" t="s">
        <v>224</v>
      </c>
      <c r="AR33" t="s">
        <v>98</v>
      </c>
    </row>
    <row r="34" spans="1:44" x14ac:dyDescent="0.2">
      <c r="A34" s="16">
        <v>36</v>
      </c>
      <c r="B34" s="16" t="s">
        <v>74</v>
      </c>
      <c r="C34" t="s">
        <v>75</v>
      </c>
      <c r="D34" s="21">
        <v>89000</v>
      </c>
      <c r="E34" s="21">
        <v>31150</v>
      </c>
      <c r="F34" s="21">
        <v>35600</v>
      </c>
      <c r="G34" s="21">
        <v>40050</v>
      </c>
      <c r="H34" s="21">
        <v>44500</v>
      </c>
      <c r="I34" s="21">
        <v>48100</v>
      </c>
      <c r="J34" s="21">
        <v>51650</v>
      </c>
      <c r="K34" s="21">
        <v>55200</v>
      </c>
      <c r="L34" s="21">
        <v>58750</v>
      </c>
      <c r="M34" s="21">
        <v>37380</v>
      </c>
      <c r="N34" s="21">
        <v>42720</v>
      </c>
      <c r="O34" s="21">
        <v>48060</v>
      </c>
      <c r="P34" s="21">
        <v>53400</v>
      </c>
      <c r="Q34" s="21">
        <v>57720</v>
      </c>
      <c r="R34" s="21">
        <v>61980</v>
      </c>
      <c r="S34" s="21">
        <v>66240</v>
      </c>
      <c r="T34" s="21">
        <v>70500</v>
      </c>
      <c r="U34" s="21" t="s">
        <v>11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>
        <v>36</v>
      </c>
      <c r="AM34" t="s">
        <v>12</v>
      </c>
      <c r="AN34">
        <v>1</v>
      </c>
      <c r="AO34" t="s">
        <v>99</v>
      </c>
      <c r="AP34" t="s">
        <v>14</v>
      </c>
      <c r="AQ34" t="s">
        <v>225</v>
      </c>
      <c r="AR34" t="s">
        <v>99</v>
      </c>
    </row>
    <row r="35" spans="1:44" x14ac:dyDescent="0.2">
      <c r="A35" s="16">
        <v>36</v>
      </c>
      <c r="B35" s="16" t="s">
        <v>87</v>
      </c>
      <c r="C35" t="s">
        <v>88</v>
      </c>
      <c r="D35" s="21">
        <v>104100</v>
      </c>
      <c r="E35" s="21">
        <v>36250</v>
      </c>
      <c r="F35" s="21">
        <v>41400</v>
      </c>
      <c r="G35" s="21">
        <v>46600</v>
      </c>
      <c r="H35" s="21">
        <v>51750</v>
      </c>
      <c r="I35" s="21">
        <v>55900</v>
      </c>
      <c r="J35" s="21">
        <v>60050</v>
      </c>
      <c r="K35" s="21">
        <v>64200</v>
      </c>
      <c r="L35" s="21">
        <v>68350</v>
      </c>
      <c r="M35" s="21">
        <v>43500</v>
      </c>
      <c r="N35" s="21">
        <v>49680</v>
      </c>
      <c r="O35" s="21">
        <v>55920</v>
      </c>
      <c r="P35" s="21">
        <v>62100</v>
      </c>
      <c r="Q35" s="21">
        <v>67080</v>
      </c>
      <c r="R35" s="21">
        <v>72060</v>
      </c>
      <c r="S35" s="21">
        <v>77040</v>
      </c>
      <c r="T35" s="21">
        <v>82020</v>
      </c>
      <c r="U35" s="21" t="s">
        <v>23</v>
      </c>
      <c r="V35" s="21">
        <v>36450</v>
      </c>
      <c r="W35" s="21">
        <v>41650</v>
      </c>
      <c r="X35" s="21">
        <v>46850</v>
      </c>
      <c r="Y35" s="21">
        <v>52050</v>
      </c>
      <c r="Z35" s="21">
        <v>56250</v>
      </c>
      <c r="AA35" s="21">
        <v>60400</v>
      </c>
      <c r="AB35" s="21">
        <v>64550</v>
      </c>
      <c r="AC35" s="21">
        <v>68750</v>
      </c>
      <c r="AD35" s="21">
        <v>43740</v>
      </c>
      <c r="AE35" s="21">
        <v>49980</v>
      </c>
      <c r="AF35" s="21">
        <v>56220</v>
      </c>
      <c r="AG35" s="21">
        <v>62460</v>
      </c>
      <c r="AH35" s="21">
        <v>67500</v>
      </c>
      <c r="AI35" s="21">
        <v>72480</v>
      </c>
      <c r="AJ35" s="21">
        <v>77460</v>
      </c>
      <c r="AK35" s="21">
        <v>82500</v>
      </c>
      <c r="AL35">
        <v>36</v>
      </c>
      <c r="AM35" t="s">
        <v>12</v>
      </c>
      <c r="AN35">
        <v>1</v>
      </c>
      <c r="AO35" t="s">
        <v>100</v>
      </c>
      <c r="AP35" t="s">
        <v>14</v>
      </c>
      <c r="AQ35" t="s">
        <v>226</v>
      </c>
      <c r="AR35" t="s">
        <v>100</v>
      </c>
    </row>
    <row r="36" spans="1:44" x14ac:dyDescent="0.2">
      <c r="A36" s="16">
        <v>36</v>
      </c>
      <c r="B36" s="16" t="s">
        <v>84</v>
      </c>
      <c r="C36" t="s">
        <v>85</v>
      </c>
      <c r="D36" s="21">
        <v>103900</v>
      </c>
      <c r="E36" s="21">
        <v>36400</v>
      </c>
      <c r="F36" s="21">
        <v>41600</v>
      </c>
      <c r="G36" s="21">
        <v>46800</v>
      </c>
      <c r="H36" s="21">
        <v>51950</v>
      </c>
      <c r="I36" s="21">
        <v>56150</v>
      </c>
      <c r="J36" s="21">
        <v>60300</v>
      </c>
      <c r="K36" s="21">
        <v>64450</v>
      </c>
      <c r="L36" s="21">
        <v>68600</v>
      </c>
      <c r="M36" s="21">
        <v>43680</v>
      </c>
      <c r="N36" s="21">
        <v>49920</v>
      </c>
      <c r="O36" s="21">
        <v>56160</v>
      </c>
      <c r="P36" s="21">
        <v>62340</v>
      </c>
      <c r="Q36" s="21">
        <v>67380</v>
      </c>
      <c r="R36" s="21">
        <v>72360</v>
      </c>
      <c r="S36" s="21">
        <v>77340</v>
      </c>
      <c r="T36" s="21">
        <v>82320</v>
      </c>
      <c r="U36" s="21" t="s">
        <v>23</v>
      </c>
      <c r="V36" s="21">
        <v>36750</v>
      </c>
      <c r="W36" s="21">
        <v>42000</v>
      </c>
      <c r="X36" s="21">
        <v>47250</v>
      </c>
      <c r="Y36" s="21">
        <v>52450</v>
      </c>
      <c r="Z36" s="21">
        <v>56650</v>
      </c>
      <c r="AA36" s="21">
        <v>60850</v>
      </c>
      <c r="AB36" s="21">
        <v>65050</v>
      </c>
      <c r="AC36" s="21">
        <v>69250</v>
      </c>
      <c r="AD36" s="21">
        <v>44100</v>
      </c>
      <c r="AE36" s="21">
        <v>50400</v>
      </c>
      <c r="AF36" s="21">
        <v>56700</v>
      </c>
      <c r="AG36" s="21">
        <v>62940</v>
      </c>
      <c r="AH36" s="21">
        <v>67980</v>
      </c>
      <c r="AI36" s="21">
        <v>73020</v>
      </c>
      <c r="AJ36" s="21">
        <v>78060</v>
      </c>
      <c r="AK36" s="21">
        <v>83100</v>
      </c>
      <c r="AL36">
        <v>36</v>
      </c>
      <c r="AM36" t="s">
        <v>12</v>
      </c>
      <c r="AN36">
        <v>1</v>
      </c>
      <c r="AO36" t="s">
        <v>101</v>
      </c>
      <c r="AP36" t="s">
        <v>14</v>
      </c>
      <c r="AQ36" t="s">
        <v>227</v>
      </c>
      <c r="AR36" t="s">
        <v>101</v>
      </c>
    </row>
    <row r="37" spans="1:44" x14ac:dyDescent="0.2">
      <c r="A37" s="16">
        <v>36</v>
      </c>
      <c r="B37" s="16" t="s">
        <v>295</v>
      </c>
      <c r="C37" t="s">
        <v>296</v>
      </c>
      <c r="D37" s="21">
        <v>123000</v>
      </c>
      <c r="E37" s="21">
        <v>43050</v>
      </c>
      <c r="F37" s="21">
        <v>49200</v>
      </c>
      <c r="G37" s="21">
        <v>55350</v>
      </c>
      <c r="H37" s="21">
        <v>61500</v>
      </c>
      <c r="I37" s="21">
        <v>66450</v>
      </c>
      <c r="J37" s="21">
        <v>71350</v>
      </c>
      <c r="K37" s="21">
        <v>76300</v>
      </c>
      <c r="L37" s="21">
        <v>81200</v>
      </c>
      <c r="M37" s="21">
        <v>51660</v>
      </c>
      <c r="N37" s="21">
        <v>59040</v>
      </c>
      <c r="O37" s="21">
        <v>66420</v>
      </c>
      <c r="P37" s="21">
        <v>73800</v>
      </c>
      <c r="Q37" s="21">
        <v>79740</v>
      </c>
      <c r="R37" s="21">
        <v>85620</v>
      </c>
      <c r="S37" s="21">
        <v>91560</v>
      </c>
      <c r="T37" s="21">
        <v>97440</v>
      </c>
      <c r="U37" s="21" t="s">
        <v>11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>
        <v>36</v>
      </c>
      <c r="AM37" t="s">
        <v>12</v>
      </c>
      <c r="AN37">
        <v>1</v>
      </c>
      <c r="AO37" t="s">
        <v>102</v>
      </c>
      <c r="AP37" t="s">
        <v>14</v>
      </c>
      <c r="AQ37" t="s">
        <v>228</v>
      </c>
      <c r="AR37" t="s">
        <v>102</v>
      </c>
    </row>
    <row r="38" spans="1:44" x14ac:dyDescent="0.2">
      <c r="A38" s="16">
        <v>36</v>
      </c>
      <c r="B38" s="16" t="s">
        <v>84</v>
      </c>
      <c r="C38" t="s">
        <v>85</v>
      </c>
      <c r="D38" s="21">
        <v>103900</v>
      </c>
      <c r="E38" s="21">
        <v>36400</v>
      </c>
      <c r="F38" s="21">
        <v>41600</v>
      </c>
      <c r="G38" s="21">
        <v>46800</v>
      </c>
      <c r="H38" s="21">
        <v>51950</v>
      </c>
      <c r="I38" s="21">
        <v>56150</v>
      </c>
      <c r="J38" s="21">
        <v>60300</v>
      </c>
      <c r="K38" s="21">
        <v>64450</v>
      </c>
      <c r="L38" s="21">
        <v>68600</v>
      </c>
      <c r="M38" s="21">
        <v>43680</v>
      </c>
      <c r="N38" s="21">
        <v>49920</v>
      </c>
      <c r="O38" s="21">
        <v>56160</v>
      </c>
      <c r="P38" s="21">
        <v>62340</v>
      </c>
      <c r="Q38" s="21">
        <v>67380</v>
      </c>
      <c r="R38" s="21">
        <v>72360</v>
      </c>
      <c r="S38" s="21">
        <v>77340</v>
      </c>
      <c r="T38" s="21">
        <v>82320</v>
      </c>
      <c r="U38" s="21" t="s">
        <v>23</v>
      </c>
      <c r="V38" s="21">
        <v>36750</v>
      </c>
      <c r="W38" s="21">
        <v>42000</v>
      </c>
      <c r="X38" s="21">
        <v>47250</v>
      </c>
      <c r="Y38" s="21">
        <v>52450</v>
      </c>
      <c r="Z38" s="21">
        <v>56650</v>
      </c>
      <c r="AA38" s="21">
        <v>60850</v>
      </c>
      <c r="AB38" s="21">
        <v>65050</v>
      </c>
      <c r="AC38" s="21">
        <v>69250</v>
      </c>
      <c r="AD38" s="21">
        <v>44100</v>
      </c>
      <c r="AE38" s="21">
        <v>50400</v>
      </c>
      <c r="AF38" s="21">
        <v>56700</v>
      </c>
      <c r="AG38" s="21">
        <v>62940</v>
      </c>
      <c r="AH38" s="21">
        <v>67980</v>
      </c>
      <c r="AI38" s="21">
        <v>73020</v>
      </c>
      <c r="AJ38" s="21">
        <v>78060</v>
      </c>
      <c r="AK38" s="21">
        <v>83100</v>
      </c>
      <c r="AL38">
        <v>36</v>
      </c>
      <c r="AM38" t="s">
        <v>12</v>
      </c>
      <c r="AN38">
        <v>1</v>
      </c>
      <c r="AO38" t="s">
        <v>103</v>
      </c>
      <c r="AP38" t="s">
        <v>14</v>
      </c>
      <c r="AQ38" t="s">
        <v>229</v>
      </c>
      <c r="AR38" t="s">
        <v>103</v>
      </c>
    </row>
    <row r="39" spans="1:44" x14ac:dyDescent="0.2">
      <c r="A39" s="16">
        <v>36</v>
      </c>
      <c r="B39" s="16" t="s">
        <v>87</v>
      </c>
      <c r="C39" t="s">
        <v>88</v>
      </c>
      <c r="D39" s="21">
        <v>104100</v>
      </c>
      <c r="E39" s="21">
        <v>36250</v>
      </c>
      <c r="F39" s="21">
        <v>41400</v>
      </c>
      <c r="G39" s="21">
        <v>46600</v>
      </c>
      <c r="H39" s="21">
        <v>51750</v>
      </c>
      <c r="I39" s="21">
        <v>55900</v>
      </c>
      <c r="J39" s="21">
        <v>60050</v>
      </c>
      <c r="K39" s="21">
        <v>64200</v>
      </c>
      <c r="L39" s="21">
        <v>68350</v>
      </c>
      <c r="M39" s="21">
        <v>43500</v>
      </c>
      <c r="N39" s="21">
        <v>49680</v>
      </c>
      <c r="O39" s="21">
        <v>55920</v>
      </c>
      <c r="P39" s="21">
        <v>62100</v>
      </c>
      <c r="Q39" s="21">
        <v>67080</v>
      </c>
      <c r="R39" s="21">
        <v>72060</v>
      </c>
      <c r="S39" s="21">
        <v>77040</v>
      </c>
      <c r="T39" s="21">
        <v>82020</v>
      </c>
      <c r="U39" s="21" t="s">
        <v>23</v>
      </c>
      <c r="V39" s="21">
        <v>36450</v>
      </c>
      <c r="W39" s="21">
        <v>41650</v>
      </c>
      <c r="X39" s="21">
        <v>46850</v>
      </c>
      <c r="Y39" s="21">
        <v>52050</v>
      </c>
      <c r="Z39" s="21">
        <v>56250</v>
      </c>
      <c r="AA39" s="21">
        <v>60400</v>
      </c>
      <c r="AB39" s="21">
        <v>64550</v>
      </c>
      <c r="AC39" s="21">
        <v>68750</v>
      </c>
      <c r="AD39" s="21">
        <v>43740</v>
      </c>
      <c r="AE39" s="21">
        <v>49980</v>
      </c>
      <c r="AF39" s="21">
        <v>56220</v>
      </c>
      <c r="AG39" s="21">
        <v>62460</v>
      </c>
      <c r="AH39" s="21">
        <v>67500</v>
      </c>
      <c r="AI39" s="21">
        <v>72480</v>
      </c>
      <c r="AJ39" s="21">
        <v>77460</v>
      </c>
      <c r="AK39" s="21">
        <v>82500</v>
      </c>
      <c r="AL39">
        <v>36</v>
      </c>
      <c r="AM39" t="s">
        <v>12</v>
      </c>
      <c r="AN39">
        <v>1</v>
      </c>
      <c r="AO39" t="s">
        <v>104</v>
      </c>
      <c r="AP39" t="s">
        <v>14</v>
      </c>
      <c r="AQ39" t="s">
        <v>230</v>
      </c>
      <c r="AR39" t="s">
        <v>104</v>
      </c>
    </row>
    <row r="40" spans="1:44" x14ac:dyDescent="0.2">
      <c r="A40" s="16">
        <v>36</v>
      </c>
      <c r="B40" s="16" t="s">
        <v>105</v>
      </c>
      <c r="C40" t="s">
        <v>106</v>
      </c>
      <c r="D40" s="21">
        <v>91200</v>
      </c>
      <c r="E40" s="21">
        <v>31950</v>
      </c>
      <c r="F40" s="21">
        <v>36500</v>
      </c>
      <c r="G40" s="21">
        <v>41050</v>
      </c>
      <c r="H40" s="21">
        <v>45600</v>
      </c>
      <c r="I40" s="21">
        <v>49250</v>
      </c>
      <c r="J40" s="21">
        <v>52900</v>
      </c>
      <c r="K40" s="21">
        <v>56550</v>
      </c>
      <c r="L40" s="21">
        <v>60200</v>
      </c>
      <c r="M40" s="21">
        <v>38340</v>
      </c>
      <c r="N40" s="21">
        <v>43800</v>
      </c>
      <c r="O40" s="21">
        <v>49260</v>
      </c>
      <c r="P40" s="21">
        <v>54720</v>
      </c>
      <c r="Q40" s="21">
        <v>59100</v>
      </c>
      <c r="R40" s="21">
        <v>63480</v>
      </c>
      <c r="S40" s="21">
        <v>67860</v>
      </c>
      <c r="T40" s="21">
        <v>72240</v>
      </c>
      <c r="U40" s="21" t="s">
        <v>11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>
        <v>36</v>
      </c>
      <c r="AM40" t="s">
        <v>12</v>
      </c>
      <c r="AN40">
        <v>0</v>
      </c>
      <c r="AO40" t="s">
        <v>107</v>
      </c>
      <c r="AP40" t="s">
        <v>14</v>
      </c>
      <c r="AQ40" t="s">
        <v>231</v>
      </c>
      <c r="AR40" t="s">
        <v>107</v>
      </c>
    </row>
    <row r="41" spans="1:44" x14ac:dyDescent="0.2">
      <c r="A41" s="16">
        <v>36</v>
      </c>
      <c r="B41" s="16" t="s">
        <v>18</v>
      </c>
      <c r="C41" t="s">
        <v>19</v>
      </c>
      <c r="D41" s="21">
        <v>103000</v>
      </c>
      <c r="E41" s="21">
        <v>56700</v>
      </c>
      <c r="F41" s="21">
        <v>64800</v>
      </c>
      <c r="G41" s="21">
        <v>72900</v>
      </c>
      <c r="H41" s="21">
        <v>81000</v>
      </c>
      <c r="I41" s="21">
        <v>87500</v>
      </c>
      <c r="J41" s="21">
        <v>94000</v>
      </c>
      <c r="K41" s="21">
        <v>100450</v>
      </c>
      <c r="L41" s="21">
        <v>106950</v>
      </c>
      <c r="M41" s="21">
        <v>68040</v>
      </c>
      <c r="N41" s="21">
        <v>77760</v>
      </c>
      <c r="O41" s="21">
        <v>87480</v>
      </c>
      <c r="P41" s="21">
        <v>97200</v>
      </c>
      <c r="Q41" s="21">
        <v>105000</v>
      </c>
      <c r="R41" s="21">
        <v>112800</v>
      </c>
      <c r="S41" s="21">
        <v>120540</v>
      </c>
      <c r="T41" s="21">
        <v>128340</v>
      </c>
      <c r="U41" s="21" t="s">
        <v>11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>
        <v>36</v>
      </c>
      <c r="AM41" t="s">
        <v>12</v>
      </c>
      <c r="AN41">
        <v>1</v>
      </c>
      <c r="AO41" t="s">
        <v>108</v>
      </c>
      <c r="AP41" t="s">
        <v>14</v>
      </c>
      <c r="AQ41" t="s">
        <v>232</v>
      </c>
      <c r="AR41" t="s">
        <v>108</v>
      </c>
    </row>
    <row r="42" spans="1:44" x14ac:dyDescent="0.2">
      <c r="A42" s="16">
        <v>36</v>
      </c>
      <c r="B42" s="16" t="s">
        <v>18</v>
      </c>
      <c r="C42" t="s">
        <v>19</v>
      </c>
      <c r="D42" s="21">
        <v>103000</v>
      </c>
      <c r="E42" s="21">
        <v>56700</v>
      </c>
      <c r="F42" s="21">
        <v>64800</v>
      </c>
      <c r="G42" s="21">
        <v>72900</v>
      </c>
      <c r="H42" s="21">
        <v>81000</v>
      </c>
      <c r="I42" s="21">
        <v>87500</v>
      </c>
      <c r="J42" s="21">
        <v>94000</v>
      </c>
      <c r="K42" s="21">
        <v>100450</v>
      </c>
      <c r="L42" s="21">
        <v>106950</v>
      </c>
      <c r="M42" s="21">
        <v>68040</v>
      </c>
      <c r="N42" s="21">
        <v>77760</v>
      </c>
      <c r="O42" s="21">
        <v>87480</v>
      </c>
      <c r="P42" s="21">
        <v>97200</v>
      </c>
      <c r="Q42" s="21">
        <v>105000</v>
      </c>
      <c r="R42" s="21">
        <v>112800</v>
      </c>
      <c r="S42" s="21">
        <v>120540</v>
      </c>
      <c r="T42" s="21">
        <v>128340</v>
      </c>
      <c r="U42" s="21" t="s">
        <v>11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>
        <v>36</v>
      </c>
      <c r="AM42" t="s">
        <v>12</v>
      </c>
      <c r="AN42">
        <v>1</v>
      </c>
      <c r="AO42" t="s">
        <v>109</v>
      </c>
      <c r="AP42" t="s">
        <v>14</v>
      </c>
      <c r="AQ42" t="s">
        <v>233</v>
      </c>
      <c r="AR42" t="s">
        <v>109</v>
      </c>
    </row>
    <row r="43" spans="1:44" x14ac:dyDescent="0.2">
      <c r="A43" s="16">
        <v>36</v>
      </c>
      <c r="B43" s="16" t="s">
        <v>9</v>
      </c>
      <c r="C43" t="s">
        <v>10</v>
      </c>
      <c r="D43" s="21">
        <v>116100</v>
      </c>
      <c r="E43" s="21">
        <v>40650</v>
      </c>
      <c r="F43" s="21">
        <v>46450</v>
      </c>
      <c r="G43" s="21">
        <v>52250</v>
      </c>
      <c r="H43" s="21">
        <v>58050</v>
      </c>
      <c r="I43" s="21">
        <v>62700</v>
      </c>
      <c r="J43" s="21">
        <v>67350</v>
      </c>
      <c r="K43" s="21">
        <v>72000</v>
      </c>
      <c r="L43" s="21">
        <v>76650</v>
      </c>
      <c r="M43" s="21">
        <v>48780</v>
      </c>
      <c r="N43" s="21">
        <v>55740</v>
      </c>
      <c r="O43" s="21">
        <v>62700</v>
      </c>
      <c r="P43" s="21">
        <v>69660</v>
      </c>
      <c r="Q43" s="21">
        <v>75240</v>
      </c>
      <c r="R43" s="21">
        <v>80820</v>
      </c>
      <c r="S43" s="21">
        <v>86400</v>
      </c>
      <c r="T43" s="21">
        <v>91980</v>
      </c>
      <c r="U43" s="21" t="s">
        <v>11</v>
      </c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>
        <v>36</v>
      </c>
      <c r="AM43" t="s">
        <v>12</v>
      </c>
      <c r="AN43">
        <v>1</v>
      </c>
      <c r="AO43" t="s">
        <v>110</v>
      </c>
      <c r="AP43" t="s">
        <v>14</v>
      </c>
      <c r="AQ43" t="s">
        <v>234</v>
      </c>
      <c r="AR43" t="s">
        <v>110</v>
      </c>
    </row>
    <row r="44" spans="1:44" x14ac:dyDescent="0.2">
      <c r="A44" s="16">
        <v>36</v>
      </c>
      <c r="B44" s="16" t="s">
        <v>18</v>
      </c>
      <c r="C44" t="s">
        <v>19</v>
      </c>
      <c r="D44" s="21">
        <v>103000</v>
      </c>
      <c r="E44" s="21">
        <v>56700</v>
      </c>
      <c r="F44" s="21">
        <v>64800</v>
      </c>
      <c r="G44" s="21">
        <v>72900</v>
      </c>
      <c r="H44" s="21">
        <v>81000</v>
      </c>
      <c r="I44" s="21">
        <v>87500</v>
      </c>
      <c r="J44" s="21">
        <v>94000</v>
      </c>
      <c r="K44" s="21">
        <v>100450</v>
      </c>
      <c r="L44" s="21">
        <v>106950</v>
      </c>
      <c r="M44" s="21">
        <v>68040</v>
      </c>
      <c r="N44" s="21">
        <v>77760</v>
      </c>
      <c r="O44" s="21">
        <v>87480</v>
      </c>
      <c r="P44" s="21">
        <v>97200</v>
      </c>
      <c r="Q44" s="21">
        <v>105000</v>
      </c>
      <c r="R44" s="21">
        <v>112800</v>
      </c>
      <c r="S44" s="21">
        <v>120540</v>
      </c>
      <c r="T44" s="21">
        <v>128340</v>
      </c>
      <c r="U44" s="21" t="s">
        <v>11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>
        <v>36</v>
      </c>
      <c r="AM44" t="s">
        <v>12</v>
      </c>
      <c r="AN44">
        <v>1</v>
      </c>
      <c r="AO44" t="s">
        <v>111</v>
      </c>
      <c r="AP44" t="s">
        <v>14</v>
      </c>
      <c r="AQ44" t="s">
        <v>235</v>
      </c>
      <c r="AR44" t="s">
        <v>111</v>
      </c>
    </row>
    <row r="45" spans="1:44" x14ac:dyDescent="0.2">
      <c r="A45" s="16">
        <v>36</v>
      </c>
      <c r="B45" s="16" t="s">
        <v>112</v>
      </c>
      <c r="C45" t="s">
        <v>236</v>
      </c>
      <c r="D45" s="21">
        <v>128700</v>
      </c>
      <c r="E45" s="21">
        <v>56700</v>
      </c>
      <c r="F45" s="21">
        <v>64800</v>
      </c>
      <c r="G45" s="21">
        <v>72900</v>
      </c>
      <c r="H45" s="21">
        <v>81000</v>
      </c>
      <c r="I45" s="21">
        <v>87500</v>
      </c>
      <c r="J45" s="21">
        <v>94000</v>
      </c>
      <c r="K45" s="21">
        <v>100450</v>
      </c>
      <c r="L45" s="21">
        <v>106950</v>
      </c>
      <c r="M45" s="21">
        <v>68040</v>
      </c>
      <c r="N45" s="21">
        <v>77760</v>
      </c>
      <c r="O45" s="21">
        <v>87480</v>
      </c>
      <c r="P45" s="21">
        <v>97200</v>
      </c>
      <c r="Q45" s="21">
        <v>105000</v>
      </c>
      <c r="R45" s="21">
        <v>112800</v>
      </c>
      <c r="S45" s="21">
        <v>120540</v>
      </c>
      <c r="T45" s="21">
        <v>128340</v>
      </c>
      <c r="U45" s="21" t="s">
        <v>11</v>
      </c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>
        <v>36</v>
      </c>
      <c r="AM45" t="s">
        <v>12</v>
      </c>
      <c r="AN45">
        <v>1</v>
      </c>
      <c r="AO45" t="s">
        <v>113</v>
      </c>
      <c r="AP45" t="s">
        <v>14</v>
      </c>
      <c r="AQ45" t="s">
        <v>237</v>
      </c>
      <c r="AR45" t="s">
        <v>113</v>
      </c>
    </row>
    <row r="46" spans="1:44" x14ac:dyDescent="0.2">
      <c r="A46" s="16">
        <v>36</v>
      </c>
      <c r="B46" s="16" t="s">
        <v>114</v>
      </c>
      <c r="C46" t="s">
        <v>115</v>
      </c>
      <c r="D46" s="21">
        <v>89100</v>
      </c>
      <c r="E46" s="21">
        <v>31200</v>
      </c>
      <c r="F46" s="21">
        <v>35650</v>
      </c>
      <c r="G46" s="21">
        <v>40100</v>
      </c>
      <c r="H46" s="21">
        <v>44550</v>
      </c>
      <c r="I46" s="21">
        <v>48150</v>
      </c>
      <c r="J46" s="21">
        <v>51700</v>
      </c>
      <c r="K46" s="21">
        <v>55250</v>
      </c>
      <c r="L46" s="21">
        <v>58850</v>
      </c>
      <c r="M46" s="21">
        <v>37440</v>
      </c>
      <c r="N46" s="21">
        <v>42780</v>
      </c>
      <c r="O46" s="21">
        <v>48120</v>
      </c>
      <c r="P46" s="21">
        <v>53460</v>
      </c>
      <c r="Q46" s="21">
        <v>57780</v>
      </c>
      <c r="R46" s="21">
        <v>62040</v>
      </c>
      <c r="S46" s="21">
        <v>66300</v>
      </c>
      <c r="T46" s="21">
        <v>70620</v>
      </c>
      <c r="U46" s="21" t="s">
        <v>11</v>
      </c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>
        <v>36</v>
      </c>
      <c r="AM46" t="s">
        <v>12</v>
      </c>
      <c r="AN46">
        <v>0</v>
      </c>
      <c r="AO46" t="s">
        <v>116</v>
      </c>
      <c r="AP46" t="s">
        <v>14</v>
      </c>
      <c r="AQ46" t="s">
        <v>238</v>
      </c>
      <c r="AR46" t="s">
        <v>116</v>
      </c>
    </row>
    <row r="47" spans="1:44" x14ac:dyDescent="0.2">
      <c r="A47" s="16">
        <v>36</v>
      </c>
      <c r="B47" s="16" t="s">
        <v>9</v>
      </c>
      <c r="C47" t="s">
        <v>10</v>
      </c>
      <c r="D47" s="21">
        <v>116100</v>
      </c>
      <c r="E47" s="21">
        <v>40650</v>
      </c>
      <c r="F47" s="21">
        <v>46450</v>
      </c>
      <c r="G47" s="21">
        <v>52250</v>
      </c>
      <c r="H47" s="21">
        <v>58050</v>
      </c>
      <c r="I47" s="21">
        <v>62700</v>
      </c>
      <c r="J47" s="21">
        <v>67350</v>
      </c>
      <c r="K47" s="21">
        <v>72000</v>
      </c>
      <c r="L47" s="21">
        <v>76650</v>
      </c>
      <c r="M47" s="21">
        <v>48780</v>
      </c>
      <c r="N47" s="21">
        <v>55740</v>
      </c>
      <c r="O47" s="21">
        <v>62700</v>
      </c>
      <c r="P47" s="21">
        <v>69660</v>
      </c>
      <c r="Q47" s="21">
        <v>75240</v>
      </c>
      <c r="R47" s="21">
        <v>80820</v>
      </c>
      <c r="S47" s="21">
        <v>86400</v>
      </c>
      <c r="T47" s="21">
        <v>91980</v>
      </c>
      <c r="U47" s="21" t="s">
        <v>11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>
        <v>36</v>
      </c>
      <c r="AM47" t="s">
        <v>12</v>
      </c>
      <c r="AN47">
        <v>1</v>
      </c>
      <c r="AO47" t="s">
        <v>117</v>
      </c>
      <c r="AP47" t="s">
        <v>14</v>
      </c>
      <c r="AQ47" t="s">
        <v>239</v>
      </c>
      <c r="AR47" t="s">
        <v>117</v>
      </c>
    </row>
    <row r="48" spans="1:44" x14ac:dyDescent="0.2">
      <c r="A48" s="16">
        <v>36</v>
      </c>
      <c r="B48" s="16" t="s">
        <v>9</v>
      </c>
      <c r="C48" t="s">
        <v>10</v>
      </c>
      <c r="D48" s="21">
        <v>116100</v>
      </c>
      <c r="E48" s="21">
        <v>40650</v>
      </c>
      <c r="F48" s="21">
        <v>46450</v>
      </c>
      <c r="G48" s="21">
        <v>52250</v>
      </c>
      <c r="H48" s="21">
        <v>58050</v>
      </c>
      <c r="I48" s="21">
        <v>62700</v>
      </c>
      <c r="J48" s="21">
        <v>67350</v>
      </c>
      <c r="K48" s="21">
        <v>72000</v>
      </c>
      <c r="L48" s="21">
        <v>76650</v>
      </c>
      <c r="M48" s="21">
        <v>48780</v>
      </c>
      <c r="N48" s="21">
        <v>55740</v>
      </c>
      <c r="O48" s="21">
        <v>62700</v>
      </c>
      <c r="P48" s="21">
        <v>69660</v>
      </c>
      <c r="Q48" s="21">
        <v>75240</v>
      </c>
      <c r="R48" s="21">
        <v>80820</v>
      </c>
      <c r="S48" s="21">
        <v>86400</v>
      </c>
      <c r="T48" s="21">
        <v>91980</v>
      </c>
      <c r="U48" s="21" t="s">
        <v>11</v>
      </c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>
        <v>36</v>
      </c>
      <c r="AM48" t="s">
        <v>12</v>
      </c>
      <c r="AN48">
        <v>1</v>
      </c>
      <c r="AO48" t="s">
        <v>118</v>
      </c>
      <c r="AP48" t="s">
        <v>14</v>
      </c>
      <c r="AQ48" t="s">
        <v>240</v>
      </c>
      <c r="AR48" t="s">
        <v>118</v>
      </c>
    </row>
    <row r="49" spans="1:44" x14ac:dyDescent="0.2">
      <c r="A49" s="16">
        <v>36</v>
      </c>
      <c r="B49" s="16" t="s">
        <v>9</v>
      </c>
      <c r="C49" t="s">
        <v>10</v>
      </c>
      <c r="D49" s="21">
        <v>116100</v>
      </c>
      <c r="E49" s="21">
        <v>40650</v>
      </c>
      <c r="F49" s="21">
        <v>46450</v>
      </c>
      <c r="G49" s="21">
        <v>52250</v>
      </c>
      <c r="H49" s="21">
        <v>58050</v>
      </c>
      <c r="I49" s="21">
        <v>62700</v>
      </c>
      <c r="J49" s="21">
        <v>67350</v>
      </c>
      <c r="K49" s="21">
        <v>72000</v>
      </c>
      <c r="L49" s="21">
        <v>76650</v>
      </c>
      <c r="M49" s="21">
        <v>48780</v>
      </c>
      <c r="N49" s="21">
        <v>55740</v>
      </c>
      <c r="O49" s="21">
        <v>62700</v>
      </c>
      <c r="P49" s="21">
        <v>69660</v>
      </c>
      <c r="Q49" s="21">
        <v>75240</v>
      </c>
      <c r="R49" s="21">
        <v>80820</v>
      </c>
      <c r="S49" s="21">
        <v>86400</v>
      </c>
      <c r="T49" s="21">
        <v>91980</v>
      </c>
      <c r="U49" s="21" t="s">
        <v>11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>
        <v>36</v>
      </c>
      <c r="AM49" t="s">
        <v>12</v>
      </c>
      <c r="AN49">
        <v>1</v>
      </c>
      <c r="AO49" t="s">
        <v>119</v>
      </c>
      <c r="AP49" t="s">
        <v>14</v>
      </c>
      <c r="AQ49" t="s">
        <v>241</v>
      </c>
      <c r="AR49" t="s">
        <v>119</v>
      </c>
    </row>
    <row r="50" spans="1:44" x14ac:dyDescent="0.2">
      <c r="A50" s="16">
        <v>36</v>
      </c>
      <c r="B50" s="16" t="s">
        <v>120</v>
      </c>
      <c r="C50" t="s">
        <v>121</v>
      </c>
      <c r="D50" s="21">
        <v>91700</v>
      </c>
      <c r="E50" s="21">
        <v>32100</v>
      </c>
      <c r="F50" s="21">
        <v>36700</v>
      </c>
      <c r="G50" s="21">
        <v>41300</v>
      </c>
      <c r="H50" s="21">
        <v>45850</v>
      </c>
      <c r="I50" s="21">
        <v>49550</v>
      </c>
      <c r="J50" s="21">
        <v>53200</v>
      </c>
      <c r="K50" s="21">
        <v>56900</v>
      </c>
      <c r="L50" s="21">
        <v>60550</v>
      </c>
      <c r="M50" s="21">
        <v>38520</v>
      </c>
      <c r="N50" s="21">
        <v>44040</v>
      </c>
      <c r="O50" s="21">
        <v>49560</v>
      </c>
      <c r="P50" s="21">
        <v>55020</v>
      </c>
      <c r="Q50" s="21">
        <v>59460</v>
      </c>
      <c r="R50" s="21">
        <v>63840</v>
      </c>
      <c r="S50" s="21">
        <v>68280</v>
      </c>
      <c r="T50" s="21">
        <v>72660</v>
      </c>
      <c r="U50" s="21" t="s">
        <v>11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>
        <v>36</v>
      </c>
      <c r="AM50" t="s">
        <v>12</v>
      </c>
      <c r="AN50">
        <v>0</v>
      </c>
      <c r="AO50" t="s">
        <v>122</v>
      </c>
      <c r="AP50" t="s">
        <v>14</v>
      </c>
      <c r="AQ50" t="s">
        <v>242</v>
      </c>
      <c r="AR50" t="s">
        <v>122</v>
      </c>
    </row>
    <row r="51" spans="1:44" x14ac:dyDescent="0.2">
      <c r="A51" s="16">
        <v>36</v>
      </c>
      <c r="B51" s="16" t="s">
        <v>123</v>
      </c>
      <c r="C51" t="s">
        <v>124</v>
      </c>
      <c r="D51" s="21">
        <v>93900</v>
      </c>
      <c r="E51" s="21">
        <v>32900</v>
      </c>
      <c r="F51" s="21">
        <v>37600</v>
      </c>
      <c r="G51" s="21">
        <v>42300</v>
      </c>
      <c r="H51" s="21">
        <v>46950</v>
      </c>
      <c r="I51" s="21">
        <v>50750</v>
      </c>
      <c r="J51" s="21">
        <v>54500</v>
      </c>
      <c r="K51" s="21">
        <v>58250</v>
      </c>
      <c r="L51" s="21">
        <v>62000</v>
      </c>
      <c r="M51" s="21">
        <v>39480</v>
      </c>
      <c r="N51" s="21">
        <v>45120</v>
      </c>
      <c r="O51" s="21">
        <v>50760</v>
      </c>
      <c r="P51" s="21">
        <v>56340</v>
      </c>
      <c r="Q51" s="21">
        <v>60900</v>
      </c>
      <c r="R51" s="21">
        <v>65400</v>
      </c>
      <c r="S51" s="21">
        <v>69900</v>
      </c>
      <c r="T51" s="21">
        <v>74400</v>
      </c>
      <c r="U51" s="21" t="s">
        <v>11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>
        <v>36</v>
      </c>
      <c r="AM51" t="s">
        <v>12</v>
      </c>
      <c r="AN51">
        <v>0</v>
      </c>
      <c r="AO51" t="s">
        <v>125</v>
      </c>
      <c r="AP51" t="s">
        <v>14</v>
      </c>
      <c r="AQ51" t="s">
        <v>243</v>
      </c>
      <c r="AR51" t="s">
        <v>125</v>
      </c>
    </row>
    <row r="52" spans="1:44" x14ac:dyDescent="0.2">
      <c r="A52" s="16">
        <v>36</v>
      </c>
      <c r="B52" s="16" t="s">
        <v>126</v>
      </c>
      <c r="C52" t="s">
        <v>127</v>
      </c>
      <c r="D52" s="21">
        <v>91300</v>
      </c>
      <c r="E52" s="21">
        <v>32000</v>
      </c>
      <c r="F52" s="21">
        <v>36550</v>
      </c>
      <c r="G52" s="21">
        <v>41100</v>
      </c>
      <c r="H52" s="21">
        <v>45650</v>
      </c>
      <c r="I52" s="21">
        <v>49350</v>
      </c>
      <c r="J52" s="21">
        <v>53000</v>
      </c>
      <c r="K52" s="21">
        <v>56650</v>
      </c>
      <c r="L52" s="21">
        <v>60300</v>
      </c>
      <c r="M52" s="21">
        <v>38400</v>
      </c>
      <c r="N52" s="21">
        <v>43860</v>
      </c>
      <c r="O52" s="21">
        <v>49320</v>
      </c>
      <c r="P52" s="21">
        <v>54780</v>
      </c>
      <c r="Q52" s="21">
        <v>59220</v>
      </c>
      <c r="R52" s="21">
        <v>63600</v>
      </c>
      <c r="S52" s="21">
        <v>67980</v>
      </c>
      <c r="T52" s="21">
        <v>72360</v>
      </c>
      <c r="U52" s="21" t="s">
        <v>23</v>
      </c>
      <c r="V52" s="21">
        <v>34550</v>
      </c>
      <c r="W52" s="21">
        <v>39500</v>
      </c>
      <c r="X52" s="21">
        <v>44450</v>
      </c>
      <c r="Y52" s="21">
        <v>49350</v>
      </c>
      <c r="Z52" s="21">
        <v>53300</v>
      </c>
      <c r="AA52" s="21">
        <v>57250</v>
      </c>
      <c r="AB52" s="21">
        <v>61200</v>
      </c>
      <c r="AC52" s="21">
        <v>65150</v>
      </c>
      <c r="AD52" s="21">
        <v>41460</v>
      </c>
      <c r="AE52" s="21">
        <v>47400</v>
      </c>
      <c r="AF52" s="21">
        <v>53340</v>
      </c>
      <c r="AG52" s="21">
        <v>59220</v>
      </c>
      <c r="AH52" s="21">
        <v>63960</v>
      </c>
      <c r="AI52" s="21">
        <v>68700</v>
      </c>
      <c r="AJ52" s="21">
        <v>73440</v>
      </c>
      <c r="AK52" s="21">
        <v>78180</v>
      </c>
      <c r="AL52">
        <v>36</v>
      </c>
      <c r="AM52" t="s">
        <v>12</v>
      </c>
      <c r="AN52">
        <v>0</v>
      </c>
      <c r="AO52" t="s">
        <v>128</v>
      </c>
      <c r="AP52" t="s">
        <v>14</v>
      </c>
      <c r="AQ52" t="s">
        <v>244</v>
      </c>
      <c r="AR52" t="s">
        <v>128</v>
      </c>
    </row>
    <row r="53" spans="1:44" x14ac:dyDescent="0.2">
      <c r="A53" s="16">
        <v>36</v>
      </c>
      <c r="B53" s="16" t="s">
        <v>94</v>
      </c>
      <c r="C53" t="s">
        <v>95</v>
      </c>
      <c r="D53" s="21">
        <v>164900</v>
      </c>
      <c r="E53" s="21">
        <v>57750</v>
      </c>
      <c r="F53" s="21">
        <v>66000</v>
      </c>
      <c r="G53" s="21">
        <v>74250</v>
      </c>
      <c r="H53" s="21">
        <v>82450</v>
      </c>
      <c r="I53" s="21">
        <v>89050</v>
      </c>
      <c r="J53" s="21">
        <v>95650</v>
      </c>
      <c r="K53" s="21">
        <v>102250</v>
      </c>
      <c r="L53" s="21">
        <v>108850</v>
      </c>
      <c r="M53" s="21">
        <v>69300</v>
      </c>
      <c r="N53" s="21">
        <v>79200</v>
      </c>
      <c r="O53" s="21">
        <v>89100</v>
      </c>
      <c r="P53" s="21">
        <v>98940</v>
      </c>
      <c r="Q53" s="21">
        <v>106860</v>
      </c>
      <c r="R53" s="21">
        <v>114780</v>
      </c>
      <c r="S53" s="21">
        <v>122700</v>
      </c>
      <c r="T53" s="21">
        <v>130620</v>
      </c>
      <c r="U53" s="21" t="s">
        <v>11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>
        <v>36</v>
      </c>
      <c r="AM53" t="s">
        <v>12</v>
      </c>
      <c r="AN53">
        <v>1</v>
      </c>
      <c r="AO53" t="s">
        <v>129</v>
      </c>
      <c r="AP53" t="s">
        <v>14</v>
      </c>
      <c r="AQ53" t="s">
        <v>245</v>
      </c>
      <c r="AR53" t="s">
        <v>129</v>
      </c>
    </row>
    <row r="54" spans="1:44" x14ac:dyDescent="0.2">
      <c r="A54" s="16">
        <v>36</v>
      </c>
      <c r="B54" s="16" t="s">
        <v>130</v>
      </c>
      <c r="C54" t="s">
        <v>131</v>
      </c>
      <c r="D54" s="21">
        <v>105700</v>
      </c>
      <c r="E54" s="21">
        <v>34100</v>
      </c>
      <c r="F54" s="21">
        <v>39000</v>
      </c>
      <c r="G54" s="21">
        <v>43900</v>
      </c>
      <c r="H54" s="21">
        <v>48750</v>
      </c>
      <c r="I54" s="21">
        <v>52650</v>
      </c>
      <c r="J54" s="21">
        <v>56550</v>
      </c>
      <c r="K54" s="21">
        <v>60450</v>
      </c>
      <c r="L54" s="21">
        <v>64350</v>
      </c>
      <c r="M54" s="21">
        <v>40920</v>
      </c>
      <c r="N54" s="21">
        <v>46800</v>
      </c>
      <c r="O54" s="21">
        <v>52680</v>
      </c>
      <c r="P54" s="21">
        <v>58500</v>
      </c>
      <c r="Q54" s="21">
        <v>63180</v>
      </c>
      <c r="R54" s="21">
        <v>67860</v>
      </c>
      <c r="S54" s="21">
        <v>72540</v>
      </c>
      <c r="T54" s="21">
        <v>77220</v>
      </c>
      <c r="U54" s="21" t="s">
        <v>11</v>
      </c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>
        <v>36</v>
      </c>
      <c r="AM54" t="s">
        <v>12</v>
      </c>
      <c r="AN54">
        <v>0</v>
      </c>
      <c r="AO54" t="s">
        <v>132</v>
      </c>
      <c r="AP54" t="s">
        <v>14</v>
      </c>
      <c r="AQ54" t="s">
        <v>246</v>
      </c>
      <c r="AR54" t="s">
        <v>132</v>
      </c>
    </row>
    <row r="55" spans="1:44" x14ac:dyDescent="0.2">
      <c r="A55" s="16">
        <v>36</v>
      </c>
      <c r="B55" s="16" t="s">
        <v>21</v>
      </c>
      <c r="C55" t="s">
        <v>22</v>
      </c>
      <c r="D55" s="21">
        <v>94500</v>
      </c>
      <c r="E55" s="21">
        <v>33100</v>
      </c>
      <c r="F55" s="21">
        <v>37800</v>
      </c>
      <c r="G55" s="21">
        <v>42550</v>
      </c>
      <c r="H55" s="21">
        <v>47250</v>
      </c>
      <c r="I55" s="21">
        <v>51050</v>
      </c>
      <c r="J55" s="21">
        <v>54850</v>
      </c>
      <c r="K55" s="21">
        <v>58600</v>
      </c>
      <c r="L55" s="21">
        <v>62400</v>
      </c>
      <c r="M55" s="21">
        <v>39720</v>
      </c>
      <c r="N55" s="21">
        <v>45360</v>
      </c>
      <c r="O55" s="21">
        <v>51060</v>
      </c>
      <c r="P55" s="21">
        <v>56700</v>
      </c>
      <c r="Q55" s="21">
        <v>61260</v>
      </c>
      <c r="R55" s="21">
        <v>65820</v>
      </c>
      <c r="S55" s="21">
        <v>70320</v>
      </c>
      <c r="T55" s="21">
        <v>74880</v>
      </c>
      <c r="U55" s="21" t="s">
        <v>11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>
        <v>36</v>
      </c>
      <c r="AM55" t="s">
        <v>12</v>
      </c>
      <c r="AN55">
        <v>1</v>
      </c>
      <c r="AO55" t="s">
        <v>133</v>
      </c>
      <c r="AP55" t="s">
        <v>14</v>
      </c>
      <c r="AQ55" t="s">
        <v>247</v>
      </c>
      <c r="AR55" t="s">
        <v>133</v>
      </c>
    </row>
    <row r="56" spans="1:44" x14ac:dyDescent="0.2">
      <c r="A56" s="16">
        <v>36</v>
      </c>
      <c r="B56" s="16" t="s">
        <v>134</v>
      </c>
      <c r="C56" t="s">
        <v>135</v>
      </c>
      <c r="D56" s="21">
        <v>122100</v>
      </c>
      <c r="E56" s="21">
        <v>42150</v>
      </c>
      <c r="F56" s="21">
        <v>48150</v>
      </c>
      <c r="G56" s="21">
        <v>54150</v>
      </c>
      <c r="H56" s="21">
        <v>60150</v>
      </c>
      <c r="I56" s="21">
        <v>65000</v>
      </c>
      <c r="J56" s="21">
        <v>69800</v>
      </c>
      <c r="K56" s="21">
        <v>74600</v>
      </c>
      <c r="L56" s="21">
        <v>79400</v>
      </c>
      <c r="M56" s="21">
        <v>50580</v>
      </c>
      <c r="N56" s="21">
        <v>57780</v>
      </c>
      <c r="O56" s="21">
        <v>64980</v>
      </c>
      <c r="P56" s="21">
        <v>72180</v>
      </c>
      <c r="Q56" s="21">
        <v>78000</v>
      </c>
      <c r="R56" s="21">
        <v>83760</v>
      </c>
      <c r="S56" s="21">
        <v>89520</v>
      </c>
      <c r="T56" s="21">
        <v>95280</v>
      </c>
      <c r="U56" s="21" t="s">
        <v>11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>
        <v>36</v>
      </c>
      <c r="AM56" t="s">
        <v>12</v>
      </c>
      <c r="AN56">
        <v>1</v>
      </c>
      <c r="AO56" t="s">
        <v>136</v>
      </c>
      <c r="AP56" t="s">
        <v>14</v>
      </c>
      <c r="AQ56" t="s">
        <v>248</v>
      </c>
      <c r="AR56" t="s">
        <v>136</v>
      </c>
    </row>
    <row r="57" spans="1:44" x14ac:dyDescent="0.2">
      <c r="A57" s="16">
        <v>36</v>
      </c>
      <c r="B57" s="16" t="s">
        <v>137</v>
      </c>
      <c r="C57" t="s">
        <v>138</v>
      </c>
      <c r="D57" s="21">
        <v>119800</v>
      </c>
      <c r="E57" s="21">
        <v>41950</v>
      </c>
      <c r="F57" s="21">
        <v>47950</v>
      </c>
      <c r="G57" s="21">
        <v>53950</v>
      </c>
      <c r="H57" s="21">
        <v>59900</v>
      </c>
      <c r="I57" s="21">
        <v>64700</v>
      </c>
      <c r="J57" s="21">
        <v>69500</v>
      </c>
      <c r="K57" s="21">
        <v>74300</v>
      </c>
      <c r="L57" s="21">
        <v>79100</v>
      </c>
      <c r="M57" s="21">
        <v>50340</v>
      </c>
      <c r="N57" s="21">
        <v>57540</v>
      </c>
      <c r="O57" s="21">
        <v>64740</v>
      </c>
      <c r="P57" s="21">
        <v>71880</v>
      </c>
      <c r="Q57" s="21">
        <v>77640</v>
      </c>
      <c r="R57" s="21">
        <v>83400</v>
      </c>
      <c r="S57" s="21">
        <v>89160</v>
      </c>
      <c r="T57" s="21">
        <v>94920</v>
      </c>
      <c r="U57" s="21" t="s">
        <v>11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>
        <v>36</v>
      </c>
      <c r="AM57" t="s">
        <v>12</v>
      </c>
      <c r="AN57">
        <v>1</v>
      </c>
      <c r="AO57" t="s">
        <v>139</v>
      </c>
      <c r="AP57" t="s">
        <v>14</v>
      </c>
      <c r="AQ57" t="s">
        <v>249</v>
      </c>
      <c r="AR57" t="s">
        <v>139</v>
      </c>
    </row>
    <row r="58" spans="1:44" x14ac:dyDescent="0.2">
      <c r="A58" s="16">
        <v>36</v>
      </c>
      <c r="B58" s="16" t="s">
        <v>140</v>
      </c>
      <c r="C58" t="s">
        <v>141</v>
      </c>
      <c r="D58" s="21">
        <v>100000</v>
      </c>
      <c r="E58" s="21">
        <v>35000</v>
      </c>
      <c r="F58" s="21">
        <v>40000</v>
      </c>
      <c r="G58" s="21">
        <v>45000</v>
      </c>
      <c r="H58" s="21">
        <v>50000</v>
      </c>
      <c r="I58" s="21">
        <v>54000</v>
      </c>
      <c r="J58" s="21">
        <v>58000</v>
      </c>
      <c r="K58" s="21">
        <v>62000</v>
      </c>
      <c r="L58" s="21">
        <v>66000</v>
      </c>
      <c r="M58" s="21">
        <v>42000</v>
      </c>
      <c r="N58" s="21">
        <v>48000</v>
      </c>
      <c r="O58" s="21">
        <v>54000</v>
      </c>
      <c r="P58" s="21">
        <v>60000</v>
      </c>
      <c r="Q58" s="21">
        <v>64800</v>
      </c>
      <c r="R58" s="21">
        <v>69600</v>
      </c>
      <c r="S58" s="21">
        <v>74400</v>
      </c>
      <c r="T58" s="21">
        <v>79200</v>
      </c>
      <c r="U58" s="21" t="s">
        <v>11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>
        <v>36</v>
      </c>
      <c r="AM58" t="s">
        <v>12</v>
      </c>
      <c r="AN58">
        <v>1</v>
      </c>
      <c r="AO58" t="s">
        <v>142</v>
      </c>
      <c r="AP58" t="s">
        <v>14</v>
      </c>
      <c r="AQ58" t="s">
        <v>250</v>
      </c>
      <c r="AR58" t="s">
        <v>142</v>
      </c>
    </row>
    <row r="59" spans="1:44" x14ac:dyDescent="0.2">
      <c r="A59" s="16">
        <v>36</v>
      </c>
      <c r="B59" s="16" t="s">
        <v>140</v>
      </c>
      <c r="C59" t="s">
        <v>141</v>
      </c>
      <c r="D59" s="21">
        <v>100000</v>
      </c>
      <c r="E59" s="21">
        <v>35000</v>
      </c>
      <c r="F59" s="21">
        <v>40000</v>
      </c>
      <c r="G59" s="21">
        <v>45000</v>
      </c>
      <c r="H59" s="21">
        <v>50000</v>
      </c>
      <c r="I59" s="21">
        <v>54000</v>
      </c>
      <c r="J59" s="21">
        <v>58000</v>
      </c>
      <c r="K59" s="21">
        <v>62000</v>
      </c>
      <c r="L59" s="21">
        <v>66000</v>
      </c>
      <c r="M59" s="21">
        <v>42000</v>
      </c>
      <c r="N59" s="21">
        <v>48000</v>
      </c>
      <c r="O59" s="21">
        <v>54000</v>
      </c>
      <c r="P59" s="21">
        <v>60000</v>
      </c>
      <c r="Q59" s="21">
        <v>64800</v>
      </c>
      <c r="R59" s="21">
        <v>69600</v>
      </c>
      <c r="S59" s="21">
        <v>74400</v>
      </c>
      <c r="T59" s="21">
        <v>79200</v>
      </c>
      <c r="U59" s="21" t="s">
        <v>11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>
        <v>36</v>
      </c>
      <c r="AM59" t="s">
        <v>12</v>
      </c>
      <c r="AN59">
        <v>1</v>
      </c>
      <c r="AO59" t="s">
        <v>143</v>
      </c>
      <c r="AP59" t="s">
        <v>14</v>
      </c>
      <c r="AQ59" t="s">
        <v>251</v>
      </c>
      <c r="AR59" t="s">
        <v>143</v>
      </c>
    </row>
    <row r="60" spans="1:44" x14ac:dyDescent="0.2">
      <c r="A60" s="16">
        <v>36</v>
      </c>
      <c r="B60" s="16" t="s">
        <v>84</v>
      </c>
      <c r="C60" t="s">
        <v>85</v>
      </c>
      <c r="D60" s="21">
        <v>103900</v>
      </c>
      <c r="E60" s="21">
        <v>36400</v>
      </c>
      <c r="F60" s="21">
        <v>41600</v>
      </c>
      <c r="G60" s="21">
        <v>46800</v>
      </c>
      <c r="H60" s="21">
        <v>51950</v>
      </c>
      <c r="I60" s="21">
        <v>56150</v>
      </c>
      <c r="J60" s="21">
        <v>60300</v>
      </c>
      <c r="K60" s="21">
        <v>64450</v>
      </c>
      <c r="L60" s="21">
        <v>68600</v>
      </c>
      <c r="M60" s="21">
        <v>43680</v>
      </c>
      <c r="N60" s="21">
        <v>49920</v>
      </c>
      <c r="O60" s="21">
        <v>56160</v>
      </c>
      <c r="P60" s="21">
        <v>62340</v>
      </c>
      <c r="Q60" s="21">
        <v>67380</v>
      </c>
      <c r="R60" s="21">
        <v>72360</v>
      </c>
      <c r="S60" s="21">
        <v>77340</v>
      </c>
      <c r="T60" s="21">
        <v>82320</v>
      </c>
      <c r="U60" s="21" t="s">
        <v>23</v>
      </c>
      <c r="V60" s="21">
        <v>36750</v>
      </c>
      <c r="W60" s="21">
        <v>42000</v>
      </c>
      <c r="X60" s="21">
        <v>47250</v>
      </c>
      <c r="Y60" s="21">
        <v>52450</v>
      </c>
      <c r="Z60" s="21">
        <v>56650</v>
      </c>
      <c r="AA60" s="21">
        <v>60850</v>
      </c>
      <c r="AB60" s="21">
        <v>65050</v>
      </c>
      <c r="AC60" s="21">
        <v>69250</v>
      </c>
      <c r="AD60" s="21">
        <v>44100</v>
      </c>
      <c r="AE60" s="21">
        <v>50400</v>
      </c>
      <c r="AF60" s="21">
        <v>56700</v>
      </c>
      <c r="AG60" s="21">
        <v>62940</v>
      </c>
      <c r="AH60" s="21">
        <v>67980</v>
      </c>
      <c r="AI60" s="21">
        <v>73020</v>
      </c>
      <c r="AJ60" s="21">
        <v>78060</v>
      </c>
      <c r="AK60" s="21">
        <v>83100</v>
      </c>
      <c r="AL60">
        <v>36</v>
      </c>
      <c r="AM60" t="s">
        <v>12</v>
      </c>
      <c r="AN60">
        <v>1</v>
      </c>
      <c r="AO60" t="s">
        <v>144</v>
      </c>
      <c r="AP60" t="s">
        <v>14</v>
      </c>
      <c r="AQ60" t="s">
        <v>252</v>
      </c>
      <c r="AR60" t="s">
        <v>144</v>
      </c>
    </row>
    <row r="61" spans="1:44" x14ac:dyDescent="0.2">
      <c r="A61" s="16">
        <v>36</v>
      </c>
      <c r="B61" s="16" t="s">
        <v>145</v>
      </c>
      <c r="C61" t="s">
        <v>146</v>
      </c>
      <c r="D61" s="21">
        <v>170000</v>
      </c>
      <c r="E61" s="21">
        <v>59500</v>
      </c>
      <c r="F61" s="21">
        <v>68000</v>
      </c>
      <c r="G61" s="21">
        <v>76500</v>
      </c>
      <c r="H61" s="21">
        <v>85000</v>
      </c>
      <c r="I61" s="21">
        <v>91800</v>
      </c>
      <c r="J61" s="21">
        <v>98600</v>
      </c>
      <c r="K61" s="21">
        <v>105400</v>
      </c>
      <c r="L61" s="21">
        <v>112200</v>
      </c>
      <c r="M61" s="21">
        <v>71400</v>
      </c>
      <c r="N61" s="21">
        <v>81600</v>
      </c>
      <c r="O61" s="21">
        <v>91800</v>
      </c>
      <c r="P61" s="21">
        <v>102000</v>
      </c>
      <c r="Q61" s="21">
        <v>110160</v>
      </c>
      <c r="R61" s="21">
        <v>118320</v>
      </c>
      <c r="S61" s="21">
        <v>126480</v>
      </c>
      <c r="T61" s="21">
        <v>134640</v>
      </c>
      <c r="U61" s="21" t="s">
        <v>11</v>
      </c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>
        <v>36</v>
      </c>
      <c r="AM61" t="s">
        <v>12</v>
      </c>
      <c r="AN61">
        <v>1</v>
      </c>
      <c r="AO61" t="s">
        <v>147</v>
      </c>
      <c r="AP61" t="s">
        <v>14</v>
      </c>
      <c r="AQ61" t="s">
        <v>253</v>
      </c>
      <c r="AR61" t="s">
        <v>147</v>
      </c>
    </row>
    <row r="62" spans="1:44" x14ac:dyDescent="0.2">
      <c r="A62" s="16">
        <v>36</v>
      </c>
      <c r="B62" s="16" t="s">
        <v>148</v>
      </c>
      <c r="C62" t="s">
        <v>149</v>
      </c>
      <c r="D62" s="21">
        <v>91800</v>
      </c>
      <c r="E62" s="21">
        <v>32150</v>
      </c>
      <c r="F62" s="21">
        <v>36750</v>
      </c>
      <c r="G62" s="21">
        <v>41350</v>
      </c>
      <c r="H62" s="21">
        <v>45900</v>
      </c>
      <c r="I62" s="21">
        <v>49600</v>
      </c>
      <c r="J62" s="21">
        <v>53250</v>
      </c>
      <c r="K62" s="21">
        <v>56950</v>
      </c>
      <c r="L62" s="21">
        <v>60600</v>
      </c>
      <c r="M62" s="21">
        <v>38580</v>
      </c>
      <c r="N62" s="21">
        <v>44100</v>
      </c>
      <c r="O62" s="21">
        <v>49620</v>
      </c>
      <c r="P62" s="21">
        <v>55080</v>
      </c>
      <c r="Q62" s="21">
        <v>59520</v>
      </c>
      <c r="R62" s="21">
        <v>63900</v>
      </c>
      <c r="S62" s="21">
        <v>68340</v>
      </c>
      <c r="T62" s="21">
        <v>72720</v>
      </c>
      <c r="U62" s="21" t="s">
        <v>11</v>
      </c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>
        <v>36</v>
      </c>
      <c r="AM62" t="s">
        <v>12</v>
      </c>
      <c r="AN62">
        <v>0</v>
      </c>
      <c r="AO62" t="s">
        <v>150</v>
      </c>
      <c r="AP62" t="s">
        <v>14</v>
      </c>
      <c r="AQ62" t="s">
        <v>254</v>
      </c>
      <c r="AR62" t="s">
        <v>150</v>
      </c>
    </row>
    <row r="63" spans="1:44" x14ac:dyDescent="0.2">
      <c r="A63" s="16">
        <v>36</v>
      </c>
      <c r="B63" s="16" t="s">
        <v>293</v>
      </c>
      <c r="C63" t="s">
        <v>294</v>
      </c>
      <c r="D63" s="21">
        <v>88800</v>
      </c>
      <c r="E63" s="21">
        <v>31100</v>
      </c>
      <c r="F63" s="21">
        <v>35550</v>
      </c>
      <c r="G63" s="21">
        <v>40000</v>
      </c>
      <c r="H63" s="21">
        <v>44400</v>
      </c>
      <c r="I63" s="21">
        <v>48000</v>
      </c>
      <c r="J63" s="21">
        <v>51550</v>
      </c>
      <c r="K63" s="21">
        <v>55100</v>
      </c>
      <c r="L63" s="21">
        <v>58650</v>
      </c>
      <c r="M63" s="21">
        <v>37320</v>
      </c>
      <c r="N63" s="21">
        <v>42660</v>
      </c>
      <c r="O63" s="21">
        <v>48000</v>
      </c>
      <c r="P63" s="21">
        <v>53280</v>
      </c>
      <c r="Q63" s="21">
        <v>57600</v>
      </c>
      <c r="R63" s="21">
        <v>61860</v>
      </c>
      <c r="S63" s="21">
        <v>66120</v>
      </c>
      <c r="T63" s="21">
        <v>70380</v>
      </c>
      <c r="U63" s="21" t="s">
        <v>11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>
        <v>36</v>
      </c>
      <c r="AM63" t="s">
        <v>12</v>
      </c>
      <c r="AN63">
        <v>1</v>
      </c>
      <c r="AO63" t="s">
        <v>151</v>
      </c>
      <c r="AP63" t="s">
        <v>14</v>
      </c>
      <c r="AQ63" t="s">
        <v>255</v>
      </c>
      <c r="AR63" t="s">
        <v>151</v>
      </c>
    </row>
  </sheetData>
  <conditionalFormatting sqref="B1 B64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opLeftCell="B4" workbookViewId="0">
      <selection activeCell="M9" sqref="M9"/>
    </sheetView>
  </sheetViews>
  <sheetFormatPr baseColWidth="10" defaultColWidth="8.83203125" defaultRowHeight="15" x14ac:dyDescent="0.2"/>
  <cols>
    <col min="1" max="1" width="45.6640625" hidden="1" customWidth="1"/>
    <col min="2" max="2" width="28" customWidth="1"/>
    <col min="3" max="3" width="9.5" bestFit="1" customWidth="1"/>
    <col min="4" max="11" width="9.5" customWidth="1"/>
  </cols>
  <sheetData>
    <row r="1" spans="1:11" ht="46.5" customHeight="1" thickBot="1" x14ac:dyDescent="0.25">
      <c r="B1" s="26" t="str">
        <f>CONCATENATE("AHC STATEWIDE AND AREA INCOME LIMITS FOR LOW INCOME FAMILIES, BY HUD LOW INCOME LIMIT PERCENTAGE AND NUMBER OF PERSONS, IN THE METROPOLITAN AREAS AND NON-METROPOLITAN COUNTIES OF NEW YORK STATE ",LEFT($C$2,4))</f>
        <v>AHC STATEWIDE AND AREA INCOME LIMITS FOR LOW INCOME FAMILIES, BY HUD LOW INCOME LIMIT PERCENTAGE AND NUMBER OF PERSONS, IN THE METROPOLITAN AREAS AND NON-METROPOLITAN COUNTIES OF NEW YORK STATE 2025</v>
      </c>
      <c r="C1" s="27"/>
      <c r="D1" s="27"/>
      <c r="E1" s="27"/>
      <c r="F1" s="27"/>
      <c r="G1" s="27"/>
      <c r="H1" s="27"/>
      <c r="I1" s="27"/>
      <c r="J1" s="27"/>
      <c r="K1" s="28"/>
    </row>
    <row r="2" spans="1:11" ht="42.75" customHeight="1" thickBot="1" x14ac:dyDescent="0.25">
      <c r="B2" s="15" t="s">
        <v>152</v>
      </c>
      <c r="C2" s="1" t="str">
        <f>CONCATENATE(RIGHT(NYMTSP!$D$1,4)," Median Income")</f>
        <v>2025 Median Income</v>
      </c>
      <c r="D2" s="35" t="s">
        <v>297</v>
      </c>
      <c r="E2" s="35"/>
      <c r="F2" s="35"/>
      <c r="G2" s="35"/>
      <c r="H2" s="35"/>
      <c r="I2" s="35"/>
      <c r="J2" s="35"/>
      <c r="K2" s="36"/>
    </row>
    <row r="3" spans="1:11" ht="17.25" customHeight="1" thickTop="1" x14ac:dyDescent="0.2">
      <c r="B3" s="2"/>
      <c r="C3" s="22"/>
      <c r="D3" s="3" t="s">
        <v>153</v>
      </c>
      <c r="E3" s="3" t="s">
        <v>154</v>
      </c>
      <c r="F3" s="3" t="s">
        <v>155</v>
      </c>
      <c r="G3" s="3" t="s">
        <v>156</v>
      </c>
      <c r="H3" s="3" t="s">
        <v>157</v>
      </c>
      <c r="I3" s="4" t="s">
        <v>158</v>
      </c>
      <c r="J3" s="4" t="s">
        <v>159</v>
      </c>
      <c r="K3" s="5" t="s">
        <v>160</v>
      </c>
    </row>
    <row r="4" spans="1:11" ht="17.25" customHeight="1" x14ac:dyDescent="0.2">
      <c r="B4" s="6" t="s">
        <v>258</v>
      </c>
      <c r="C4" s="23">
        <v>110200</v>
      </c>
      <c r="D4" s="7" t="s">
        <v>161</v>
      </c>
      <c r="E4" s="7" t="s">
        <v>161</v>
      </c>
      <c r="F4" s="7" t="s">
        <v>161</v>
      </c>
      <c r="G4" s="7" t="s">
        <v>161</v>
      </c>
      <c r="H4" s="7" t="s">
        <v>161</v>
      </c>
      <c r="I4" s="8" t="s">
        <v>161</v>
      </c>
      <c r="J4" s="8" t="s">
        <v>161</v>
      </c>
      <c r="K4" s="9" t="s">
        <v>161</v>
      </c>
    </row>
    <row r="5" spans="1:11" ht="17.25" customHeight="1" x14ac:dyDescent="0.2">
      <c r="B5" s="20" t="s">
        <v>162</v>
      </c>
      <c r="C5" s="24">
        <v>82300</v>
      </c>
      <c r="D5" s="29" t="str">
        <f t="shared" ref="D5:K5" si="0">$D$2</f>
        <v>125% HLIL (100% AMI)</v>
      </c>
      <c r="E5" s="31" t="str">
        <f t="shared" si="0"/>
        <v>125% HLIL (100% AMI)</v>
      </c>
      <c r="F5" s="31" t="str">
        <f t="shared" si="0"/>
        <v>125% HLIL (100% AMI)</v>
      </c>
      <c r="G5" s="31" t="str">
        <f t="shared" si="0"/>
        <v>125% HLIL (100% AMI)</v>
      </c>
      <c r="H5" s="31" t="str">
        <f t="shared" si="0"/>
        <v>125% HLIL (100% AMI)</v>
      </c>
      <c r="I5" s="31" t="str">
        <f t="shared" si="0"/>
        <v>125% HLIL (100% AMI)</v>
      </c>
      <c r="J5" s="31" t="str">
        <f t="shared" si="0"/>
        <v>125% HLIL (100% AMI)</v>
      </c>
      <c r="K5" s="33" t="str">
        <f t="shared" si="0"/>
        <v>125% HLIL (100% AMI)</v>
      </c>
    </row>
    <row r="6" spans="1:11" ht="17.25" customHeight="1" thickBot="1" x14ac:dyDescent="0.25">
      <c r="B6" s="10" t="s">
        <v>163</v>
      </c>
      <c r="C6" s="25">
        <v>104200</v>
      </c>
      <c r="D6" s="30"/>
      <c r="E6" s="32"/>
      <c r="F6" s="32"/>
      <c r="G6" s="32"/>
      <c r="H6" s="32"/>
      <c r="I6" s="32"/>
      <c r="J6" s="32"/>
      <c r="K6" s="34"/>
    </row>
    <row r="7" spans="1:11" ht="16" thickTop="1" x14ac:dyDescent="0.2">
      <c r="A7" t="s">
        <v>10</v>
      </c>
      <c r="B7" s="11" t="str">
        <f>CONCATENATE(INDEX(NYMTSP!$AR:$AR,ROW()-5,1)," ",IF(AND($C7&lt;$C$5,VLOOKUP($A7,NYMTSP!$C:$G,5,FALSE)=($C$5/2)),"*",IF($C7&lt;(2*VLOOKUP($A7,NYMTSP!$C:$G,5,FALSE)),"#","")),IF(VLOOKUP($A7,NYMTSP!$C:$G,5,FALSE)&gt;$C$6,"†",""))</f>
        <v xml:space="preserve">Albany County </v>
      </c>
      <c r="C7" s="12">
        <f>VLOOKUP($A7,NYMTSP!$C:$L,2,FALSE)</f>
        <v>116100</v>
      </c>
      <c r="D7" s="12">
        <f>ROUND(VLOOKUP($D$2,'Income Limits Definitions'!$A:$C,3,FALSE)*VLOOKUP($A7,NYMTSP!$C:$L,3,FALSE),-2)</f>
        <v>81300</v>
      </c>
      <c r="E7" s="12">
        <f>ROUND(VLOOKUP($D$2,'Income Limits Definitions'!$A:$C,3,FALSE)*VLOOKUP($A7,NYMTSP!$C:$L,4,FALSE),-2)</f>
        <v>92900</v>
      </c>
      <c r="F7" s="12">
        <f>ROUND(VLOOKUP($D$2,'Income Limits Definitions'!$A:$C,3,FALSE)*VLOOKUP($A7,NYMTSP!$C:$L,5,FALSE),-2)</f>
        <v>104500</v>
      </c>
      <c r="G7" s="12">
        <f>ROUND(VLOOKUP($D$2,'Income Limits Definitions'!$A:$C,3,FALSE)*VLOOKUP($A7,NYMTSP!$C:$L,6,FALSE),-2)</f>
        <v>116100</v>
      </c>
      <c r="H7" s="12">
        <f>ROUND(VLOOKUP($D$2,'Income Limits Definitions'!$A:$C,3,FALSE)*VLOOKUP($A7,NYMTSP!$C:$L,7,FALSE),-2)</f>
        <v>125400</v>
      </c>
      <c r="I7" s="12">
        <f>ROUND(VLOOKUP($D$2,'Income Limits Definitions'!$A:$C,3,FALSE)*VLOOKUP($A7,NYMTSP!$C:$L,8,FALSE),-2)</f>
        <v>134700</v>
      </c>
      <c r="J7" s="12">
        <f>ROUND(VLOOKUP($D$2,'Income Limits Definitions'!$A:$C,3,FALSE)*VLOOKUP($A7,NYMTSP!$C:$L,9,FALSE),-2)</f>
        <v>144000</v>
      </c>
      <c r="K7" s="17">
        <f>ROUND(VLOOKUP($D$2,'Income Limits Definitions'!$A:$C,3,FALSE)*VLOOKUP($A7,NYMTSP!$C:$L,10,FALSE),-2)</f>
        <v>153300</v>
      </c>
    </row>
    <row r="8" spans="1:11" x14ac:dyDescent="0.2">
      <c r="A8" t="s">
        <v>16</v>
      </c>
      <c r="B8" s="13" t="str">
        <f>CONCATENATE(INDEX(NYMTSP!$AR:$AR,ROW()-5,1)," ",IF(AND($C8&lt;$C$5,VLOOKUP($A8,NYMTSP!$C:$G,5,FALSE)=($C$5/2)),"*",IF($C8&lt;(2*VLOOKUP($A8,NYMTSP!$C:$G,5,FALSE)),"#","")),IF(VLOOKUP($A8,NYMTSP!$C:$G,5,FALSE)&gt;$C$6,"†",""))</f>
        <v xml:space="preserve">Allegany County </v>
      </c>
      <c r="C8" s="12">
        <f>VLOOKUP($A8,NYMTSP!$C:$L,2,FALSE)</f>
        <v>86400</v>
      </c>
      <c r="D8" s="12">
        <f>ROUND(VLOOKUP($D$2,'Income Limits Definitions'!$A:$C,3,FALSE)*VLOOKUP($A8,NYMTSP!$C:$L,3,FALSE),-2)</f>
        <v>62000</v>
      </c>
      <c r="E8" s="12">
        <f>ROUND(VLOOKUP($D$2,'Income Limits Definitions'!$A:$C,3,FALSE)*VLOOKUP($A8,NYMTSP!$C:$L,4,FALSE),-2)</f>
        <v>70800</v>
      </c>
      <c r="F8" s="12">
        <f>ROUND(VLOOKUP($D$2,'Income Limits Definitions'!$A:$C,3,FALSE)*VLOOKUP($A8,NYMTSP!$C:$L,5,FALSE),-2)</f>
        <v>79700</v>
      </c>
      <c r="G8" s="12">
        <f>ROUND(VLOOKUP($D$2,'Income Limits Definitions'!$A:$C,3,FALSE)*VLOOKUP($A8,NYMTSP!$C:$L,6,FALSE),-2)</f>
        <v>88500</v>
      </c>
      <c r="H8" s="12">
        <f>ROUND(VLOOKUP($D$2,'Income Limits Definitions'!$A:$C,3,FALSE)*VLOOKUP($A8,NYMTSP!$C:$L,7,FALSE),-2)</f>
        <v>95600</v>
      </c>
      <c r="I8" s="12">
        <f>ROUND(VLOOKUP($D$2,'Income Limits Definitions'!$A:$C,3,FALSE)*VLOOKUP($A8,NYMTSP!$C:$L,8,FALSE),-2)</f>
        <v>102700</v>
      </c>
      <c r="J8" s="12">
        <f>ROUND(VLOOKUP($D$2,'Income Limits Definitions'!$A:$C,3,FALSE)*VLOOKUP($A8,NYMTSP!$C:$L,9,FALSE),-2)</f>
        <v>109800</v>
      </c>
      <c r="K8" s="17">
        <f>ROUND(VLOOKUP($D$2,'Income Limits Definitions'!$A:$C,3,FALSE)*VLOOKUP($A8,NYMTSP!$C:$L,10,FALSE),-2)</f>
        <v>116900</v>
      </c>
    </row>
    <row r="9" spans="1:11" x14ac:dyDescent="0.2">
      <c r="A9" t="s">
        <v>19</v>
      </c>
      <c r="B9" s="13" t="str">
        <f>CONCATENATE(INDEX(NYMTSP!$AR:$AR,ROW()-5,1)," ",IF(AND($C9&lt;$C$5,VLOOKUP($A9,NYMTSP!$C:$G,5,FALSE)=($C$5/2)),"*",IF($C9&lt;(2*VLOOKUP($A9,NYMTSP!$C:$G,5,FALSE)),"#","")),IF(VLOOKUP($A9,NYMTSP!$C:$G,5,FALSE)&gt;$C$6,"†",""))</f>
        <v>Bronx County #</v>
      </c>
      <c r="C9" s="12">
        <f>VLOOKUP($A9,NYMTSP!$C:$L,2,FALSE)</f>
        <v>103000</v>
      </c>
      <c r="D9" s="12">
        <f>ROUND(VLOOKUP($D$2,'Income Limits Definitions'!$A:$C,3,FALSE)*VLOOKUP($A9,NYMTSP!$C:$L,3,FALSE),-2)</f>
        <v>113400</v>
      </c>
      <c r="E9" s="12">
        <f>ROUND(VLOOKUP($D$2,'Income Limits Definitions'!$A:$C,3,FALSE)*VLOOKUP($A9,NYMTSP!$C:$L,4,FALSE),-2)</f>
        <v>129600</v>
      </c>
      <c r="F9" s="12">
        <f>ROUND(VLOOKUP($D$2,'Income Limits Definitions'!$A:$C,3,FALSE)*VLOOKUP($A9,NYMTSP!$C:$L,5,FALSE),-2)</f>
        <v>145800</v>
      </c>
      <c r="G9" s="12">
        <f>ROUND(VLOOKUP($D$2,'Income Limits Definitions'!$A:$C,3,FALSE)*VLOOKUP($A9,NYMTSP!$C:$L,6,FALSE),-2)</f>
        <v>162000</v>
      </c>
      <c r="H9" s="12">
        <f>ROUND(VLOOKUP($D$2,'Income Limits Definitions'!$A:$C,3,FALSE)*VLOOKUP($A9,NYMTSP!$C:$L,7,FALSE),-2)</f>
        <v>175000</v>
      </c>
      <c r="I9" s="12">
        <f>ROUND(VLOOKUP($D$2,'Income Limits Definitions'!$A:$C,3,FALSE)*VLOOKUP($A9,NYMTSP!$C:$L,8,FALSE),-2)</f>
        <v>188000</v>
      </c>
      <c r="J9" s="12">
        <f>ROUND(VLOOKUP($D$2,'Income Limits Definitions'!$A:$C,3,FALSE)*VLOOKUP($A9,NYMTSP!$C:$L,9,FALSE),-2)</f>
        <v>200900</v>
      </c>
      <c r="K9" s="17">
        <f>ROUND(VLOOKUP($D$2,'Income Limits Definitions'!$A:$C,3,FALSE)*VLOOKUP($A9,NYMTSP!$C:$L,10,FALSE),-2)</f>
        <v>213900</v>
      </c>
    </row>
    <row r="10" spans="1:11" x14ac:dyDescent="0.2">
      <c r="A10" t="s">
        <v>22</v>
      </c>
      <c r="B10" s="13" t="str">
        <f>CONCATENATE(INDEX(NYMTSP!$AR:$AR,ROW()-5,1)," ",IF(AND($C10&lt;$C$5,VLOOKUP($A10,NYMTSP!$C:$G,5,FALSE)=($C$5/2)),"*",IF($C10&lt;(2*VLOOKUP($A10,NYMTSP!$C:$G,5,FALSE)),"#","")),IF(VLOOKUP($A10,NYMTSP!$C:$G,5,FALSE)&gt;$C$6,"†",""))</f>
        <v xml:space="preserve">Broome County </v>
      </c>
      <c r="C10" s="12">
        <f>VLOOKUP($A10,NYMTSP!$C:$L,2,FALSE)</f>
        <v>94500</v>
      </c>
      <c r="D10" s="12">
        <f>ROUND(VLOOKUP($D$2,'Income Limits Definitions'!$A:$C,3,FALSE)*VLOOKUP($A10,NYMTSP!$C:$L,3,FALSE),-2)</f>
        <v>66200</v>
      </c>
      <c r="E10" s="12">
        <f>ROUND(VLOOKUP($D$2,'Income Limits Definitions'!$A:$C,3,FALSE)*VLOOKUP($A10,NYMTSP!$C:$L,4,FALSE),-2)</f>
        <v>75600</v>
      </c>
      <c r="F10" s="12">
        <f>ROUND(VLOOKUP($D$2,'Income Limits Definitions'!$A:$C,3,FALSE)*VLOOKUP($A10,NYMTSP!$C:$L,5,FALSE),-2)</f>
        <v>85100</v>
      </c>
      <c r="G10" s="12">
        <f>ROUND(VLOOKUP($D$2,'Income Limits Definitions'!$A:$C,3,FALSE)*VLOOKUP($A10,NYMTSP!$C:$L,6,FALSE),-2)</f>
        <v>94500</v>
      </c>
      <c r="H10" s="12">
        <f>ROUND(VLOOKUP($D$2,'Income Limits Definitions'!$A:$C,3,FALSE)*VLOOKUP($A10,NYMTSP!$C:$L,7,FALSE),-2)</f>
        <v>102100</v>
      </c>
      <c r="I10" s="12">
        <f>ROUND(VLOOKUP($D$2,'Income Limits Definitions'!$A:$C,3,FALSE)*VLOOKUP($A10,NYMTSP!$C:$L,8,FALSE),-2)</f>
        <v>109700</v>
      </c>
      <c r="J10" s="12">
        <f>ROUND(VLOOKUP($D$2,'Income Limits Definitions'!$A:$C,3,FALSE)*VLOOKUP($A10,NYMTSP!$C:$L,9,FALSE),-2)</f>
        <v>117200</v>
      </c>
      <c r="K10" s="17">
        <f>ROUND(VLOOKUP($D$2,'Income Limits Definitions'!$A:$C,3,FALSE)*VLOOKUP($A10,NYMTSP!$C:$L,10,FALSE),-2)</f>
        <v>124800</v>
      </c>
    </row>
    <row r="11" spans="1:11" x14ac:dyDescent="0.2">
      <c r="A11" t="s">
        <v>26</v>
      </c>
      <c r="B11" s="13" t="str">
        <f>CONCATENATE(INDEX(NYMTSP!$AR:$AR,ROW()-5,1)," ",IF(AND($C11&lt;$C$5,VLOOKUP($A11,NYMTSP!$C:$G,5,FALSE)=($C$5/2)),"*",IF($C11&lt;(2*VLOOKUP($A11,NYMTSP!$C:$G,5,FALSE)),"#","")),IF(VLOOKUP($A11,NYMTSP!$C:$G,5,FALSE)&gt;$C$6,"†",""))</f>
        <v>Cattaraugus County #</v>
      </c>
      <c r="C11" s="12">
        <f>VLOOKUP($A11,NYMTSP!$C:$L,2,FALSE)</f>
        <v>77200</v>
      </c>
      <c r="D11" s="12">
        <f>ROUND(VLOOKUP($D$2,'Income Limits Definitions'!$A:$C,3,FALSE)*VLOOKUP($A11,NYMTSP!$C:$L,3,FALSE),-2)</f>
        <v>62000</v>
      </c>
      <c r="E11" s="12">
        <f>ROUND(VLOOKUP($D$2,'Income Limits Definitions'!$A:$C,3,FALSE)*VLOOKUP($A11,NYMTSP!$C:$L,4,FALSE),-2)</f>
        <v>70800</v>
      </c>
      <c r="F11" s="12">
        <f>ROUND(VLOOKUP($D$2,'Income Limits Definitions'!$A:$C,3,FALSE)*VLOOKUP($A11,NYMTSP!$C:$L,5,FALSE),-2)</f>
        <v>79700</v>
      </c>
      <c r="G11" s="12">
        <f>ROUND(VLOOKUP($D$2,'Income Limits Definitions'!$A:$C,3,FALSE)*VLOOKUP($A11,NYMTSP!$C:$L,6,FALSE),-2)</f>
        <v>88500</v>
      </c>
      <c r="H11" s="12">
        <f>ROUND(VLOOKUP($D$2,'Income Limits Definitions'!$A:$C,3,FALSE)*VLOOKUP($A11,NYMTSP!$C:$L,7,FALSE),-2)</f>
        <v>95600</v>
      </c>
      <c r="I11" s="12">
        <f>ROUND(VLOOKUP($D$2,'Income Limits Definitions'!$A:$C,3,FALSE)*VLOOKUP($A11,NYMTSP!$C:$L,8,FALSE),-2)</f>
        <v>102700</v>
      </c>
      <c r="J11" s="12">
        <f>ROUND(VLOOKUP($D$2,'Income Limits Definitions'!$A:$C,3,FALSE)*VLOOKUP($A11,NYMTSP!$C:$L,9,FALSE),-2)</f>
        <v>109800</v>
      </c>
      <c r="K11" s="17">
        <f>ROUND(VLOOKUP($D$2,'Income Limits Definitions'!$A:$C,3,FALSE)*VLOOKUP($A11,NYMTSP!$C:$L,10,FALSE),-2)</f>
        <v>116900</v>
      </c>
    </row>
    <row r="12" spans="1:11" x14ac:dyDescent="0.2">
      <c r="A12" t="s">
        <v>29</v>
      </c>
      <c r="B12" s="6" t="str">
        <f>CONCATENATE(INDEX(NYMTSP!$AR:$AR,ROW()-5,1)," ",IF(AND($C12&lt;$C$5,VLOOKUP($A12,NYMTSP!$C:$G,5,FALSE)=($C$5/2)),"*",IF($C12&lt;(2*VLOOKUP($A12,NYMTSP!$C:$G,5,FALSE)),"#","")),IF(VLOOKUP($A12,NYMTSP!$C:$G,5,FALSE)&gt;$C$6,"†",""))</f>
        <v xml:space="preserve">Cayuga County </v>
      </c>
      <c r="C12" s="12">
        <f>VLOOKUP($A12,NYMTSP!$C:$L,2,FALSE)</f>
        <v>83500</v>
      </c>
      <c r="D12" s="12">
        <f>ROUND(VLOOKUP($D$2,'Income Limits Definitions'!$A:$C,3,FALSE)*VLOOKUP($A12,NYMTSP!$C:$L,3,FALSE),-2)</f>
        <v>62000</v>
      </c>
      <c r="E12" s="12">
        <f>ROUND(VLOOKUP($D$2,'Income Limits Definitions'!$A:$C,3,FALSE)*VLOOKUP($A12,NYMTSP!$C:$L,4,FALSE),-2)</f>
        <v>70800</v>
      </c>
      <c r="F12" s="12">
        <f>ROUND(VLOOKUP($D$2,'Income Limits Definitions'!$A:$C,3,FALSE)*VLOOKUP($A12,NYMTSP!$C:$L,5,FALSE),-2)</f>
        <v>79700</v>
      </c>
      <c r="G12" s="12">
        <f>ROUND(VLOOKUP($D$2,'Income Limits Definitions'!$A:$C,3,FALSE)*VLOOKUP($A12,NYMTSP!$C:$L,6,FALSE),-2)</f>
        <v>88500</v>
      </c>
      <c r="H12" s="12">
        <f>ROUND(VLOOKUP($D$2,'Income Limits Definitions'!$A:$C,3,FALSE)*VLOOKUP($A12,NYMTSP!$C:$L,7,FALSE),-2)</f>
        <v>95600</v>
      </c>
      <c r="I12" s="12">
        <f>ROUND(VLOOKUP($D$2,'Income Limits Definitions'!$A:$C,3,FALSE)*VLOOKUP($A12,NYMTSP!$C:$L,8,FALSE),-2)</f>
        <v>102700</v>
      </c>
      <c r="J12" s="12">
        <f>ROUND(VLOOKUP($D$2,'Income Limits Definitions'!$A:$C,3,FALSE)*VLOOKUP($A12,NYMTSP!$C:$L,9,FALSE),-2)</f>
        <v>109800</v>
      </c>
      <c r="K12" s="17">
        <f>ROUND(VLOOKUP($D$2,'Income Limits Definitions'!$A:$C,3,FALSE)*VLOOKUP($A12,NYMTSP!$C:$L,10,FALSE),-2)</f>
        <v>116900</v>
      </c>
    </row>
    <row r="13" spans="1:11" x14ac:dyDescent="0.2">
      <c r="A13" t="s">
        <v>32</v>
      </c>
      <c r="B13" s="6" t="str">
        <f>CONCATENATE(INDEX(NYMTSP!$AR:$AR,ROW()-5,1)," ",IF(AND($C13&lt;$C$5,VLOOKUP($A13,NYMTSP!$C:$G,5,FALSE)=($C$5/2)),"*",IF($C13&lt;(2*VLOOKUP($A13,NYMTSP!$C:$G,5,FALSE)),"#","")),IF(VLOOKUP($A13,NYMTSP!$C:$G,5,FALSE)&gt;$C$6,"†",""))</f>
        <v xml:space="preserve">Chautauqua County </v>
      </c>
      <c r="C13" s="12">
        <f>VLOOKUP($A13,NYMTSP!$C:$L,2,FALSE)</f>
        <v>82700</v>
      </c>
      <c r="D13" s="12">
        <f>ROUND(VLOOKUP($D$2,'Income Limits Definitions'!$A:$C,3,FALSE)*VLOOKUP($A13,NYMTSP!$C:$L,3,FALSE),-2)</f>
        <v>62000</v>
      </c>
      <c r="E13" s="12">
        <f>ROUND(VLOOKUP($D$2,'Income Limits Definitions'!$A:$C,3,FALSE)*VLOOKUP($A13,NYMTSP!$C:$L,4,FALSE),-2)</f>
        <v>70800</v>
      </c>
      <c r="F13" s="12">
        <f>ROUND(VLOOKUP($D$2,'Income Limits Definitions'!$A:$C,3,FALSE)*VLOOKUP($A13,NYMTSP!$C:$L,5,FALSE),-2)</f>
        <v>79700</v>
      </c>
      <c r="G13" s="12">
        <f>ROUND(VLOOKUP($D$2,'Income Limits Definitions'!$A:$C,3,FALSE)*VLOOKUP($A13,NYMTSP!$C:$L,6,FALSE),-2)</f>
        <v>88500</v>
      </c>
      <c r="H13" s="12">
        <f>ROUND(VLOOKUP($D$2,'Income Limits Definitions'!$A:$C,3,FALSE)*VLOOKUP($A13,NYMTSP!$C:$L,7,FALSE),-2)</f>
        <v>95600</v>
      </c>
      <c r="I13" s="12">
        <f>ROUND(VLOOKUP($D$2,'Income Limits Definitions'!$A:$C,3,FALSE)*VLOOKUP($A13,NYMTSP!$C:$L,8,FALSE),-2)</f>
        <v>102700</v>
      </c>
      <c r="J13" s="12">
        <f>ROUND(VLOOKUP($D$2,'Income Limits Definitions'!$A:$C,3,FALSE)*VLOOKUP($A13,NYMTSP!$C:$L,9,FALSE),-2)</f>
        <v>109800</v>
      </c>
      <c r="K13" s="17">
        <f>ROUND(VLOOKUP($D$2,'Income Limits Definitions'!$A:$C,3,FALSE)*VLOOKUP($A13,NYMTSP!$C:$L,10,FALSE),-2)</f>
        <v>116900</v>
      </c>
    </row>
    <row r="14" spans="1:11" x14ac:dyDescent="0.2">
      <c r="A14" t="s">
        <v>35</v>
      </c>
      <c r="B14" s="6" t="str">
        <f>CONCATENATE(INDEX(NYMTSP!$AR:$AR,ROW()-5,1)," ",IF(AND($C14&lt;$C$5,VLOOKUP($A14,NYMTSP!$C:$G,5,FALSE)=($C$5/2)),"*",IF($C14&lt;(2*VLOOKUP($A14,NYMTSP!$C:$G,5,FALSE)),"#","")),IF(VLOOKUP($A14,NYMTSP!$C:$G,5,FALSE)&gt;$C$6,"†",""))</f>
        <v xml:space="preserve">Chemung County </v>
      </c>
      <c r="C14" s="12">
        <f>VLOOKUP($A14,NYMTSP!$C:$L,2,FALSE)</f>
        <v>81900</v>
      </c>
      <c r="D14" s="12">
        <f>ROUND(VLOOKUP($D$2,'Income Limits Definitions'!$A:$C,3,FALSE)*VLOOKUP($A14,NYMTSP!$C:$L,3,FALSE),-2)</f>
        <v>62000</v>
      </c>
      <c r="E14" s="12">
        <f>ROUND(VLOOKUP($D$2,'Income Limits Definitions'!$A:$C,3,FALSE)*VLOOKUP($A14,NYMTSP!$C:$L,4,FALSE),-2)</f>
        <v>70800</v>
      </c>
      <c r="F14" s="12">
        <f>ROUND(VLOOKUP($D$2,'Income Limits Definitions'!$A:$C,3,FALSE)*VLOOKUP($A14,NYMTSP!$C:$L,5,FALSE),-2)</f>
        <v>79700</v>
      </c>
      <c r="G14" s="12">
        <f>ROUND(VLOOKUP($D$2,'Income Limits Definitions'!$A:$C,3,FALSE)*VLOOKUP($A14,NYMTSP!$C:$L,6,FALSE),-2)</f>
        <v>88500</v>
      </c>
      <c r="H14" s="12">
        <f>ROUND(VLOOKUP($D$2,'Income Limits Definitions'!$A:$C,3,FALSE)*VLOOKUP($A14,NYMTSP!$C:$L,7,FALSE),-2)</f>
        <v>95600</v>
      </c>
      <c r="I14" s="12">
        <f>ROUND(VLOOKUP($D$2,'Income Limits Definitions'!$A:$C,3,FALSE)*VLOOKUP($A14,NYMTSP!$C:$L,8,FALSE),-2)</f>
        <v>102700</v>
      </c>
      <c r="J14" s="12">
        <f>ROUND(VLOOKUP($D$2,'Income Limits Definitions'!$A:$C,3,FALSE)*VLOOKUP($A14,NYMTSP!$C:$L,9,FALSE),-2)</f>
        <v>109800</v>
      </c>
      <c r="K14" s="17">
        <f>ROUND(VLOOKUP($D$2,'Income Limits Definitions'!$A:$C,3,FALSE)*VLOOKUP($A14,NYMTSP!$C:$L,10,FALSE),-2)</f>
        <v>116900</v>
      </c>
    </row>
    <row r="15" spans="1:11" x14ac:dyDescent="0.2">
      <c r="A15" t="s">
        <v>38</v>
      </c>
      <c r="B15" s="13" t="str">
        <f>CONCATENATE(INDEX(NYMTSP!$AR:$AR,ROW()-5,1)," ",IF(AND($C15&lt;$C$5,VLOOKUP($A15,NYMTSP!$C:$G,5,FALSE)=($C$5/2)),"*",IF($C15&lt;(2*VLOOKUP($A15,NYMTSP!$C:$G,5,FALSE)),"#","")),IF(VLOOKUP($A15,NYMTSP!$C:$G,5,FALSE)&gt;$C$6,"†",""))</f>
        <v xml:space="preserve">Chenango County </v>
      </c>
      <c r="C15" s="12">
        <f>VLOOKUP($A15,NYMTSP!$C:$L,2,FALSE)</f>
        <v>83100</v>
      </c>
      <c r="D15" s="12">
        <f>ROUND(VLOOKUP($D$2,'Income Limits Definitions'!$A:$C,3,FALSE)*VLOOKUP($A15,NYMTSP!$C:$L,3,FALSE),-2)</f>
        <v>62000</v>
      </c>
      <c r="E15" s="12">
        <f>ROUND(VLOOKUP($D$2,'Income Limits Definitions'!$A:$C,3,FALSE)*VLOOKUP($A15,NYMTSP!$C:$L,4,FALSE),-2)</f>
        <v>70800</v>
      </c>
      <c r="F15" s="12">
        <f>ROUND(VLOOKUP($D$2,'Income Limits Definitions'!$A:$C,3,FALSE)*VLOOKUP($A15,NYMTSP!$C:$L,5,FALSE),-2)</f>
        <v>79700</v>
      </c>
      <c r="G15" s="12">
        <f>ROUND(VLOOKUP($D$2,'Income Limits Definitions'!$A:$C,3,FALSE)*VLOOKUP($A15,NYMTSP!$C:$L,6,FALSE),-2)</f>
        <v>88500</v>
      </c>
      <c r="H15" s="12">
        <f>ROUND(VLOOKUP($D$2,'Income Limits Definitions'!$A:$C,3,FALSE)*VLOOKUP($A15,NYMTSP!$C:$L,7,FALSE),-2)</f>
        <v>95600</v>
      </c>
      <c r="I15" s="12">
        <f>ROUND(VLOOKUP($D$2,'Income Limits Definitions'!$A:$C,3,FALSE)*VLOOKUP($A15,NYMTSP!$C:$L,8,FALSE),-2)</f>
        <v>102700</v>
      </c>
      <c r="J15" s="12">
        <f>ROUND(VLOOKUP($D$2,'Income Limits Definitions'!$A:$C,3,FALSE)*VLOOKUP($A15,NYMTSP!$C:$L,9,FALSE),-2)</f>
        <v>109800</v>
      </c>
      <c r="K15" s="17">
        <f>ROUND(VLOOKUP($D$2,'Income Limits Definitions'!$A:$C,3,FALSE)*VLOOKUP($A15,NYMTSP!$C:$L,10,FALSE),-2)</f>
        <v>116900</v>
      </c>
    </row>
    <row r="16" spans="1:11" x14ac:dyDescent="0.2">
      <c r="A16" t="s">
        <v>41</v>
      </c>
      <c r="B16" s="13" t="str">
        <f>CONCATENATE(INDEX(NYMTSP!$AR:$AR,ROW()-5,1)," ",IF(AND($C16&lt;$C$5,VLOOKUP($A16,NYMTSP!$C:$G,5,FALSE)=($C$5/2)),"*",IF($C16&lt;(2*VLOOKUP($A16,NYMTSP!$C:$G,5,FALSE)),"#","")),IF(VLOOKUP($A16,NYMTSP!$C:$G,5,FALSE)&gt;$C$6,"†",""))</f>
        <v xml:space="preserve">Clinton County </v>
      </c>
      <c r="C16" s="12">
        <f>VLOOKUP($A16,NYMTSP!$C:$L,2,FALSE)</f>
        <v>94300</v>
      </c>
      <c r="D16" s="12">
        <f>ROUND(VLOOKUP($D$2,'Income Limits Definitions'!$A:$C,3,FALSE)*VLOOKUP($A16,NYMTSP!$C:$L,3,FALSE),-2)</f>
        <v>66100</v>
      </c>
      <c r="E16" s="12">
        <f>ROUND(VLOOKUP($D$2,'Income Limits Definitions'!$A:$C,3,FALSE)*VLOOKUP($A16,NYMTSP!$C:$L,4,FALSE),-2)</f>
        <v>75500</v>
      </c>
      <c r="F16" s="12">
        <f>ROUND(VLOOKUP($D$2,'Income Limits Definitions'!$A:$C,3,FALSE)*VLOOKUP($A16,NYMTSP!$C:$L,5,FALSE),-2)</f>
        <v>84900</v>
      </c>
      <c r="G16" s="12">
        <f>ROUND(VLOOKUP($D$2,'Income Limits Definitions'!$A:$C,3,FALSE)*VLOOKUP($A16,NYMTSP!$C:$L,6,FALSE),-2)</f>
        <v>94300</v>
      </c>
      <c r="H16" s="12">
        <f>ROUND(VLOOKUP($D$2,'Income Limits Definitions'!$A:$C,3,FALSE)*VLOOKUP($A16,NYMTSP!$C:$L,7,FALSE),-2)</f>
        <v>101900</v>
      </c>
      <c r="I16" s="12">
        <f>ROUND(VLOOKUP($D$2,'Income Limits Definitions'!$A:$C,3,FALSE)*VLOOKUP($A16,NYMTSP!$C:$L,8,FALSE),-2)</f>
        <v>109400</v>
      </c>
      <c r="J16" s="12">
        <f>ROUND(VLOOKUP($D$2,'Income Limits Definitions'!$A:$C,3,FALSE)*VLOOKUP($A16,NYMTSP!$C:$L,9,FALSE),-2)</f>
        <v>117000</v>
      </c>
      <c r="K16" s="17">
        <f>ROUND(VLOOKUP($D$2,'Income Limits Definitions'!$A:$C,3,FALSE)*VLOOKUP($A16,NYMTSP!$C:$L,10,FALSE),-2)</f>
        <v>124500</v>
      </c>
    </row>
    <row r="17" spans="1:11" x14ac:dyDescent="0.2">
      <c r="A17" t="s">
        <v>44</v>
      </c>
      <c r="B17" s="13" t="str">
        <f>CONCATENATE(INDEX(NYMTSP!$AR:$AR,ROW()-5,1)," ",IF(AND($C17&lt;$C$5,VLOOKUP($A17,NYMTSP!$C:$G,5,FALSE)=($C$5/2)),"*",IF($C17&lt;(2*VLOOKUP($A17,NYMTSP!$C:$G,5,FALSE)),"#","")),IF(VLOOKUP($A17,NYMTSP!$C:$G,5,FALSE)&gt;$C$6,"†",""))</f>
        <v xml:space="preserve">Columbia County </v>
      </c>
      <c r="C17" s="12">
        <f>VLOOKUP($A17,NYMTSP!$C:$L,2,FALSE)</f>
        <v>113100</v>
      </c>
      <c r="D17" s="12">
        <f>ROUND(VLOOKUP($D$2,'Income Limits Definitions'!$A:$C,3,FALSE)*VLOOKUP($A17,NYMTSP!$C:$L,3,FALSE),-2)</f>
        <v>78900</v>
      </c>
      <c r="E17" s="12">
        <f>ROUND(VLOOKUP($D$2,'Income Limits Definitions'!$A:$C,3,FALSE)*VLOOKUP($A17,NYMTSP!$C:$L,4,FALSE),-2)</f>
        <v>90200</v>
      </c>
      <c r="F17" s="12">
        <f>ROUND(VLOOKUP($D$2,'Income Limits Definitions'!$A:$C,3,FALSE)*VLOOKUP($A17,NYMTSP!$C:$L,5,FALSE),-2)</f>
        <v>101400</v>
      </c>
      <c r="G17" s="12">
        <f>ROUND(VLOOKUP($D$2,'Income Limits Definitions'!$A:$C,3,FALSE)*VLOOKUP($A17,NYMTSP!$C:$L,6,FALSE),-2)</f>
        <v>112700</v>
      </c>
      <c r="H17" s="12">
        <f>ROUND(VLOOKUP($D$2,'Income Limits Definitions'!$A:$C,3,FALSE)*VLOOKUP($A17,NYMTSP!$C:$L,7,FALSE),-2)</f>
        <v>121700</v>
      </c>
      <c r="I17" s="12">
        <f>ROUND(VLOOKUP($D$2,'Income Limits Definitions'!$A:$C,3,FALSE)*VLOOKUP($A17,NYMTSP!$C:$L,8,FALSE),-2)</f>
        <v>130800</v>
      </c>
      <c r="J17" s="12">
        <f>ROUND(VLOOKUP($D$2,'Income Limits Definitions'!$A:$C,3,FALSE)*VLOOKUP($A17,NYMTSP!$C:$L,9,FALSE),-2)</f>
        <v>139800</v>
      </c>
      <c r="K17" s="17">
        <f>ROUND(VLOOKUP($D$2,'Income Limits Definitions'!$A:$C,3,FALSE)*VLOOKUP($A17,NYMTSP!$C:$L,10,FALSE),-2)</f>
        <v>148800</v>
      </c>
    </row>
    <row r="18" spans="1:11" x14ac:dyDescent="0.2">
      <c r="A18" t="s">
        <v>47</v>
      </c>
      <c r="B18" s="13" t="str">
        <f>CONCATENATE(INDEX(NYMTSP!$AR:$AR,ROW()-5,1)," ",IF(AND($C18&lt;$C$5,VLOOKUP($A18,NYMTSP!$C:$G,5,FALSE)=($C$5/2)),"*",IF($C18&lt;(2*VLOOKUP($A18,NYMTSP!$C:$G,5,FALSE)),"#","")),IF(VLOOKUP($A18,NYMTSP!$C:$G,5,FALSE)&gt;$C$6,"†",""))</f>
        <v xml:space="preserve">Cortland County </v>
      </c>
      <c r="C18" s="12">
        <f>VLOOKUP($A18,NYMTSP!$C:$L,2,FALSE)</f>
        <v>92200</v>
      </c>
      <c r="D18" s="12">
        <f>ROUND(VLOOKUP($D$2,'Income Limits Definitions'!$A:$C,3,FALSE)*VLOOKUP($A18,NYMTSP!$C:$L,3,FALSE),-2)</f>
        <v>64600</v>
      </c>
      <c r="E18" s="12">
        <f>ROUND(VLOOKUP($D$2,'Income Limits Definitions'!$A:$C,3,FALSE)*VLOOKUP($A18,NYMTSP!$C:$L,4,FALSE),-2)</f>
        <v>73800</v>
      </c>
      <c r="F18" s="12">
        <f>ROUND(VLOOKUP($D$2,'Income Limits Definitions'!$A:$C,3,FALSE)*VLOOKUP($A18,NYMTSP!$C:$L,5,FALSE),-2)</f>
        <v>83000</v>
      </c>
      <c r="G18" s="12">
        <f>ROUND(VLOOKUP($D$2,'Income Limits Definitions'!$A:$C,3,FALSE)*VLOOKUP($A18,NYMTSP!$C:$L,6,FALSE),-2)</f>
        <v>92200</v>
      </c>
      <c r="H18" s="12">
        <f>ROUND(VLOOKUP($D$2,'Income Limits Definitions'!$A:$C,3,FALSE)*VLOOKUP($A18,NYMTSP!$C:$L,7,FALSE),-2)</f>
        <v>99600</v>
      </c>
      <c r="I18" s="12">
        <f>ROUND(VLOOKUP($D$2,'Income Limits Definitions'!$A:$C,3,FALSE)*VLOOKUP($A18,NYMTSP!$C:$L,8,FALSE),-2)</f>
        <v>107000</v>
      </c>
      <c r="J18" s="12">
        <f>ROUND(VLOOKUP($D$2,'Income Limits Definitions'!$A:$C,3,FALSE)*VLOOKUP($A18,NYMTSP!$C:$L,9,FALSE),-2)</f>
        <v>114400</v>
      </c>
      <c r="K18" s="17">
        <f>ROUND(VLOOKUP($D$2,'Income Limits Definitions'!$A:$C,3,FALSE)*VLOOKUP($A18,NYMTSP!$C:$L,10,FALSE),-2)</f>
        <v>121800</v>
      </c>
    </row>
    <row r="19" spans="1:11" x14ac:dyDescent="0.2">
      <c r="A19" t="s">
        <v>50</v>
      </c>
      <c r="B19" s="13" t="str">
        <f>CONCATENATE(INDEX(NYMTSP!$AR:$AR,ROW()-5,1)," ",IF(AND($C19&lt;$C$5,VLOOKUP($A19,NYMTSP!$C:$G,5,FALSE)=($C$5/2)),"*",IF($C19&lt;(2*VLOOKUP($A19,NYMTSP!$C:$G,5,FALSE)),"#","")),IF(VLOOKUP($A19,NYMTSP!$C:$G,5,FALSE)&gt;$C$6,"†",""))</f>
        <v xml:space="preserve">Delaware County </v>
      </c>
      <c r="C19" s="12">
        <f>VLOOKUP($A19,NYMTSP!$C:$L,2,FALSE)</f>
        <v>82600</v>
      </c>
      <c r="D19" s="12">
        <f>ROUND(VLOOKUP($D$2,'Income Limits Definitions'!$A:$C,3,FALSE)*VLOOKUP($A19,NYMTSP!$C:$L,3,FALSE),-2)</f>
        <v>62000</v>
      </c>
      <c r="E19" s="12">
        <f>ROUND(VLOOKUP($D$2,'Income Limits Definitions'!$A:$C,3,FALSE)*VLOOKUP($A19,NYMTSP!$C:$L,4,FALSE),-2)</f>
        <v>70800</v>
      </c>
      <c r="F19" s="12">
        <f>ROUND(VLOOKUP($D$2,'Income Limits Definitions'!$A:$C,3,FALSE)*VLOOKUP($A19,NYMTSP!$C:$L,5,FALSE),-2)</f>
        <v>79700</v>
      </c>
      <c r="G19" s="12">
        <f>ROUND(VLOOKUP($D$2,'Income Limits Definitions'!$A:$C,3,FALSE)*VLOOKUP($A19,NYMTSP!$C:$L,6,FALSE),-2)</f>
        <v>88500</v>
      </c>
      <c r="H19" s="12">
        <f>ROUND(VLOOKUP($D$2,'Income Limits Definitions'!$A:$C,3,FALSE)*VLOOKUP($A19,NYMTSP!$C:$L,7,FALSE),-2)</f>
        <v>95600</v>
      </c>
      <c r="I19" s="12">
        <f>ROUND(VLOOKUP($D$2,'Income Limits Definitions'!$A:$C,3,FALSE)*VLOOKUP($A19,NYMTSP!$C:$L,8,FALSE),-2)</f>
        <v>102700</v>
      </c>
      <c r="J19" s="12">
        <f>ROUND(VLOOKUP($D$2,'Income Limits Definitions'!$A:$C,3,FALSE)*VLOOKUP($A19,NYMTSP!$C:$L,9,FALSE),-2)</f>
        <v>109800</v>
      </c>
      <c r="K19" s="17">
        <f>ROUND(VLOOKUP($D$2,'Income Limits Definitions'!$A:$C,3,FALSE)*VLOOKUP($A19,NYMTSP!$C:$L,10,FALSE),-2)</f>
        <v>116900</v>
      </c>
    </row>
    <row r="20" spans="1:11" x14ac:dyDescent="0.2">
      <c r="A20" t="s">
        <v>296</v>
      </c>
      <c r="B20" s="6" t="str">
        <f>CONCATENATE(INDEX(NYMTSP!$AR:$AR,ROW()-5,1)," ",IF(AND($C20&lt;$C$5,VLOOKUP($A20,NYMTSP!$C:$G,5,FALSE)=($C$5/2)),"*",IF($C20&lt;(2*VLOOKUP($A20,NYMTSP!$C:$G,5,FALSE)),"#","")),IF(VLOOKUP($A20,NYMTSP!$C:$G,5,FALSE)&gt;$C$6,"†",""))</f>
        <v xml:space="preserve">Dutchess County </v>
      </c>
      <c r="C20" s="12">
        <f>VLOOKUP($A20,NYMTSP!$C:$L,2,FALSE)</f>
        <v>123000</v>
      </c>
      <c r="D20" s="12">
        <f>ROUND(VLOOKUP($D$2,'Income Limits Definitions'!$A:$C,3,FALSE)*VLOOKUP($A20,NYMTSP!$C:$L,3,FALSE),-2)</f>
        <v>86100</v>
      </c>
      <c r="E20" s="12">
        <f>ROUND(VLOOKUP($D$2,'Income Limits Definitions'!$A:$C,3,FALSE)*VLOOKUP($A20,NYMTSP!$C:$L,4,FALSE),-2)</f>
        <v>98400</v>
      </c>
      <c r="F20" s="12">
        <f>ROUND(VLOOKUP($D$2,'Income Limits Definitions'!$A:$C,3,FALSE)*VLOOKUP($A20,NYMTSP!$C:$L,5,FALSE),-2)</f>
        <v>110700</v>
      </c>
      <c r="G20" s="12">
        <f>ROUND(VLOOKUP($D$2,'Income Limits Definitions'!$A:$C,3,FALSE)*VLOOKUP($A20,NYMTSP!$C:$L,6,FALSE),-2)</f>
        <v>123000</v>
      </c>
      <c r="H20" s="12">
        <f>ROUND(VLOOKUP($D$2,'Income Limits Definitions'!$A:$C,3,FALSE)*VLOOKUP($A20,NYMTSP!$C:$L,7,FALSE),-2)</f>
        <v>132900</v>
      </c>
      <c r="I20" s="12">
        <f>ROUND(VLOOKUP($D$2,'Income Limits Definitions'!$A:$C,3,FALSE)*VLOOKUP($A20,NYMTSP!$C:$L,8,FALSE),-2)</f>
        <v>142700</v>
      </c>
      <c r="J20" s="12">
        <f>ROUND(VLOOKUP($D$2,'Income Limits Definitions'!$A:$C,3,FALSE)*VLOOKUP($A20,NYMTSP!$C:$L,9,FALSE),-2)</f>
        <v>152600</v>
      </c>
      <c r="K20" s="17">
        <f>ROUND(VLOOKUP($D$2,'Income Limits Definitions'!$A:$C,3,FALSE)*VLOOKUP($A20,NYMTSP!$C:$L,10,FALSE),-2)</f>
        <v>162400</v>
      </c>
    </row>
    <row r="21" spans="1:11" x14ac:dyDescent="0.2">
      <c r="A21" t="s">
        <v>54</v>
      </c>
      <c r="B21" s="13" t="str">
        <f>CONCATENATE(INDEX(NYMTSP!$AR:$AR,ROW()-5,1)," ",IF(AND($C21&lt;$C$5,VLOOKUP($A21,NYMTSP!$C:$G,5,FALSE)=($C$5/2)),"*",IF($C21&lt;(2*VLOOKUP($A21,NYMTSP!$C:$G,5,FALSE)),"#","")),IF(VLOOKUP($A21,NYMTSP!$C:$G,5,FALSE)&gt;$C$6,"†",""))</f>
        <v xml:space="preserve">Erie County </v>
      </c>
      <c r="C21" s="12">
        <f>VLOOKUP($A21,NYMTSP!$C:$L,2,FALSE)</f>
        <v>101000</v>
      </c>
      <c r="D21" s="12">
        <f>ROUND(VLOOKUP($D$2,'Income Limits Definitions'!$A:$C,3,FALSE)*VLOOKUP($A21,NYMTSP!$C:$L,3,FALSE),-2)</f>
        <v>70700</v>
      </c>
      <c r="E21" s="12">
        <f>ROUND(VLOOKUP($D$2,'Income Limits Definitions'!$A:$C,3,FALSE)*VLOOKUP($A21,NYMTSP!$C:$L,4,FALSE),-2)</f>
        <v>80800</v>
      </c>
      <c r="F21" s="12">
        <f>ROUND(VLOOKUP($D$2,'Income Limits Definitions'!$A:$C,3,FALSE)*VLOOKUP($A21,NYMTSP!$C:$L,5,FALSE),-2)</f>
        <v>90900</v>
      </c>
      <c r="G21" s="12">
        <f>ROUND(VLOOKUP($D$2,'Income Limits Definitions'!$A:$C,3,FALSE)*VLOOKUP($A21,NYMTSP!$C:$L,6,FALSE),-2)</f>
        <v>101000</v>
      </c>
      <c r="H21" s="12">
        <f>ROUND(VLOOKUP($D$2,'Income Limits Definitions'!$A:$C,3,FALSE)*VLOOKUP($A21,NYMTSP!$C:$L,7,FALSE),-2)</f>
        <v>109100</v>
      </c>
      <c r="I21" s="12">
        <f>ROUND(VLOOKUP($D$2,'Income Limits Definitions'!$A:$C,3,FALSE)*VLOOKUP($A21,NYMTSP!$C:$L,8,FALSE),-2)</f>
        <v>117200</v>
      </c>
      <c r="J21" s="12">
        <f>ROUND(VLOOKUP($D$2,'Income Limits Definitions'!$A:$C,3,FALSE)*VLOOKUP($A21,NYMTSP!$C:$L,9,FALSE),-2)</f>
        <v>125300</v>
      </c>
      <c r="K21" s="17">
        <f>ROUND(VLOOKUP($D$2,'Income Limits Definitions'!$A:$C,3,FALSE)*VLOOKUP($A21,NYMTSP!$C:$L,10,FALSE),-2)</f>
        <v>133400</v>
      </c>
    </row>
    <row r="22" spans="1:11" x14ac:dyDescent="0.2">
      <c r="A22" t="s">
        <v>57</v>
      </c>
      <c r="B22" s="13" t="str">
        <f>CONCATENATE(INDEX(NYMTSP!$AR:$AR,ROW()-5,1)," ",IF(AND($C22&lt;$C$5,VLOOKUP($A22,NYMTSP!$C:$G,5,FALSE)=($C$5/2)),"*",IF($C22&lt;(2*VLOOKUP($A22,NYMTSP!$C:$G,5,FALSE)),"#","")),IF(VLOOKUP($A22,NYMTSP!$C:$G,5,FALSE)&gt;$C$6,"†",""))</f>
        <v xml:space="preserve">Essex County </v>
      </c>
      <c r="C22" s="12">
        <f>VLOOKUP($A22,NYMTSP!$C:$L,2,FALSE)</f>
        <v>91900</v>
      </c>
      <c r="D22" s="12">
        <f>ROUND(VLOOKUP($D$2,'Income Limits Definitions'!$A:$C,3,FALSE)*VLOOKUP($A22,NYMTSP!$C:$L,3,FALSE),-2)</f>
        <v>64400</v>
      </c>
      <c r="E22" s="12">
        <f>ROUND(VLOOKUP($D$2,'Income Limits Definitions'!$A:$C,3,FALSE)*VLOOKUP($A22,NYMTSP!$C:$L,4,FALSE),-2)</f>
        <v>73600</v>
      </c>
      <c r="F22" s="12">
        <f>ROUND(VLOOKUP($D$2,'Income Limits Definitions'!$A:$C,3,FALSE)*VLOOKUP($A22,NYMTSP!$C:$L,5,FALSE),-2)</f>
        <v>82800</v>
      </c>
      <c r="G22" s="12">
        <f>ROUND(VLOOKUP($D$2,'Income Limits Definitions'!$A:$C,3,FALSE)*VLOOKUP($A22,NYMTSP!$C:$L,6,FALSE),-2)</f>
        <v>91900</v>
      </c>
      <c r="H22" s="12">
        <f>ROUND(VLOOKUP($D$2,'Income Limits Definitions'!$A:$C,3,FALSE)*VLOOKUP($A22,NYMTSP!$C:$L,7,FALSE),-2)</f>
        <v>99300</v>
      </c>
      <c r="I22" s="12">
        <f>ROUND(VLOOKUP($D$2,'Income Limits Definitions'!$A:$C,3,FALSE)*VLOOKUP($A22,NYMTSP!$C:$L,8,FALSE),-2)</f>
        <v>106700</v>
      </c>
      <c r="J22" s="12">
        <f>ROUND(VLOOKUP($D$2,'Income Limits Definitions'!$A:$C,3,FALSE)*VLOOKUP($A22,NYMTSP!$C:$L,9,FALSE),-2)</f>
        <v>114000</v>
      </c>
      <c r="K22" s="17">
        <f>ROUND(VLOOKUP($D$2,'Income Limits Definitions'!$A:$C,3,FALSE)*VLOOKUP($A22,NYMTSP!$C:$L,10,FALSE),-2)</f>
        <v>121400</v>
      </c>
    </row>
    <row r="23" spans="1:11" x14ac:dyDescent="0.2">
      <c r="A23" t="s">
        <v>60</v>
      </c>
      <c r="B23" s="13" t="str">
        <f>CONCATENATE(INDEX(NYMTSP!$AR:$AR,ROW()-5,1)," ",IF(AND($C23&lt;$C$5,VLOOKUP($A23,NYMTSP!$C:$G,5,FALSE)=($C$5/2)),"*",IF($C23&lt;(2*VLOOKUP($A23,NYMTSP!$C:$G,5,FALSE)),"#","")),IF(VLOOKUP($A23,NYMTSP!$C:$G,5,FALSE)&gt;$C$6,"†",""))</f>
        <v xml:space="preserve">Franklin County </v>
      </c>
      <c r="C23" s="12">
        <f>VLOOKUP($A23,NYMTSP!$C:$L,2,FALSE)</f>
        <v>82100</v>
      </c>
      <c r="D23" s="12">
        <f>ROUND(VLOOKUP($D$2,'Income Limits Definitions'!$A:$C,3,FALSE)*VLOOKUP($A23,NYMTSP!$C:$L,3,FALSE),-2)</f>
        <v>62000</v>
      </c>
      <c r="E23" s="12">
        <f>ROUND(VLOOKUP($D$2,'Income Limits Definitions'!$A:$C,3,FALSE)*VLOOKUP($A23,NYMTSP!$C:$L,4,FALSE),-2)</f>
        <v>70800</v>
      </c>
      <c r="F23" s="12">
        <f>ROUND(VLOOKUP($D$2,'Income Limits Definitions'!$A:$C,3,FALSE)*VLOOKUP($A23,NYMTSP!$C:$L,5,FALSE),-2)</f>
        <v>79700</v>
      </c>
      <c r="G23" s="12">
        <f>ROUND(VLOOKUP($D$2,'Income Limits Definitions'!$A:$C,3,FALSE)*VLOOKUP($A23,NYMTSP!$C:$L,6,FALSE),-2)</f>
        <v>88500</v>
      </c>
      <c r="H23" s="12">
        <f>ROUND(VLOOKUP($D$2,'Income Limits Definitions'!$A:$C,3,FALSE)*VLOOKUP($A23,NYMTSP!$C:$L,7,FALSE),-2)</f>
        <v>95600</v>
      </c>
      <c r="I23" s="12">
        <f>ROUND(VLOOKUP($D$2,'Income Limits Definitions'!$A:$C,3,FALSE)*VLOOKUP($A23,NYMTSP!$C:$L,8,FALSE),-2)</f>
        <v>102700</v>
      </c>
      <c r="J23" s="12">
        <f>ROUND(VLOOKUP($D$2,'Income Limits Definitions'!$A:$C,3,FALSE)*VLOOKUP($A23,NYMTSP!$C:$L,9,FALSE),-2)</f>
        <v>109800</v>
      </c>
      <c r="K23" s="17">
        <f>ROUND(VLOOKUP($D$2,'Income Limits Definitions'!$A:$C,3,FALSE)*VLOOKUP($A23,NYMTSP!$C:$L,10,FALSE),-2)</f>
        <v>116900</v>
      </c>
    </row>
    <row r="24" spans="1:11" x14ac:dyDescent="0.2">
      <c r="A24" t="s">
        <v>63</v>
      </c>
      <c r="B24" s="6" t="str">
        <f>CONCATENATE(INDEX(NYMTSP!$AR:$AR,ROW()-5,1)," ",IF(AND($C24&lt;$C$5,VLOOKUP($A24,NYMTSP!$C:$G,5,FALSE)=($C$5/2)),"*",IF($C24&lt;(2*VLOOKUP($A24,NYMTSP!$C:$G,5,FALSE)),"#","")),IF(VLOOKUP($A24,NYMTSP!$C:$G,5,FALSE)&gt;$C$6,"†",""))</f>
        <v>Fulton County #</v>
      </c>
      <c r="C24" s="12">
        <f>VLOOKUP($A24,NYMTSP!$C:$L,2,FALSE)</f>
        <v>79100</v>
      </c>
      <c r="D24" s="12">
        <f>ROUND(VLOOKUP($D$2,'Income Limits Definitions'!$A:$C,3,FALSE)*VLOOKUP($A24,NYMTSP!$C:$L,3,FALSE),-2)</f>
        <v>62000</v>
      </c>
      <c r="E24" s="12">
        <f>ROUND(VLOOKUP($D$2,'Income Limits Definitions'!$A:$C,3,FALSE)*VLOOKUP($A24,NYMTSP!$C:$L,4,FALSE),-2)</f>
        <v>70800</v>
      </c>
      <c r="F24" s="12">
        <f>ROUND(VLOOKUP($D$2,'Income Limits Definitions'!$A:$C,3,FALSE)*VLOOKUP($A24,NYMTSP!$C:$L,5,FALSE),-2)</f>
        <v>79700</v>
      </c>
      <c r="G24" s="12">
        <f>ROUND(VLOOKUP($D$2,'Income Limits Definitions'!$A:$C,3,FALSE)*VLOOKUP($A24,NYMTSP!$C:$L,6,FALSE),-2)</f>
        <v>88500</v>
      </c>
      <c r="H24" s="12">
        <f>ROUND(VLOOKUP($D$2,'Income Limits Definitions'!$A:$C,3,FALSE)*VLOOKUP($A24,NYMTSP!$C:$L,7,FALSE),-2)</f>
        <v>95600</v>
      </c>
      <c r="I24" s="12">
        <f>ROUND(VLOOKUP($D$2,'Income Limits Definitions'!$A:$C,3,FALSE)*VLOOKUP($A24,NYMTSP!$C:$L,8,FALSE),-2)</f>
        <v>102700</v>
      </c>
      <c r="J24" s="12">
        <f>ROUND(VLOOKUP($D$2,'Income Limits Definitions'!$A:$C,3,FALSE)*VLOOKUP($A24,NYMTSP!$C:$L,9,FALSE),-2)</f>
        <v>109800</v>
      </c>
      <c r="K24" s="17">
        <f>ROUND(VLOOKUP($D$2,'Income Limits Definitions'!$A:$C,3,FALSE)*VLOOKUP($A24,NYMTSP!$C:$L,10,FALSE),-2)</f>
        <v>116900</v>
      </c>
    </row>
    <row r="25" spans="1:11" x14ac:dyDescent="0.2">
      <c r="A25" t="s">
        <v>66</v>
      </c>
      <c r="B25" s="6" t="str">
        <f>CONCATENATE(INDEX(NYMTSP!$AR:$AR,ROW()-5,1)," ",IF(AND($C25&lt;$C$5,VLOOKUP($A25,NYMTSP!$C:$G,5,FALSE)=($C$5/2)),"*",IF($C25&lt;(2*VLOOKUP($A25,NYMTSP!$C:$G,5,FALSE)),"#","")),IF(VLOOKUP($A25,NYMTSP!$C:$G,5,FALSE)&gt;$C$6,"†",""))</f>
        <v xml:space="preserve">Genesee County </v>
      </c>
      <c r="C25" s="12">
        <f>VLOOKUP($A25,NYMTSP!$C:$L,2,FALSE)</f>
        <v>96900</v>
      </c>
      <c r="D25" s="12">
        <f>ROUND(VLOOKUP($D$2,'Income Limits Definitions'!$A:$C,3,FALSE)*VLOOKUP($A25,NYMTSP!$C:$L,3,FALSE),-2)</f>
        <v>67900</v>
      </c>
      <c r="E25" s="12">
        <f>ROUND(VLOOKUP($D$2,'Income Limits Definitions'!$A:$C,3,FALSE)*VLOOKUP($A25,NYMTSP!$C:$L,4,FALSE),-2)</f>
        <v>77600</v>
      </c>
      <c r="F25" s="12">
        <f>ROUND(VLOOKUP($D$2,'Income Limits Definitions'!$A:$C,3,FALSE)*VLOOKUP($A25,NYMTSP!$C:$L,5,FALSE),-2)</f>
        <v>87300</v>
      </c>
      <c r="G25" s="12">
        <f>ROUND(VLOOKUP($D$2,'Income Limits Definitions'!$A:$C,3,FALSE)*VLOOKUP($A25,NYMTSP!$C:$L,6,FALSE),-2)</f>
        <v>96900</v>
      </c>
      <c r="H25" s="12">
        <f>ROUND(VLOOKUP($D$2,'Income Limits Definitions'!$A:$C,3,FALSE)*VLOOKUP($A25,NYMTSP!$C:$L,7,FALSE),-2)</f>
        <v>104700</v>
      </c>
      <c r="I25" s="12">
        <f>ROUND(VLOOKUP($D$2,'Income Limits Definitions'!$A:$C,3,FALSE)*VLOOKUP($A25,NYMTSP!$C:$L,8,FALSE),-2)</f>
        <v>112500</v>
      </c>
      <c r="J25" s="12">
        <f>ROUND(VLOOKUP($D$2,'Income Limits Definitions'!$A:$C,3,FALSE)*VLOOKUP($A25,NYMTSP!$C:$L,9,FALSE),-2)</f>
        <v>120200</v>
      </c>
      <c r="K25" s="17">
        <f>ROUND(VLOOKUP($D$2,'Income Limits Definitions'!$A:$C,3,FALSE)*VLOOKUP($A25,NYMTSP!$C:$L,10,FALSE),-2)</f>
        <v>128000</v>
      </c>
    </row>
    <row r="26" spans="1:11" x14ac:dyDescent="0.2">
      <c r="A26" t="s">
        <v>69</v>
      </c>
      <c r="B26" s="6" t="str">
        <f>CONCATENATE(INDEX(NYMTSP!$AR:$AR,ROW()-5,1)," ",IF(AND($C26&lt;$C$5,VLOOKUP($A26,NYMTSP!$C:$G,5,FALSE)=($C$5/2)),"*",IF($C26&lt;(2*VLOOKUP($A26,NYMTSP!$C:$G,5,FALSE)),"#","")),IF(VLOOKUP($A26,NYMTSP!$C:$G,5,FALSE)&gt;$C$6,"†",""))</f>
        <v xml:space="preserve">Greene County </v>
      </c>
      <c r="C26" s="12">
        <f>VLOOKUP($A26,NYMTSP!$C:$L,2,FALSE)</f>
        <v>104300</v>
      </c>
      <c r="D26" s="12">
        <f>ROUND(VLOOKUP($D$2,'Income Limits Definitions'!$A:$C,3,FALSE)*VLOOKUP($A26,NYMTSP!$C:$L,3,FALSE),-2)</f>
        <v>70300</v>
      </c>
      <c r="E26" s="12">
        <f>ROUND(VLOOKUP($D$2,'Income Limits Definitions'!$A:$C,3,FALSE)*VLOOKUP($A26,NYMTSP!$C:$L,4,FALSE),-2)</f>
        <v>80200</v>
      </c>
      <c r="F26" s="12">
        <f>ROUND(VLOOKUP($D$2,'Income Limits Definitions'!$A:$C,3,FALSE)*VLOOKUP($A26,NYMTSP!$C:$L,5,FALSE),-2)</f>
        <v>90300</v>
      </c>
      <c r="G26" s="12">
        <f>ROUND(VLOOKUP($D$2,'Income Limits Definitions'!$A:$C,3,FALSE)*VLOOKUP($A26,NYMTSP!$C:$L,6,FALSE),-2)</f>
        <v>100300</v>
      </c>
      <c r="H26" s="12">
        <f>ROUND(VLOOKUP($D$2,'Income Limits Definitions'!$A:$C,3,FALSE)*VLOOKUP($A26,NYMTSP!$C:$L,7,FALSE),-2)</f>
        <v>108400</v>
      </c>
      <c r="I26" s="12">
        <f>ROUND(VLOOKUP($D$2,'Income Limits Definitions'!$A:$C,3,FALSE)*VLOOKUP($A26,NYMTSP!$C:$L,8,FALSE),-2)</f>
        <v>116400</v>
      </c>
      <c r="J26" s="12">
        <f>ROUND(VLOOKUP($D$2,'Income Limits Definitions'!$A:$C,3,FALSE)*VLOOKUP($A26,NYMTSP!$C:$L,9,FALSE),-2)</f>
        <v>124400</v>
      </c>
      <c r="K26" s="17">
        <f>ROUND(VLOOKUP($D$2,'Income Limits Definitions'!$A:$C,3,FALSE)*VLOOKUP($A26,NYMTSP!$C:$L,10,FALSE),-2)</f>
        <v>132400</v>
      </c>
    </row>
    <row r="27" spans="1:11" x14ac:dyDescent="0.2">
      <c r="A27" t="s">
        <v>72</v>
      </c>
      <c r="B27" s="6" t="str">
        <f>CONCATENATE(INDEX(NYMTSP!$AR:$AR,ROW()-5,1)," ",IF(AND($C27&lt;$C$5,VLOOKUP($A27,NYMTSP!$C:$G,5,FALSE)=($C$5/2)),"*",IF($C27&lt;(2*VLOOKUP($A27,NYMTSP!$C:$G,5,FALSE)),"#","")),IF(VLOOKUP($A27,NYMTSP!$C:$G,5,FALSE)&gt;$C$6,"†",""))</f>
        <v xml:space="preserve">Hamilton County </v>
      </c>
      <c r="C27" s="12">
        <f>VLOOKUP($A27,NYMTSP!$C:$L,2,FALSE)</f>
        <v>94300</v>
      </c>
      <c r="D27" s="12">
        <f>ROUND(VLOOKUP($D$2,'Income Limits Definitions'!$A:$C,3,FALSE)*VLOOKUP($A27,NYMTSP!$C:$L,3,FALSE),-2)</f>
        <v>66000</v>
      </c>
      <c r="E27" s="12">
        <f>ROUND(VLOOKUP($D$2,'Income Limits Definitions'!$A:$C,3,FALSE)*VLOOKUP($A27,NYMTSP!$C:$L,4,FALSE),-2)</f>
        <v>75500</v>
      </c>
      <c r="F27" s="12">
        <f>ROUND(VLOOKUP($D$2,'Income Limits Definitions'!$A:$C,3,FALSE)*VLOOKUP($A27,NYMTSP!$C:$L,5,FALSE),-2)</f>
        <v>84900</v>
      </c>
      <c r="G27" s="12">
        <f>ROUND(VLOOKUP($D$2,'Income Limits Definitions'!$A:$C,3,FALSE)*VLOOKUP($A27,NYMTSP!$C:$L,6,FALSE),-2)</f>
        <v>94300</v>
      </c>
      <c r="H27" s="12">
        <f>ROUND(VLOOKUP($D$2,'Income Limits Definitions'!$A:$C,3,FALSE)*VLOOKUP($A27,NYMTSP!$C:$L,7,FALSE),-2)</f>
        <v>101900</v>
      </c>
      <c r="I27" s="12">
        <f>ROUND(VLOOKUP($D$2,'Income Limits Definitions'!$A:$C,3,FALSE)*VLOOKUP($A27,NYMTSP!$C:$L,8,FALSE),-2)</f>
        <v>109400</v>
      </c>
      <c r="J27" s="12">
        <f>ROUND(VLOOKUP($D$2,'Income Limits Definitions'!$A:$C,3,FALSE)*VLOOKUP($A27,NYMTSP!$C:$L,9,FALSE),-2)</f>
        <v>117000</v>
      </c>
      <c r="K27" s="17">
        <f>ROUND(VLOOKUP($D$2,'Income Limits Definitions'!$A:$C,3,FALSE)*VLOOKUP($A27,NYMTSP!$C:$L,10,FALSE),-2)</f>
        <v>124500</v>
      </c>
    </row>
    <row r="28" spans="1:11" x14ac:dyDescent="0.2">
      <c r="A28" t="s">
        <v>75</v>
      </c>
      <c r="B28" s="13" t="str">
        <f>CONCATENATE(INDEX(NYMTSP!$AR:$AR,ROW()-5,1)," ",IF(AND($C28&lt;$C$5,VLOOKUP($A28,NYMTSP!$C:$G,5,FALSE)=($C$5/2)),"*",IF($C28&lt;(2*VLOOKUP($A28,NYMTSP!$C:$G,5,FALSE)),"#","")),IF(VLOOKUP($A28,NYMTSP!$C:$G,5,FALSE)&gt;$C$6,"†",""))</f>
        <v xml:space="preserve">Herkimer County </v>
      </c>
      <c r="C28" s="12">
        <f>VLOOKUP($A28,NYMTSP!$C:$L,2,FALSE)</f>
        <v>89000</v>
      </c>
      <c r="D28" s="12">
        <f>ROUND(VLOOKUP($D$2,'Income Limits Definitions'!$A:$C,3,FALSE)*VLOOKUP($A28,NYMTSP!$C:$L,3,FALSE),-2)</f>
        <v>62300</v>
      </c>
      <c r="E28" s="12">
        <f>ROUND(VLOOKUP($D$2,'Income Limits Definitions'!$A:$C,3,FALSE)*VLOOKUP($A28,NYMTSP!$C:$L,4,FALSE),-2)</f>
        <v>71200</v>
      </c>
      <c r="F28" s="12">
        <f>ROUND(VLOOKUP($D$2,'Income Limits Definitions'!$A:$C,3,FALSE)*VLOOKUP($A28,NYMTSP!$C:$L,5,FALSE),-2)</f>
        <v>80100</v>
      </c>
      <c r="G28" s="12">
        <f>ROUND(VLOOKUP($D$2,'Income Limits Definitions'!$A:$C,3,FALSE)*VLOOKUP($A28,NYMTSP!$C:$L,6,FALSE),-2)</f>
        <v>89000</v>
      </c>
      <c r="H28" s="12">
        <f>ROUND(VLOOKUP($D$2,'Income Limits Definitions'!$A:$C,3,FALSE)*VLOOKUP($A28,NYMTSP!$C:$L,7,FALSE),-2)</f>
        <v>96200</v>
      </c>
      <c r="I28" s="12">
        <f>ROUND(VLOOKUP($D$2,'Income Limits Definitions'!$A:$C,3,FALSE)*VLOOKUP($A28,NYMTSP!$C:$L,8,FALSE),-2)</f>
        <v>103300</v>
      </c>
      <c r="J28" s="12">
        <f>ROUND(VLOOKUP($D$2,'Income Limits Definitions'!$A:$C,3,FALSE)*VLOOKUP($A28,NYMTSP!$C:$L,9,FALSE),-2)</f>
        <v>110400</v>
      </c>
      <c r="K28" s="17">
        <f>ROUND(VLOOKUP($D$2,'Income Limits Definitions'!$A:$C,3,FALSE)*VLOOKUP($A28,NYMTSP!$C:$L,10,FALSE),-2)</f>
        <v>117500</v>
      </c>
    </row>
    <row r="29" spans="1:11" x14ac:dyDescent="0.2">
      <c r="A29" t="s">
        <v>78</v>
      </c>
      <c r="B29" s="13" t="str">
        <f>CONCATENATE(INDEX(NYMTSP!$AR:$AR,ROW()-5,1)," ",IF(AND($C29&lt;$C$5,VLOOKUP($A29,NYMTSP!$C:$G,5,FALSE)=($C$5/2)),"*",IF($C29&lt;(2*VLOOKUP($A29,NYMTSP!$C:$G,5,FALSE)),"#","")),IF(VLOOKUP($A29,NYMTSP!$C:$G,5,FALSE)&gt;$C$6,"†",""))</f>
        <v xml:space="preserve">Jefferson County </v>
      </c>
      <c r="C29" s="12">
        <f>VLOOKUP($A29,NYMTSP!$C:$L,2,FALSE)</f>
        <v>83400</v>
      </c>
      <c r="D29" s="12">
        <f>ROUND(VLOOKUP($D$2,'Income Limits Definitions'!$A:$C,3,FALSE)*VLOOKUP($A29,NYMTSP!$C:$L,3,FALSE),-2)</f>
        <v>62000</v>
      </c>
      <c r="E29" s="12">
        <f>ROUND(VLOOKUP($D$2,'Income Limits Definitions'!$A:$C,3,FALSE)*VLOOKUP($A29,NYMTSP!$C:$L,4,FALSE),-2)</f>
        <v>70800</v>
      </c>
      <c r="F29" s="12">
        <f>ROUND(VLOOKUP($D$2,'Income Limits Definitions'!$A:$C,3,FALSE)*VLOOKUP($A29,NYMTSP!$C:$L,5,FALSE),-2)</f>
        <v>79700</v>
      </c>
      <c r="G29" s="12">
        <f>ROUND(VLOOKUP($D$2,'Income Limits Definitions'!$A:$C,3,FALSE)*VLOOKUP($A29,NYMTSP!$C:$L,6,FALSE),-2)</f>
        <v>88500</v>
      </c>
      <c r="H29" s="12">
        <f>ROUND(VLOOKUP($D$2,'Income Limits Definitions'!$A:$C,3,FALSE)*VLOOKUP($A29,NYMTSP!$C:$L,7,FALSE),-2)</f>
        <v>95600</v>
      </c>
      <c r="I29" s="12">
        <f>ROUND(VLOOKUP($D$2,'Income Limits Definitions'!$A:$C,3,FALSE)*VLOOKUP($A29,NYMTSP!$C:$L,8,FALSE),-2)</f>
        <v>102700</v>
      </c>
      <c r="J29" s="12">
        <f>ROUND(VLOOKUP($D$2,'Income Limits Definitions'!$A:$C,3,FALSE)*VLOOKUP($A29,NYMTSP!$C:$L,9,FALSE),-2)</f>
        <v>109800</v>
      </c>
      <c r="K29" s="17">
        <f>ROUND(VLOOKUP($D$2,'Income Limits Definitions'!$A:$C,3,FALSE)*VLOOKUP($A29,NYMTSP!$C:$L,10,FALSE),-2)</f>
        <v>116900</v>
      </c>
    </row>
    <row r="30" spans="1:11" x14ac:dyDescent="0.2">
      <c r="A30" t="s">
        <v>19</v>
      </c>
      <c r="B30" s="6" t="str">
        <f>CONCATENATE(INDEX(NYMTSP!$AR:$AR,ROW()-5,1)," ",IF(AND($C30&lt;$C$5,VLOOKUP($A30,NYMTSP!$C:$G,5,FALSE)=($C$5/2)),"*",IF($C30&lt;(2*VLOOKUP($A30,NYMTSP!$C:$G,5,FALSE)),"#","")),IF(VLOOKUP($A30,NYMTSP!$C:$G,5,FALSE)&gt;$C$6,"†",""))</f>
        <v>Kings County #</v>
      </c>
      <c r="C30" s="12">
        <f>VLOOKUP($A30,NYMTSP!$C:$L,2,FALSE)</f>
        <v>103000</v>
      </c>
      <c r="D30" s="12">
        <f>ROUND(VLOOKUP($D$2,'Income Limits Definitions'!$A:$C,3,FALSE)*VLOOKUP($A30,NYMTSP!$C:$L,3,FALSE),-2)</f>
        <v>113400</v>
      </c>
      <c r="E30" s="12">
        <f>ROUND(VLOOKUP($D$2,'Income Limits Definitions'!$A:$C,3,FALSE)*VLOOKUP($A30,NYMTSP!$C:$L,4,FALSE),-2)</f>
        <v>129600</v>
      </c>
      <c r="F30" s="12">
        <f>ROUND(VLOOKUP($D$2,'Income Limits Definitions'!$A:$C,3,FALSE)*VLOOKUP($A30,NYMTSP!$C:$L,5,FALSE),-2)</f>
        <v>145800</v>
      </c>
      <c r="G30" s="12">
        <f>ROUND(VLOOKUP($D$2,'Income Limits Definitions'!$A:$C,3,FALSE)*VLOOKUP($A30,NYMTSP!$C:$L,6,FALSE),-2)</f>
        <v>162000</v>
      </c>
      <c r="H30" s="12">
        <f>ROUND(VLOOKUP($D$2,'Income Limits Definitions'!$A:$C,3,FALSE)*VLOOKUP($A30,NYMTSP!$C:$L,7,FALSE),-2)</f>
        <v>175000</v>
      </c>
      <c r="I30" s="12">
        <f>ROUND(VLOOKUP($D$2,'Income Limits Definitions'!$A:$C,3,FALSE)*VLOOKUP($A30,NYMTSP!$C:$L,8,FALSE),-2)</f>
        <v>188000</v>
      </c>
      <c r="J30" s="12">
        <f>ROUND(VLOOKUP($D$2,'Income Limits Definitions'!$A:$C,3,FALSE)*VLOOKUP($A30,NYMTSP!$C:$L,9,FALSE),-2)</f>
        <v>200900</v>
      </c>
      <c r="K30" s="17">
        <f>ROUND(VLOOKUP($D$2,'Income Limits Definitions'!$A:$C,3,FALSE)*VLOOKUP($A30,NYMTSP!$C:$L,10,FALSE),-2)</f>
        <v>213900</v>
      </c>
    </row>
    <row r="31" spans="1:11" x14ac:dyDescent="0.2">
      <c r="A31" t="s">
        <v>82</v>
      </c>
      <c r="B31" s="6" t="str">
        <f>CONCATENATE(INDEX(NYMTSP!$AR:$AR,ROW()-5,1)," ",IF(AND($C31&lt;$C$5,VLOOKUP($A31,NYMTSP!$C:$G,5,FALSE)=($C$5/2)),"*",IF($C31&lt;(2*VLOOKUP($A31,NYMTSP!$C:$G,5,FALSE)),"#","")),IF(VLOOKUP($A31,NYMTSP!$C:$G,5,FALSE)&gt;$C$6,"†",""))</f>
        <v xml:space="preserve">Lewis County </v>
      </c>
      <c r="C31" s="12">
        <f>VLOOKUP($A31,NYMTSP!$C:$L,2,FALSE)</f>
        <v>84400</v>
      </c>
      <c r="D31" s="12">
        <f>ROUND(VLOOKUP($D$2,'Income Limits Definitions'!$A:$C,3,FALSE)*VLOOKUP($A31,NYMTSP!$C:$L,3,FALSE),-2)</f>
        <v>62000</v>
      </c>
      <c r="E31" s="12">
        <f>ROUND(VLOOKUP($D$2,'Income Limits Definitions'!$A:$C,3,FALSE)*VLOOKUP($A31,NYMTSP!$C:$L,4,FALSE),-2)</f>
        <v>70800</v>
      </c>
      <c r="F31" s="12">
        <f>ROUND(VLOOKUP($D$2,'Income Limits Definitions'!$A:$C,3,FALSE)*VLOOKUP($A31,NYMTSP!$C:$L,5,FALSE),-2)</f>
        <v>79700</v>
      </c>
      <c r="G31" s="12">
        <f>ROUND(VLOOKUP($D$2,'Income Limits Definitions'!$A:$C,3,FALSE)*VLOOKUP($A31,NYMTSP!$C:$L,6,FALSE),-2)</f>
        <v>88500</v>
      </c>
      <c r="H31" s="12">
        <f>ROUND(VLOOKUP($D$2,'Income Limits Definitions'!$A:$C,3,FALSE)*VLOOKUP($A31,NYMTSP!$C:$L,7,FALSE),-2)</f>
        <v>95600</v>
      </c>
      <c r="I31" s="12">
        <f>ROUND(VLOOKUP($D$2,'Income Limits Definitions'!$A:$C,3,FALSE)*VLOOKUP($A31,NYMTSP!$C:$L,8,FALSE),-2)</f>
        <v>102700</v>
      </c>
      <c r="J31" s="12">
        <f>ROUND(VLOOKUP($D$2,'Income Limits Definitions'!$A:$C,3,FALSE)*VLOOKUP($A31,NYMTSP!$C:$L,9,FALSE),-2)</f>
        <v>109800</v>
      </c>
      <c r="K31" s="17">
        <f>ROUND(VLOOKUP($D$2,'Income Limits Definitions'!$A:$C,3,FALSE)*VLOOKUP($A31,NYMTSP!$C:$L,10,FALSE),-2)</f>
        <v>116900</v>
      </c>
    </row>
    <row r="32" spans="1:11" x14ac:dyDescent="0.2">
      <c r="A32" t="s">
        <v>85</v>
      </c>
      <c r="B32" s="13" t="str">
        <f>CONCATENATE(INDEX(NYMTSP!$AR:$AR,ROW()-5,1)," ",IF(AND($C32&lt;$C$5,VLOOKUP($A32,NYMTSP!$C:$G,5,FALSE)=($C$5/2)),"*",IF($C32&lt;(2*VLOOKUP($A32,NYMTSP!$C:$G,5,FALSE)),"#","")),IF(VLOOKUP($A32,NYMTSP!$C:$G,5,FALSE)&gt;$C$6,"†",""))</f>
        <v xml:space="preserve">Livingston County </v>
      </c>
      <c r="C32" s="12">
        <f>VLOOKUP($A32,NYMTSP!$C:$L,2,FALSE)</f>
        <v>103900</v>
      </c>
      <c r="D32" s="12">
        <f>ROUND(VLOOKUP($D$2,'Income Limits Definitions'!$A:$C,3,FALSE)*VLOOKUP($A32,NYMTSP!$C:$L,3,FALSE),-2)</f>
        <v>72800</v>
      </c>
      <c r="E32" s="12">
        <f>ROUND(VLOOKUP($D$2,'Income Limits Definitions'!$A:$C,3,FALSE)*VLOOKUP($A32,NYMTSP!$C:$L,4,FALSE),-2)</f>
        <v>83200</v>
      </c>
      <c r="F32" s="12">
        <f>ROUND(VLOOKUP($D$2,'Income Limits Definitions'!$A:$C,3,FALSE)*VLOOKUP($A32,NYMTSP!$C:$L,5,FALSE),-2)</f>
        <v>93600</v>
      </c>
      <c r="G32" s="12">
        <f>ROUND(VLOOKUP($D$2,'Income Limits Definitions'!$A:$C,3,FALSE)*VLOOKUP($A32,NYMTSP!$C:$L,6,FALSE),-2)</f>
        <v>103900</v>
      </c>
      <c r="H32" s="12">
        <f>ROUND(VLOOKUP($D$2,'Income Limits Definitions'!$A:$C,3,FALSE)*VLOOKUP($A32,NYMTSP!$C:$L,7,FALSE),-2)</f>
        <v>112300</v>
      </c>
      <c r="I32" s="12">
        <f>ROUND(VLOOKUP($D$2,'Income Limits Definitions'!$A:$C,3,FALSE)*VLOOKUP($A32,NYMTSP!$C:$L,8,FALSE),-2)</f>
        <v>120600</v>
      </c>
      <c r="J32" s="12">
        <f>ROUND(VLOOKUP($D$2,'Income Limits Definitions'!$A:$C,3,FALSE)*VLOOKUP($A32,NYMTSP!$C:$L,9,FALSE),-2)</f>
        <v>128900</v>
      </c>
      <c r="K32" s="17">
        <f>ROUND(VLOOKUP($D$2,'Income Limits Definitions'!$A:$C,3,FALSE)*VLOOKUP($A32,NYMTSP!$C:$L,10,FALSE),-2)</f>
        <v>137200</v>
      </c>
    </row>
    <row r="33" spans="1:11" x14ac:dyDescent="0.2">
      <c r="A33" t="s">
        <v>88</v>
      </c>
      <c r="B33" s="13" t="str">
        <f>CONCATENATE(INDEX(NYMTSP!$AR:$AR,ROW()-5,1)," ",IF(AND($C33&lt;$C$5,VLOOKUP($A33,NYMTSP!$C:$G,5,FALSE)=($C$5/2)),"*",IF($C33&lt;(2*VLOOKUP($A33,NYMTSP!$C:$G,5,FALSE)),"#","")),IF(VLOOKUP($A33,NYMTSP!$C:$G,5,FALSE)&gt;$C$6,"†",""))</f>
        <v xml:space="preserve">Madison County </v>
      </c>
      <c r="C33" s="12">
        <f>VLOOKUP($A33,NYMTSP!$C:$L,2,FALSE)</f>
        <v>104100</v>
      </c>
      <c r="D33" s="12">
        <f>ROUND(VLOOKUP($D$2,'Income Limits Definitions'!$A:$C,3,FALSE)*VLOOKUP($A33,NYMTSP!$C:$L,3,FALSE),-2)</f>
        <v>72500</v>
      </c>
      <c r="E33" s="12">
        <f>ROUND(VLOOKUP($D$2,'Income Limits Definitions'!$A:$C,3,FALSE)*VLOOKUP($A33,NYMTSP!$C:$L,4,FALSE),-2)</f>
        <v>82800</v>
      </c>
      <c r="F33" s="12">
        <f>ROUND(VLOOKUP($D$2,'Income Limits Definitions'!$A:$C,3,FALSE)*VLOOKUP($A33,NYMTSP!$C:$L,5,FALSE),-2)</f>
        <v>93200</v>
      </c>
      <c r="G33" s="12">
        <f>ROUND(VLOOKUP($D$2,'Income Limits Definitions'!$A:$C,3,FALSE)*VLOOKUP($A33,NYMTSP!$C:$L,6,FALSE),-2)</f>
        <v>103500</v>
      </c>
      <c r="H33" s="12">
        <f>ROUND(VLOOKUP($D$2,'Income Limits Definitions'!$A:$C,3,FALSE)*VLOOKUP($A33,NYMTSP!$C:$L,7,FALSE),-2)</f>
        <v>111800</v>
      </c>
      <c r="I33" s="12">
        <f>ROUND(VLOOKUP($D$2,'Income Limits Definitions'!$A:$C,3,FALSE)*VLOOKUP($A33,NYMTSP!$C:$L,8,FALSE),-2)</f>
        <v>120100</v>
      </c>
      <c r="J33" s="12">
        <f>ROUND(VLOOKUP($D$2,'Income Limits Definitions'!$A:$C,3,FALSE)*VLOOKUP($A33,NYMTSP!$C:$L,9,FALSE),-2)</f>
        <v>128400</v>
      </c>
      <c r="K33" s="17">
        <f>ROUND(VLOOKUP($D$2,'Income Limits Definitions'!$A:$C,3,FALSE)*VLOOKUP($A33,NYMTSP!$C:$L,10,FALSE),-2)</f>
        <v>136700</v>
      </c>
    </row>
    <row r="34" spans="1:11" x14ac:dyDescent="0.2">
      <c r="A34" t="s">
        <v>85</v>
      </c>
      <c r="B34" s="13" t="str">
        <f>CONCATENATE(INDEX(NYMTSP!$AR:$AR,ROW()-5,1)," ",IF(AND($C34&lt;$C$5,VLOOKUP($A34,NYMTSP!$C:$G,5,FALSE)=($C$5/2)),"*",IF($C34&lt;(2*VLOOKUP($A34,NYMTSP!$C:$G,5,FALSE)),"#","")),IF(VLOOKUP($A34,NYMTSP!$C:$G,5,FALSE)&gt;$C$6,"†",""))</f>
        <v xml:space="preserve">Monroe County </v>
      </c>
      <c r="C34" s="12">
        <f>VLOOKUP($A34,NYMTSP!$C:$L,2,FALSE)</f>
        <v>103900</v>
      </c>
      <c r="D34" s="12">
        <f>ROUND(VLOOKUP($D$2,'Income Limits Definitions'!$A:$C,3,FALSE)*VLOOKUP($A34,NYMTSP!$C:$L,3,FALSE),-2)</f>
        <v>72800</v>
      </c>
      <c r="E34" s="12">
        <f>ROUND(VLOOKUP($D$2,'Income Limits Definitions'!$A:$C,3,FALSE)*VLOOKUP($A34,NYMTSP!$C:$L,4,FALSE),-2)</f>
        <v>83200</v>
      </c>
      <c r="F34" s="12">
        <f>ROUND(VLOOKUP($D$2,'Income Limits Definitions'!$A:$C,3,FALSE)*VLOOKUP($A34,NYMTSP!$C:$L,5,FALSE),-2)</f>
        <v>93600</v>
      </c>
      <c r="G34" s="12">
        <f>ROUND(VLOOKUP($D$2,'Income Limits Definitions'!$A:$C,3,FALSE)*VLOOKUP($A34,NYMTSP!$C:$L,6,FALSE),-2)</f>
        <v>103900</v>
      </c>
      <c r="H34" s="12">
        <f>ROUND(VLOOKUP($D$2,'Income Limits Definitions'!$A:$C,3,FALSE)*VLOOKUP($A34,NYMTSP!$C:$L,7,FALSE),-2)</f>
        <v>112300</v>
      </c>
      <c r="I34" s="12">
        <f>ROUND(VLOOKUP($D$2,'Income Limits Definitions'!$A:$C,3,FALSE)*VLOOKUP($A34,NYMTSP!$C:$L,8,FALSE),-2)</f>
        <v>120600</v>
      </c>
      <c r="J34" s="12">
        <f>ROUND(VLOOKUP($D$2,'Income Limits Definitions'!$A:$C,3,FALSE)*VLOOKUP($A34,NYMTSP!$C:$L,9,FALSE),-2)</f>
        <v>128900</v>
      </c>
      <c r="K34" s="17">
        <f>ROUND(VLOOKUP($D$2,'Income Limits Definitions'!$A:$C,3,FALSE)*VLOOKUP($A34,NYMTSP!$C:$L,10,FALSE),-2)</f>
        <v>137200</v>
      </c>
    </row>
    <row r="35" spans="1:11" x14ac:dyDescent="0.2">
      <c r="A35" t="s">
        <v>92</v>
      </c>
      <c r="B35" s="13" t="str">
        <f>CONCATENATE(INDEX(NYMTSP!$AR:$AR,ROW()-5,1)," ",IF(AND($C35&lt;$C$5,VLOOKUP($A35,NYMTSP!$C:$G,5,FALSE)=($C$5/2)),"*",IF($C35&lt;(2*VLOOKUP($A35,NYMTSP!$C:$G,5,FALSE)),"#","")),IF(VLOOKUP($A35,NYMTSP!$C:$G,5,FALSE)&gt;$C$6,"†",""))</f>
        <v xml:space="preserve">Montgomery County </v>
      </c>
      <c r="C35" s="12">
        <f>VLOOKUP($A35,NYMTSP!$C:$L,2,FALSE)</f>
        <v>92900</v>
      </c>
      <c r="D35" s="12">
        <f>ROUND(VLOOKUP($D$2,'Income Limits Definitions'!$A:$C,3,FALSE)*VLOOKUP($A35,NYMTSP!$C:$L,3,FALSE),-2)</f>
        <v>63900</v>
      </c>
      <c r="E35" s="12">
        <f>ROUND(VLOOKUP($D$2,'Income Limits Definitions'!$A:$C,3,FALSE)*VLOOKUP($A35,NYMTSP!$C:$L,4,FALSE),-2)</f>
        <v>72900</v>
      </c>
      <c r="F35" s="12">
        <f>ROUND(VLOOKUP($D$2,'Income Limits Definitions'!$A:$C,3,FALSE)*VLOOKUP($A35,NYMTSP!$C:$L,5,FALSE),-2)</f>
        <v>82100</v>
      </c>
      <c r="G35" s="12">
        <f>ROUND(VLOOKUP($D$2,'Income Limits Definitions'!$A:$C,3,FALSE)*VLOOKUP($A35,NYMTSP!$C:$L,6,FALSE),-2)</f>
        <v>91200</v>
      </c>
      <c r="H35" s="12">
        <f>ROUND(VLOOKUP($D$2,'Income Limits Definitions'!$A:$C,3,FALSE)*VLOOKUP($A35,NYMTSP!$C:$L,7,FALSE),-2)</f>
        <v>98500</v>
      </c>
      <c r="I35" s="12">
        <f>ROUND(VLOOKUP($D$2,'Income Limits Definitions'!$A:$C,3,FALSE)*VLOOKUP($A35,NYMTSP!$C:$L,8,FALSE),-2)</f>
        <v>105800</v>
      </c>
      <c r="J35" s="12">
        <f>ROUND(VLOOKUP($D$2,'Income Limits Definitions'!$A:$C,3,FALSE)*VLOOKUP($A35,NYMTSP!$C:$L,9,FALSE),-2)</f>
        <v>113100</v>
      </c>
      <c r="K35" s="17">
        <f>ROUND(VLOOKUP($D$2,'Income Limits Definitions'!$A:$C,3,FALSE)*VLOOKUP($A35,NYMTSP!$C:$L,10,FALSE),-2)</f>
        <v>120400</v>
      </c>
    </row>
    <row r="36" spans="1:11" x14ac:dyDescent="0.2">
      <c r="A36" t="s">
        <v>95</v>
      </c>
      <c r="B36" s="6" t="str">
        <f>CONCATENATE(INDEX(NYMTSP!$AR:$AR,ROW()-5,1)," ",IF(AND($C36&lt;$C$5,VLOOKUP($A36,NYMTSP!$C:$G,5,FALSE)=($C$5/2)),"*",IF($C36&lt;(2*VLOOKUP($A36,NYMTSP!$C:$G,5,FALSE)),"#","")),IF(VLOOKUP($A36,NYMTSP!$C:$G,5,FALSE)&gt;$C$6,"†",""))</f>
        <v xml:space="preserve">Nassau County </v>
      </c>
      <c r="C36" s="12">
        <f>VLOOKUP($A36,NYMTSP!$C:$L,2,FALSE)</f>
        <v>164900</v>
      </c>
      <c r="D36" s="12">
        <f>ROUND(VLOOKUP($D$2,'Income Limits Definitions'!$A:$C,3,FALSE)*VLOOKUP($A36,NYMTSP!$C:$L,3,FALSE),-2)</f>
        <v>115500</v>
      </c>
      <c r="E36" s="12">
        <f>ROUND(VLOOKUP($D$2,'Income Limits Definitions'!$A:$C,3,FALSE)*VLOOKUP($A36,NYMTSP!$C:$L,4,FALSE),-2)</f>
        <v>132000</v>
      </c>
      <c r="F36" s="12">
        <f>ROUND(VLOOKUP($D$2,'Income Limits Definitions'!$A:$C,3,FALSE)*VLOOKUP($A36,NYMTSP!$C:$L,5,FALSE),-2)</f>
        <v>148500</v>
      </c>
      <c r="G36" s="12">
        <f>ROUND(VLOOKUP($D$2,'Income Limits Definitions'!$A:$C,3,FALSE)*VLOOKUP($A36,NYMTSP!$C:$L,6,FALSE),-2)</f>
        <v>164900</v>
      </c>
      <c r="H36" s="12">
        <f>ROUND(VLOOKUP($D$2,'Income Limits Definitions'!$A:$C,3,FALSE)*VLOOKUP($A36,NYMTSP!$C:$L,7,FALSE),-2)</f>
        <v>178100</v>
      </c>
      <c r="I36" s="12">
        <f>ROUND(VLOOKUP($D$2,'Income Limits Definitions'!$A:$C,3,FALSE)*VLOOKUP($A36,NYMTSP!$C:$L,8,FALSE),-2)</f>
        <v>191300</v>
      </c>
      <c r="J36" s="12">
        <f>ROUND(VLOOKUP($D$2,'Income Limits Definitions'!$A:$C,3,FALSE)*VLOOKUP($A36,NYMTSP!$C:$L,9,FALSE),-2)</f>
        <v>204500</v>
      </c>
      <c r="K36" s="17">
        <f>ROUND(VLOOKUP($D$2,'Income Limits Definitions'!$A:$C,3,FALSE)*VLOOKUP($A36,NYMTSP!$C:$L,10,FALSE),-2)</f>
        <v>217700</v>
      </c>
    </row>
    <row r="37" spans="1:11" x14ac:dyDescent="0.2">
      <c r="A37" t="s">
        <v>19</v>
      </c>
      <c r="B37" s="6" t="str">
        <f>CONCATENATE(INDEX(NYMTSP!$AR:$AR,ROW()-5,1)," ",IF(AND($C37&lt;$C$5,VLOOKUP($A37,NYMTSP!$C:$G,5,FALSE)=($C$5/2)),"*",IF($C37&lt;(2*VLOOKUP($A37,NYMTSP!$C:$G,5,FALSE)),"#","")),IF(VLOOKUP($A37,NYMTSP!$C:$G,5,FALSE)&gt;$C$6,"†",""))</f>
        <v>New York County #</v>
      </c>
      <c r="C37" s="12">
        <f>VLOOKUP($A37,NYMTSP!$C:$L,2,FALSE)</f>
        <v>103000</v>
      </c>
      <c r="D37" s="12">
        <f>ROUND(VLOOKUP($D$2,'Income Limits Definitions'!$A:$C,3,FALSE)*VLOOKUP($A37,NYMTSP!$C:$L,3,FALSE),-2)</f>
        <v>113400</v>
      </c>
      <c r="E37" s="12">
        <f>ROUND(VLOOKUP($D$2,'Income Limits Definitions'!$A:$C,3,FALSE)*VLOOKUP($A37,NYMTSP!$C:$L,4,FALSE),-2)</f>
        <v>129600</v>
      </c>
      <c r="F37" s="12">
        <f>ROUND(VLOOKUP($D$2,'Income Limits Definitions'!$A:$C,3,FALSE)*VLOOKUP($A37,NYMTSP!$C:$L,5,FALSE),-2)</f>
        <v>145800</v>
      </c>
      <c r="G37" s="12">
        <f>ROUND(VLOOKUP($D$2,'Income Limits Definitions'!$A:$C,3,FALSE)*VLOOKUP($A37,NYMTSP!$C:$L,6,FALSE),-2)</f>
        <v>162000</v>
      </c>
      <c r="H37" s="12">
        <f>ROUND(VLOOKUP($D$2,'Income Limits Definitions'!$A:$C,3,FALSE)*VLOOKUP($A37,NYMTSP!$C:$L,7,FALSE),-2)</f>
        <v>175000</v>
      </c>
      <c r="I37" s="12">
        <f>ROUND(VLOOKUP($D$2,'Income Limits Definitions'!$A:$C,3,FALSE)*VLOOKUP($A37,NYMTSP!$C:$L,8,FALSE),-2)</f>
        <v>188000</v>
      </c>
      <c r="J37" s="12">
        <f>ROUND(VLOOKUP($D$2,'Income Limits Definitions'!$A:$C,3,FALSE)*VLOOKUP($A37,NYMTSP!$C:$L,9,FALSE),-2)</f>
        <v>200900</v>
      </c>
      <c r="K37" s="17">
        <f>ROUND(VLOOKUP($D$2,'Income Limits Definitions'!$A:$C,3,FALSE)*VLOOKUP($A37,NYMTSP!$C:$L,10,FALSE),-2)</f>
        <v>213900</v>
      </c>
    </row>
    <row r="38" spans="1:11" x14ac:dyDescent="0.2">
      <c r="A38" t="s">
        <v>54</v>
      </c>
      <c r="B38" s="6" t="str">
        <f>CONCATENATE(INDEX(NYMTSP!$AR:$AR,ROW()-5,1)," ",IF(AND($C38&lt;$C$5,VLOOKUP($A38,NYMTSP!$C:$G,5,FALSE)=($C$5/2)),"*",IF($C38&lt;(2*VLOOKUP($A38,NYMTSP!$C:$G,5,FALSE)),"#","")),IF(VLOOKUP($A38,NYMTSP!$C:$G,5,FALSE)&gt;$C$6,"†",""))</f>
        <v xml:space="preserve">Niagara County </v>
      </c>
      <c r="C38" s="12">
        <f>VLOOKUP($A38,NYMTSP!$C:$L,2,FALSE)</f>
        <v>101000</v>
      </c>
      <c r="D38" s="12">
        <f>ROUND(VLOOKUP($D$2,'Income Limits Definitions'!$A:$C,3,FALSE)*VLOOKUP($A38,NYMTSP!$C:$L,3,FALSE),-2)</f>
        <v>70700</v>
      </c>
      <c r="E38" s="12">
        <f>ROUND(VLOOKUP($D$2,'Income Limits Definitions'!$A:$C,3,FALSE)*VLOOKUP($A38,NYMTSP!$C:$L,4,FALSE),-2)</f>
        <v>80800</v>
      </c>
      <c r="F38" s="12">
        <f>ROUND(VLOOKUP($D$2,'Income Limits Definitions'!$A:$C,3,FALSE)*VLOOKUP($A38,NYMTSP!$C:$L,5,FALSE),-2)</f>
        <v>90900</v>
      </c>
      <c r="G38" s="12">
        <f>ROUND(VLOOKUP($D$2,'Income Limits Definitions'!$A:$C,3,FALSE)*VLOOKUP($A38,NYMTSP!$C:$L,6,FALSE),-2)</f>
        <v>101000</v>
      </c>
      <c r="H38" s="12">
        <f>ROUND(VLOOKUP($D$2,'Income Limits Definitions'!$A:$C,3,FALSE)*VLOOKUP($A38,NYMTSP!$C:$L,7,FALSE),-2)</f>
        <v>109100</v>
      </c>
      <c r="I38" s="12">
        <f>ROUND(VLOOKUP($D$2,'Income Limits Definitions'!$A:$C,3,FALSE)*VLOOKUP($A38,NYMTSP!$C:$L,8,FALSE),-2)</f>
        <v>117200</v>
      </c>
      <c r="J38" s="12">
        <f>ROUND(VLOOKUP($D$2,'Income Limits Definitions'!$A:$C,3,FALSE)*VLOOKUP($A38,NYMTSP!$C:$L,9,FALSE),-2)</f>
        <v>125300</v>
      </c>
      <c r="K38" s="17">
        <f>ROUND(VLOOKUP($D$2,'Income Limits Definitions'!$A:$C,3,FALSE)*VLOOKUP($A38,NYMTSP!$C:$L,10,FALSE),-2)</f>
        <v>133400</v>
      </c>
    </row>
    <row r="39" spans="1:11" x14ac:dyDescent="0.2">
      <c r="A39" t="s">
        <v>75</v>
      </c>
      <c r="B39" s="13" t="str">
        <f>CONCATENATE(INDEX(NYMTSP!$AR:$AR,ROW()-5,1)," ",IF(AND($C39&lt;$C$5,VLOOKUP($A39,NYMTSP!$C:$G,5,FALSE)=($C$5/2)),"*",IF($C39&lt;(2*VLOOKUP($A39,NYMTSP!$C:$G,5,FALSE)),"#","")),IF(VLOOKUP($A39,NYMTSP!$C:$G,5,FALSE)&gt;$C$6,"†",""))</f>
        <v xml:space="preserve">Oneida County </v>
      </c>
      <c r="C39" s="12">
        <f>VLOOKUP($A39,NYMTSP!$C:$L,2,FALSE)</f>
        <v>89000</v>
      </c>
      <c r="D39" s="12">
        <f>ROUND(VLOOKUP($D$2,'Income Limits Definitions'!$A:$C,3,FALSE)*VLOOKUP($A39,NYMTSP!$C:$L,3,FALSE),-2)</f>
        <v>62300</v>
      </c>
      <c r="E39" s="12">
        <f>ROUND(VLOOKUP($D$2,'Income Limits Definitions'!$A:$C,3,FALSE)*VLOOKUP($A39,NYMTSP!$C:$L,4,FALSE),-2)</f>
        <v>71200</v>
      </c>
      <c r="F39" s="12">
        <f>ROUND(VLOOKUP($D$2,'Income Limits Definitions'!$A:$C,3,FALSE)*VLOOKUP($A39,NYMTSP!$C:$L,5,FALSE),-2)</f>
        <v>80100</v>
      </c>
      <c r="G39" s="12">
        <f>ROUND(VLOOKUP($D$2,'Income Limits Definitions'!$A:$C,3,FALSE)*VLOOKUP($A39,NYMTSP!$C:$L,6,FALSE),-2)</f>
        <v>89000</v>
      </c>
      <c r="H39" s="12">
        <f>ROUND(VLOOKUP($D$2,'Income Limits Definitions'!$A:$C,3,FALSE)*VLOOKUP($A39,NYMTSP!$C:$L,7,FALSE),-2)</f>
        <v>96200</v>
      </c>
      <c r="I39" s="12">
        <f>ROUND(VLOOKUP($D$2,'Income Limits Definitions'!$A:$C,3,FALSE)*VLOOKUP($A39,NYMTSP!$C:$L,8,FALSE),-2)</f>
        <v>103300</v>
      </c>
      <c r="J39" s="12">
        <f>ROUND(VLOOKUP($D$2,'Income Limits Definitions'!$A:$C,3,FALSE)*VLOOKUP($A39,NYMTSP!$C:$L,9,FALSE),-2)</f>
        <v>110400</v>
      </c>
      <c r="K39" s="17">
        <f>ROUND(VLOOKUP($D$2,'Income Limits Definitions'!$A:$C,3,FALSE)*VLOOKUP($A39,NYMTSP!$C:$L,10,FALSE),-2)</f>
        <v>117500</v>
      </c>
    </row>
    <row r="40" spans="1:11" x14ac:dyDescent="0.2">
      <c r="A40" t="s">
        <v>88</v>
      </c>
      <c r="B40" s="13" t="str">
        <f>CONCATENATE(INDEX(NYMTSP!$AR:$AR,ROW()-5,1)," ",IF(AND($C40&lt;$C$5,VLOOKUP($A40,NYMTSP!$C:$G,5,FALSE)=($C$5/2)),"*",IF($C40&lt;(2*VLOOKUP($A40,NYMTSP!$C:$G,5,FALSE)),"#","")),IF(VLOOKUP($A40,NYMTSP!$C:$G,5,FALSE)&gt;$C$6,"†",""))</f>
        <v xml:space="preserve">Onondaga County </v>
      </c>
      <c r="C40" s="12">
        <f>VLOOKUP($A40,NYMTSP!$C:$L,2,FALSE)</f>
        <v>104100</v>
      </c>
      <c r="D40" s="12">
        <f>ROUND(VLOOKUP($D$2,'Income Limits Definitions'!$A:$C,3,FALSE)*VLOOKUP($A40,NYMTSP!$C:$L,3,FALSE),-2)</f>
        <v>72500</v>
      </c>
      <c r="E40" s="12">
        <f>ROUND(VLOOKUP($D$2,'Income Limits Definitions'!$A:$C,3,FALSE)*VLOOKUP($A40,NYMTSP!$C:$L,4,FALSE),-2)</f>
        <v>82800</v>
      </c>
      <c r="F40" s="12">
        <f>ROUND(VLOOKUP($D$2,'Income Limits Definitions'!$A:$C,3,FALSE)*VLOOKUP($A40,NYMTSP!$C:$L,5,FALSE),-2)</f>
        <v>93200</v>
      </c>
      <c r="G40" s="12">
        <f>ROUND(VLOOKUP($D$2,'Income Limits Definitions'!$A:$C,3,FALSE)*VLOOKUP($A40,NYMTSP!$C:$L,6,FALSE),-2)</f>
        <v>103500</v>
      </c>
      <c r="H40" s="12">
        <f>ROUND(VLOOKUP($D$2,'Income Limits Definitions'!$A:$C,3,FALSE)*VLOOKUP($A40,NYMTSP!$C:$L,7,FALSE),-2)</f>
        <v>111800</v>
      </c>
      <c r="I40" s="12">
        <f>ROUND(VLOOKUP($D$2,'Income Limits Definitions'!$A:$C,3,FALSE)*VLOOKUP($A40,NYMTSP!$C:$L,8,FALSE),-2)</f>
        <v>120100</v>
      </c>
      <c r="J40" s="12">
        <f>ROUND(VLOOKUP($D$2,'Income Limits Definitions'!$A:$C,3,FALSE)*VLOOKUP($A40,NYMTSP!$C:$L,9,FALSE),-2)</f>
        <v>128400</v>
      </c>
      <c r="K40" s="17">
        <f>ROUND(VLOOKUP($D$2,'Income Limits Definitions'!$A:$C,3,FALSE)*VLOOKUP($A40,NYMTSP!$C:$L,10,FALSE),-2)</f>
        <v>136700</v>
      </c>
    </row>
    <row r="41" spans="1:11" x14ac:dyDescent="0.2">
      <c r="A41" t="s">
        <v>85</v>
      </c>
      <c r="B41" s="13" t="str">
        <f>CONCATENATE(INDEX(NYMTSP!$AR:$AR,ROW()-5,1)," ",IF(AND($C41&lt;$C$5,VLOOKUP($A41,NYMTSP!$C:$G,5,FALSE)=($C$5/2)),"*",IF($C41&lt;(2*VLOOKUP($A41,NYMTSP!$C:$G,5,FALSE)),"#","")),IF(VLOOKUP($A41,NYMTSP!$C:$G,5,FALSE)&gt;$C$6,"†",""))</f>
        <v xml:space="preserve">Ontario County </v>
      </c>
      <c r="C41" s="12">
        <f>VLOOKUP($A41,NYMTSP!$C:$L,2,FALSE)</f>
        <v>103900</v>
      </c>
      <c r="D41" s="12">
        <f>ROUND(VLOOKUP($D$2,'Income Limits Definitions'!$A:$C,3,FALSE)*VLOOKUP($A41,NYMTSP!$C:$L,3,FALSE),-2)</f>
        <v>72800</v>
      </c>
      <c r="E41" s="12">
        <f>ROUND(VLOOKUP($D$2,'Income Limits Definitions'!$A:$C,3,FALSE)*VLOOKUP($A41,NYMTSP!$C:$L,4,FALSE),-2)</f>
        <v>83200</v>
      </c>
      <c r="F41" s="12">
        <f>ROUND(VLOOKUP($D$2,'Income Limits Definitions'!$A:$C,3,FALSE)*VLOOKUP($A41,NYMTSP!$C:$L,5,FALSE),-2)</f>
        <v>93600</v>
      </c>
      <c r="G41" s="12">
        <f>ROUND(VLOOKUP($D$2,'Income Limits Definitions'!$A:$C,3,FALSE)*VLOOKUP($A41,NYMTSP!$C:$L,6,FALSE),-2)</f>
        <v>103900</v>
      </c>
      <c r="H41" s="12">
        <f>ROUND(VLOOKUP($D$2,'Income Limits Definitions'!$A:$C,3,FALSE)*VLOOKUP($A41,NYMTSP!$C:$L,7,FALSE),-2)</f>
        <v>112300</v>
      </c>
      <c r="I41" s="12">
        <f>ROUND(VLOOKUP($D$2,'Income Limits Definitions'!$A:$C,3,FALSE)*VLOOKUP($A41,NYMTSP!$C:$L,8,FALSE),-2)</f>
        <v>120600</v>
      </c>
      <c r="J41" s="12">
        <f>ROUND(VLOOKUP($D$2,'Income Limits Definitions'!$A:$C,3,FALSE)*VLOOKUP($A41,NYMTSP!$C:$L,9,FALSE),-2)</f>
        <v>128900</v>
      </c>
      <c r="K41" s="17">
        <f>ROUND(VLOOKUP($D$2,'Income Limits Definitions'!$A:$C,3,FALSE)*VLOOKUP($A41,NYMTSP!$C:$L,10,FALSE),-2)</f>
        <v>137200</v>
      </c>
    </row>
    <row r="42" spans="1:11" x14ac:dyDescent="0.2">
      <c r="A42" t="s">
        <v>296</v>
      </c>
      <c r="B42" s="13" t="str">
        <f>CONCATENATE(INDEX(NYMTSP!$AR:$AR,ROW()-5,1)," ",IF(AND($C42&lt;$C$5,VLOOKUP($A42,NYMTSP!$C:$G,5,FALSE)=($C$5/2)),"*",IF($C42&lt;(2*VLOOKUP($A42,NYMTSP!$C:$G,5,FALSE)),"#","")),IF(VLOOKUP($A42,NYMTSP!$C:$G,5,FALSE)&gt;$C$6,"†",""))</f>
        <v xml:space="preserve">Orange County </v>
      </c>
      <c r="C42" s="12">
        <f>VLOOKUP($A42,NYMTSP!$C:$L,2,FALSE)</f>
        <v>123000</v>
      </c>
      <c r="D42" s="12">
        <f>ROUND(VLOOKUP($D$2,'Income Limits Definitions'!$A:$C,3,FALSE)*VLOOKUP($A42,NYMTSP!$C:$L,3,FALSE),-2)</f>
        <v>86100</v>
      </c>
      <c r="E42" s="12">
        <f>ROUND(VLOOKUP($D$2,'Income Limits Definitions'!$A:$C,3,FALSE)*VLOOKUP($A42,NYMTSP!$C:$L,4,FALSE),-2)</f>
        <v>98400</v>
      </c>
      <c r="F42" s="12">
        <f>ROUND(VLOOKUP($D$2,'Income Limits Definitions'!$A:$C,3,FALSE)*VLOOKUP($A42,NYMTSP!$C:$L,5,FALSE),-2)</f>
        <v>110700</v>
      </c>
      <c r="G42" s="12">
        <f>ROUND(VLOOKUP($D$2,'Income Limits Definitions'!$A:$C,3,FALSE)*VLOOKUP($A42,NYMTSP!$C:$L,6,FALSE),-2)</f>
        <v>123000</v>
      </c>
      <c r="H42" s="12">
        <f>ROUND(VLOOKUP($D$2,'Income Limits Definitions'!$A:$C,3,FALSE)*VLOOKUP($A42,NYMTSP!$C:$L,7,FALSE),-2)</f>
        <v>132900</v>
      </c>
      <c r="I42" s="12">
        <f>ROUND(VLOOKUP($D$2,'Income Limits Definitions'!$A:$C,3,FALSE)*VLOOKUP($A42,NYMTSP!$C:$L,8,FALSE),-2)</f>
        <v>142700</v>
      </c>
      <c r="J42" s="12">
        <f>ROUND(VLOOKUP($D$2,'Income Limits Definitions'!$A:$C,3,FALSE)*VLOOKUP($A42,NYMTSP!$C:$L,9,FALSE),-2)</f>
        <v>152600</v>
      </c>
      <c r="K42" s="17">
        <f>ROUND(VLOOKUP($D$2,'Income Limits Definitions'!$A:$C,3,FALSE)*VLOOKUP($A42,NYMTSP!$C:$L,10,FALSE),-2)</f>
        <v>162400</v>
      </c>
    </row>
    <row r="43" spans="1:11" x14ac:dyDescent="0.2">
      <c r="A43" t="s">
        <v>85</v>
      </c>
      <c r="B43" s="13" t="str">
        <f>CONCATENATE(INDEX(NYMTSP!$AR:$AR,ROW()-5,1)," ",IF(AND($C43&lt;$C$5,VLOOKUP($A43,NYMTSP!$C:$G,5,FALSE)=($C$5/2)),"*",IF($C43&lt;(2*VLOOKUP($A43,NYMTSP!$C:$G,5,FALSE)),"#","")),IF(VLOOKUP($A43,NYMTSP!$C:$G,5,FALSE)&gt;$C$6,"†",""))</f>
        <v xml:space="preserve">Orleans County </v>
      </c>
      <c r="C43" s="12">
        <f>VLOOKUP($A43,NYMTSP!$C:$L,2,FALSE)</f>
        <v>103900</v>
      </c>
      <c r="D43" s="12">
        <f>ROUND(VLOOKUP($D$2,'Income Limits Definitions'!$A:$C,3,FALSE)*VLOOKUP($A43,NYMTSP!$C:$L,3,FALSE),-2)</f>
        <v>72800</v>
      </c>
      <c r="E43" s="12">
        <f>ROUND(VLOOKUP($D$2,'Income Limits Definitions'!$A:$C,3,FALSE)*VLOOKUP($A43,NYMTSP!$C:$L,4,FALSE),-2)</f>
        <v>83200</v>
      </c>
      <c r="F43" s="12">
        <f>ROUND(VLOOKUP($D$2,'Income Limits Definitions'!$A:$C,3,FALSE)*VLOOKUP($A43,NYMTSP!$C:$L,5,FALSE),-2)</f>
        <v>93600</v>
      </c>
      <c r="G43" s="12">
        <f>ROUND(VLOOKUP($D$2,'Income Limits Definitions'!$A:$C,3,FALSE)*VLOOKUP($A43,NYMTSP!$C:$L,6,FALSE),-2)</f>
        <v>103900</v>
      </c>
      <c r="H43" s="12">
        <f>ROUND(VLOOKUP($D$2,'Income Limits Definitions'!$A:$C,3,FALSE)*VLOOKUP($A43,NYMTSP!$C:$L,7,FALSE),-2)</f>
        <v>112300</v>
      </c>
      <c r="I43" s="12">
        <f>ROUND(VLOOKUP($D$2,'Income Limits Definitions'!$A:$C,3,FALSE)*VLOOKUP($A43,NYMTSP!$C:$L,8,FALSE),-2)</f>
        <v>120600</v>
      </c>
      <c r="J43" s="12">
        <f>ROUND(VLOOKUP($D$2,'Income Limits Definitions'!$A:$C,3,FALSE)*VLOOKUP($A43,NYMTSP!$C:$L,9,FALSE),-2)</f>
        <v>128900</v>
      </c>
      <c r="K43" s="17">
        <f>ROUND(VLOOKUP($D$2,'Income Limits Definitions'!$A:$C,3,FALSE)*VLOOKUP($A43,NYMTSP!$C:$L,10,FALSE),-2)</f>
        <v>137200</v>
      </c>
    </row>
    <row r="44" spans="1:11" x14ac:dyDescent="0.2">
      <c r="A44" t="s">
        <v>88</v>
      </c>
      <c r="B44" s="13" t="str">
        <f>CONCATENATE(INDEX(NYMTSP!$AR:$AR,ROW()-5,1)," ",IF(AND($C44&lt;$C$5,VLOOKUP($A44,NYMTSP!$C:$G,5,FALSE)=($C$5/2)),"*",IF($C44&lt;(2*VLOOKUP($A44,NYMTSP!$C:$G,5,FALSE)),"#","")),IF(VLOOKUP($A44,NYMTSP!$C:$G,5,FALSE)&gt;$C$6,"†",""))</f>
        <v xml:space="preserve">Oswego County </v>
      </c>
      <c r="C44" s="12">
        <f>VLOOKUP($A44,NYMTSP!$C:$L,2,FALSE)</f>
        <v>104100</v>
      </c>
      <c r="D44" s="12">
        <f>ROUND(VLOOKUP($D$2,'Income Limits Definitions'!$A:$C,3,FALSE)*VLOOKUP($A44,NYMTSP!$C:$L,3,FALSE),-2)</f>
        <v>72500</v>
      </c>
      <c r="E44" s="12">
        <f>ROUND(VLOOKUP($D$2,'Income Limits Definitions'!$A:$C,3,FALSE)*VLOOKUP($A44,NYMTSP!$C:$L,4,FALSE),-2)</f>
        <v>82800</v>
      </c>
      <c r="F44" s="12">
        <f>ROUND(VLOOKUP($D$2,'Income Limits Definitions'!$A:$C,3,FALSE)*VLOOKUP($A44,NYMTSP!$C:$L,5,FALSE),-2)</f>
        <v>93200</v>
      </c>
      <c r="G44" s="12">
        <f>ROUND(VLOOKUP($D$2,'Income Limits Definitions'!$A:$C,3,FALSE)*VLOOKUP($A44,NYMTSP!$C:$L,6,FALSE),-2)</f>
        <v>103500</v>
      </c>
      <c r="H44" s="12">
        <f>ROUND(VLOOKUP($D$2,'Income Limits Definitions'!$A:$C,3,FALSE)*VLOOKUP($A44,NYMTSP!$C:$L,7,FALSE),-2)</f>
        <v>111800</v>
      </c>
      <c r="I44" s="12">
        <f>ROUND(VLOOKUP($D$2,'Income Limits Definitions'!$A:$C,3,FALSE)*VLOOKUP($A44,NYMTSP!$C:$L,8,FALSE),-2)</f>
        <v>120100</v>
      </c>
      <c r="J44" s="12">
        <f>ROUND(VLOOKUP($D$2,'Income Limits Definitions'!$A:$C,3,FALSE)*VLOOKUP($A44,NYMTSP!$C:$L,9,FALSE),-2)</f>
        <v>128400</v>
      </c>
      <c r="K44" s="17">
        <f>ROUND(VLOOKUP($D$2,'Income Limits Definitions'!$A:$C,3,FALSE)*VLOOKUP($A44,NYMTSP!$C:$L,10,FALSE),-2)</f>
        <v>136700</v>
      </c>
    </row>
    <row r="45" spans="1:11" x14ac:dyDescent="0.2">
      <c r="A45" t="s">
        <v>106</v>
      </c>
      <c r="B45" s="6" t="str">
        <f>CONCATENATE(INDEX(NYMTSP!$AR:$AR,ROW()-5,1)," ",IF(AND($C45&lt;$C$5,VLOOKUP($A45,NYMTSP!$C:$G,5,FALSE)=($C$5/2)),"*",IF($C45&lt;(2*VLOOKUP($A45,NYMTSP!$C:$G,5,FALSE)),"#","")),IF(VLOOKUP($A45,NYMTSP!$C:$G,5,FALSE)&gt;$C$6,"†",""))</f>
        <v xml:space="preserve">Otsego County </v>
      </c>
      <c r="C45" s="12">
        <f>VLOOKUP($A45,NYMTSP!$C:$L,2,FALSE)</f>
        <v>91200</v>
      </c>
      <c r="D45" s="12">
        <f>ROUND(VLOOKUP($D$2,'Income Limits Definitions'!$A:$C,3,FALSE)*VLOOKUP($A45,NYMTSP!$C:$L,3,FALSE),-2)</f>
        <v>63900</v>
      </c>
      <c r="E45" s="12">
        <f>ROUND(VLOOKUP($D$2,'Income Limits Definitions'!$A:$C,3,FALSE)*VLOOKUP($A45,NYMTSP!$C:$L,4,FALSE),-2)</f>
        <v>73000</v>
      </c>
      <c r="F45" s="12">
        <f>ROUND(VLOOKUP($D$2,'Income Limits Definitions'!$A:$C,3,FALSE)*VLOOKUP($A45,NYMTSP!$C:$L,5,FALSE),-2)</f>
        <v>82100</v>
      </c>
      <c r="G45" s="12">
        <f>ROUND(VLOOKUP($D$2,'Income Limits Definitions'!$A:$C,3,FALSE)*VLOOKUP($A45,NYMTSP!$C:$L,6,FALSE),-2)</f>
        <v>91200</v>
      </c>
      <c r="H45" s="12">
        <f>ROUND(VLOOKUP($D$2,'Income Limits Definitions'!$A:$C,3,FALSE)*VLOOKUP($A45,NYMTSP!$C:$L,7,FALSE),-2)</f>
        <v>98500</v>
      </c>
      <c r="I45" s="12">
        <f>ROUND(VLOOKUP($D$2,'Income Limits Definitions'!$A:$C,3,FALSE)*VLOOKUP($A45,NYMTSP!$C:$L,8,FALSE),-2)</f>
        <v>105800</v>
      </c>
      <c r="J45" s="12">
        <f>ROUND(VLOOKUP($D$2,'Income Limits Definitions'!$A:$C,3,FALSE)*VLOOKUP($A45,NYMTSP!$C:$L,9,FALSE),-2)</f>
        <v>113100</v>
      </c>
      <c r="K45" s="17">
        <f>ROUND(VLOOKUP($D$2,'Income Limits Definitions'!$A:$C,3,FALSE)*VLOOKUP($A45,NYMTSP!$C:$L,10,FALSE),-2)</f>
        <v>120400</v>
      </c>
    </row>
    <row r="46" spans="1:11" x14ac:dyDescent="0.2">
      <c r="A46" t="s">
        <v>19</v>
      </c>
      <c r="B46" s="6" t="str">
        <f>CONCATENATE(INDEX(NYMTSP!$AR:$AR,ROW()-5,1)," ",IF(AND($C46&lt;$C$5,VLOOKUP($A46,NYMTSP!$C:$G,5,FALSE)=($C$5/2)),"*",IF($C46&lt;(2*VLOOKUP($A46,NYMTSP!$C:$G,5,FALSE)),"#","")),IF(VLOOKUP($A46,NYMTSP!$C:$G,5,FALSE)&gt;$C$6,"†",""))</f>
        <v>Putnam County #</v>
      </c>
      <c r="C46" s="12">
        <f>VLOOKUP($A46,NYMTSP!$C:$L,2,FALSE)</f>
        <v>103000</v>
      </c>
      <c r="D46" s="12">
        <f>ROUND(VLOOKUP($D$2,'Income Limits Definitions'!$A:$C,3,FALSE)*VLOOKUP($A46,NYMTSP!$C:$L,3,FALSE),-2)</f>
        <v>113400</v>
      </c>
      <c r="E46" s="12">
        <f>ROUND(VLOOKUP($D$2,'Income Limits Definitions'!$A:$C,3,FALSE)*VLOOKUP($A46,NYMTSP!$C:$L,4,FALSE),-2)</f>
        <v>129600</v>
      </c>
      <c r="F46" s="12">
        <f>ROUND(VLOOKUP($D$2,'Income Limits Definitions'!$A:$C,3,FALSE)*VLOOKUP($A46,NYMTSP!$C:$L,5,FALSE),-2)</f>
        <v>145800</v>
      </c>
      <c r="G46" s="12">
        <f>ROUND(VLOOKUP($D$2,'Income Limits Definitions'!$A:$C,3,FALSE)*VLOOKUP($A46,NYMTSP!$C:$L,6,FALSE),-2)</f>
        <v>162000</v>
      </c>
      <c r="H46" s="12">
        <f>ROUND(VLOOKUP($D$2,'Income Limits Definitions'!$A:$C,3,FALSE)*VLOOKUP($A46,NYMTSP!$C:$L,7,FALSE),-2)</f>
        <v>175000</v>
      </c>
      <c r="I46" s="12">
        <f>ROUND(VLOOKUP($D$2,'Income Limits Definitions'!$A:$C,3,FALSE)*VLOOKUP($A46,NYMTSP!$C:$L,8,FALSE),-2)</f>
        <v>188000</v>
      </c>
      <c r="J46" s="12">
        <f>ROUND(VLOOKUP($D$2,'Income Limits Definitions'!$A:$C,3,FALSE)*VLOOKUP($A46,NYMTSP!$C:$L,9,FALSE),-2)</f>
        <v>200900</v>
      </c>
      <c r="K46" s="17">
        <f>ROUND(VLOOKUP($D$2,'Income Limits Definitions'!$A:$C,3,FALSE)*VLOOKUP($A46,NYMTSP!$C:$L,10,FALSE),-2)</f>
        <v>213900</v>
      </c>
    </row>
    <row r="47" spans="1:11" x14ac:dyDescent="0.2">
      <c r="A47" t="s">
        <v>19</v>
      </c>
      <c r="B47" s="13" t="str">
        <f>CONCATENATE(INDEX(NYMTSP!$AR:$AR,ROW()-5,1)," ",IF(AND($C47&lt;$C$5,VLOOKUP($A47,NYMTSP!$C:$G,5,FALSE)=($C$5/2)),"*",IF($C47&lt;(2*VLOOKUP($A47,NYMTSP!$C:$G,5,FALSE)),"#","")),IF(VLOOKUP($A47,NYMTSP!$C:$G,5,FALSE)&gt;$C$6,"†",""))</f>
        <v>Queens County #</v>
      </c>
      <c r="C47" s="12">
        <f>VLOOKUP($A47,NYMTSP!$C:$L,2,FALSE)</f>
        <v>103000</v>
      </c>
      <c r="D47" s="12">
        <f>ROUND(VLOOKUP($D$2,'Income Limits Definitions'!$A:$C,3,FALSE)*VLOOKUP($A47,NYMTSP!$C:$L,3,FALSE),-2)</f>
        <v>113400</v>
      </c>
      <c r="E47" s="12">
        <f>ROUND(VLOOKUP($D$2,'Income Limits Definitions'!$A:$C,3,FALSE)*VLOOKUP($A47,NYMTSP!$C:$L,4,FALSE),-2)</f>
        <v>129600</v>
      </c>
      <c r="F47" s="12">
        <f>ROUND(VLOOKUP($D$2,'Income Limits Definitions'!$A:$C,3,FALSE)*VLOOKUP($A47,NYMTSP!$C:$L,5,FALSE),-2)</f>
        <v>145800</v>
      </c>
      <c r="G47" s="12">
        <f>ROUND(VLOOKUP($D$2,'Income Limits Definitions'!$A:$C,3,FALSE)*VLOOKUP($A47,NYMTSP!$C:$L,6,FALSE),-2)</f>
        <v>162000</v>
      </c>
      <c r="H47" s="12">
        <f>ROUND(VLOOKUP($D$2,'Income Limits Definitions'!$A:$C,3,FALSE)*VLOOKUP($A47,NYMTSP!$C:$L,7,FALSE),-2)</f>
        <v>175000</v>
      </c>
      <c r="I47" s="12">
        <f>ROUND(VLOOKUP($D$2,'Income Limits Definitions'!$A:$C,3,FALSE)*VLOOKUP($A47,NYMTSP!$C:$L,8,FALSE),-2)</f>
        <v>188000</v>
      </c>
      <c r="J47" s="12">
        <f>ROUND(VLOOKUP($D$2,'Income Limits Definitions'!$A:$C,3,FALSE)*VLOOKUP($A47,NYMTSP!$C:$L,9,FALSE),-2)</f>
        <v>200900</v>
      </c>
      <c r="K47" s="17">
        <f>ROUND(VLOOKUP($D$2,'Income Limits Definitions'!$A:$C,3,FALSE)*VLOOKUP($A47,NYMTSP!$C:$L,10,FALSE),-2)</f>
        <v>213900</v>
      </c>
    </row>
    <row r="48" spans="1:11" x14ac:dyDescent="0.2">
      <c r="A48" t="s">
        <v>10</v>
      </c>
      <c r="B48" s="6" t="str">
        <f>CONCATENATE(INDEX(NYMTSP!$AR:$AR,ROW()-5,1)," ",IF(AND($C48&lt;$C$5,VLOOKUP($A48,NYMTSP!$C:$G,5,FALSE)=($C$5/2)),"*",IF($C48&lt;(2*VLOOKUP($A48,NYMTSP!$C:$G,5,FALSE)),"#","")),IF(VLOOKUP($A48,NYMTSP!$C:$G,5,FALSE)&gt;$C$6,"†",""))</f>
        <v xml:space="preserve">Rensselaer County </v>
      </c>
      <c r="C48" s="12">
        <f>VLOOKUP($A48,NYMTSP!$C:$L,2,FALSE)</f>
        <v>116100</v>
      </c>
      <c r="D48" s="12">
        <f>ROUND(VLOOKUP($D$2,'Income Limits Definitions'!$A:$C,3,FALSE)*VLOOKUP($A48,NYMTSP!$C:$L,3,FALSE),-2)</f>
        <v>81300</v>
      </c>
      <c r="E48" s="12">
        <f>ROUND(VLOOKUP($D$2,'Income Limits Definitions'!$A:$C,3,FALSE)*VLOOKUP($A48,NYMTSP!$C:$L,4,FALSE),-2)</f>
        <v>92900</v>
      </c>
      <c r="F48" s="12">
        <f>ROUND(VLOOKUP($D$2,'Income Limits Definitions'!$A:$C,3,FALSE)*VLOOKUP($A48,NYMTSP!$C:$L,5,FALSE),-2)</f>
        <v>104500</v>
      </c>
      <c r="G48" s="12">
        <f>ROUND(VLOOKUP($D$2,'Income Limits Definitions'!$A:$C,3,FALSE)*VLOOKUP($A48,NYMTSP!$C:$L,6,FALSE),-2)</f>
        <v>116100</v>
      </c>
      <c r="H48" s="12">
        <f>ROUND(VLOOKUP($D$2,'Income Limits Definitions'!$A:$C,3,FALSE)*VLOOKUP($A48,NYMTSP!$C:$L,7,FALSE),-2)</f>
        <v>125400</v>
      </c>
      <c r="I48" s="12">
        <f>ROUND(VLOOKUP($D$2,'Income Limits Definitions'!$A:$C,3,FALSE)*VLOOKUP($A48,NYMTSP!$C:$L,8,FALSE),-2)</f>
        <v>134700</v>
      </c>
      <c r="J48" s="12">
        <f>ROUND(VLOOKUP($D$2,'Income Limits Definitions'!$A:$C,3,FALSE)*VLOOKUP($A48,NYMTSP!$C:$L,9,FALSE),-2)</f>
        <v>144000</v>
      </c>
      <c r="K48" s="17">
        <f>ROUND(VLOOKUP($D$2,'Income Limits Definitions'!$A:$C,3,FALSE)*VLOOKUP($A48,NYMTSP!$C:$L,10,FALSE),-2)</f>
        <v>153300</v>
      </c>
    </row>
    <row r="49" spans="1:11" x14ac:dyDescent="0.2">
      <c r="A49" t="s">
        <v>19</v>
      </c>
      <c r="B49" s="6" t="str">
        <f>CONCATENATE(INDEX(NYMTSP!$AR:$AR,ROW()-5,1)," ",IF(AND($C49&lt;$C$5,VLOOKUP($A49,NYMTSP!$C:$G,5,FALSE)=($C$5/2)),"*",IF($C49&lt;(2*VLOOKUP($A49,NYMTSP!$C:$G,5,FALSE)),"#","")),IF(VLOOKUP($A49,NYMTSP!$C:$G,5,FALSE)&gt;$C$6,"†",""))</f>
        <v>Richmond County #</v>
      </c>
      <c r="C49" s="12">
        <f>VLOOKUP($A49,NYMTSP!$C:$L,2,FALSE)</f>
        <v>103000</v>
      </c>
      <c r="D49" s="12">
        <f>ROUND(VLOOKUP($D$2,'Income Limits Definitions'!$A:$C,3,FALSE)*VLOOKUP($A49,NYMTSP!$C:$L,3,FALSE),-2)</f>
        <v>113400</v>
      </c>
      <c r="E49" s="12">
        <f>ROUND(VLOOKUP($D$2,'Income Limits Definitions'!$A:$C,3,FALSE)*VLOOKUP($A49,NYMTSP!$C:$L,4,FALSE),-2)</f>
        <v>129600</v>
      </c>
      <c r="F49" s="12">
        <f>ROUND(VLOOKUP($D$2,'Income Limits Definitions'!$A:$C,3,FALSE)*VLOOKUP($A49,NYMTSP!$C:$L,5,FALSE),-2)</f>
        <v>145800</v>
      </c>
      <c r="G49" s="12">
        <f>ROUND(VLOOKUP($D$2,'Income Limits Definitions'!$A:$C,3,FALSE)*VLOOKUP($A49,NYMTSP!$C:$L,6,FALSE),-2)</f>
        <v>162000</v>
      </c>
      <c r="H49" s="12">
        <f>ROUND(VLOOKUP($D$2,'Income Limits Definitions'!$A:$C,3,FALSE)*VLOOKUP($A49,NYMTSP!$C:$L,7,FALSE),-2)</f>
        <v>175000</v>
      </c>
      <c r="I49" s="12">
        <f>ROUND(VLOOKUP($D$2,'Income Limits Definitions'!$A:$C,3,FALSE)*VLOOKUP($A49,NYMTSP!$C:$L,8,FALSE),-2)</f>
        <v>188000</v>
      </c>
      <c r="J49" s="12">
        <f>ROUND(VLOOKUP($D$2,'Income Limits Definitions'!$A:$C,3,FALSE)*VLOOKUP($A49,NYMTSP!$C:$L,9,FALSE),-2)</f>
        <v>200900</v>
      </c>
      <c r="K49" s="17">
        <f>ROUND(VLOOKUP($D$2,'Income Limits Definitions'!$A:$C,3,FALSE)*VLOOKUP($A49,NYMTSP!$C:$L,10,FALSE),-2)</f>
        <v>213900</v>
      </c>
    </row>
    <row r="50" spans="1:11" x14ac:dyDescent="0.2">
      <c r="A50" t="s">
        <v>236</v>
      </c>
      <c r="B50" s="6" t="str">
        <f>CONCATENATE(INDEX(NYMTSP!$AR:$AR,ROW()-5,1)," ",IF(AND($C50&lt;$C$5,VLOOKUP($A50,NYMTSP!$C:$G,5,FALSE)=($C$5/2)),"*",IF($C50&lt;(2*VLOOKUP($A50,NYMTSP!$C:$G,5,FALSE)),"#","")),IF(VLOOKUP($A50,NYMTSP!$C:$G,5,FALSE)&gt;$C$6,"†",""))</f>
        <v>Rockland County #</v>
      </c>
      <c r="C50" s="12">
        <f>VLOOKUP($A50,NYMTSP!$C:$L,2,FALSE)</f>
        <v>128700</v>
      </c>
      <c r="D50" s="12">
        <f>ROUND(VLOOKUP($D$2,'Income Limits Definitions'!$A:$C,3,FALSE)*VLOOKUP($A50,NYMTSP!$C:$L,3,FALSE),-2)</f>
        <v>113400</v>
      </c>
      <c r="E50" s="12">
        <f>ROUND(VLOOKUP($D$2,'Income Limits Definitions'!$A:$C,3,FALSE)*VLOOKUP($A50,NYMTSP!$C:$L,4,FALSE),-2)</f>
        <v>129600</v>
      </c>
      <c r="F50" s="12">
        <f>ROUND(VLOOKUP($D$2,'Income Limits Definitions'!$A:$C,3,FALSE)*VLOOKUP($A50,NYMTSP!$C:$L,5,FALSE),-2)</f>
        <v>145800</v>
      </c>
      <c r="G50" s="12">
        <f>ROUND(VLOOKUP($D$2,'Income Limits Definitions'!$A:$C,3,FALSE)*VLOOKUP($A50,NYMTSP!$C:$L,6,FALSE),-2)</f>
        <v>162000</v>
      </c>
      <c r="H50" s="12">
        <f>ROUND(VLOOKUP($D$2,'Income Limits Definitions'!$A:$C,3,FALSE)*VLOOKUP($A50,NYMTSP!$C:$L,7,FALSE),-2)</f>
        <v>175000</v>
      </c>
      <c r="I50" s="12">
        <f>ROUND(VLOOKUP($D$2,'Income Limits Definitions'!$A:$C,3,FALSE)*VLOOKUP($A50,NYMTSP!$C:$L,8,FALSE),-2)</f>
        <v>188000</v>
      </c>
      <c r="J50" s="12">
        <f>ROUND(VLOOKUP($D$2,'Income Limits Definitions'!$A:$C,3,FALSE)*VLOOKUP($A50,NYMTSP!$C:$L,9,FALSE),-2)</f>
        <v>200900</v>
      </c>
      <c r="K50" s="17">
        <f>ROUND(VLOOKUP($D$2,'Income Limits Definitions'!$A:$C,3,FALSE)*VLOOKUP($A50,NYMTSP!$C:$L,10,FALSE),-2)</f>
        <v>213900</v>
      </c>
    </row>
    <row r="51" spans="1:11" x14ac:dyDescent="0.2">
      <c r="A51" t="s">
        <v>115</v>
      </c>
      <c r="B51" s="13" t="str">
        <f>CONCATENATE(INDEX(NYMTSP!$AR:$AR,ROW()-5,1)," ",IF(AND($C51&lt;$C$5,VLOOKUP($A51,NYMTSP!$C:$G,5,FALSE)=($C$5/2)),"*",IF($C51&lt;(2*VLOOKUP($A51,NYMTSP!$C:$G,5,FALSE)),"#","")),IF(VLOOKUP($A51,NYMTSP!$C:$G,5,FALSE)&gt;$C$6,"†",""))</f>
        <v xml:space="preserve">St. Lawrence County </v>
      </c>
      <c r="C51" s="12">
        <f>VLOOKUP($A51,NYMTSP!$C:$L,2,FALSE)</f>
        <v>89100</v>
      </c>
      <c r="D51" s="12">
        <f>ROUND(VLOOKUP($D$2,'Income Limits Definitions'!$A:$C,3,FALSE)*VLOOKUP($A51,NYMTSP!$C:$L,3,FALSE),-2)</f>
        <v>62400</v>
      </c>
      <c r="E51" s="12">
        <f>ROUND(VLOOKUP($D$2,'Income Limits Definitions'!$A:$C,3,FALSE)*VLOOKUP($A51,NYMTSP!$C:$L,4,FALSE),-2)</f>
        <v>71300</v>
      </c>
      <c r="F51" s="12">
        <f>ROUND(VLOOKUP($D$2,'Income Limits Definitions'!$A:$C,3,FALSE)*VLOOKUP($A51,NYMTSP!$C:$L,5,FALSE),-2)</f>
        <v>80200</v>
      </c>
      <c r="G51" s="12">
        <f>ROUND(VLOOKUP($D$2,'Income Limits Definitions'!$A:$C,3,FALSE)*VLOOKUP($A51,NYMTSP!$C:$L,6,FALSE),-2)</f>
        <v>89100</v>
      </c>
      <c r="H51" s="12">
        <f>ROUND(VLOOKUP($D$2,'Income Limits Definitions'!$A:$C,3,FALSE)*VLOOKUP($A51,NYMTSP!$C:$L,7,FALSE),-2)</f>
        <v>96300</v>
      </c>
      <c r="I51" s="12">
        <f>ROUND(VLOOKUP($D$2,'Income Limits Definitions'!$A:$C,3,FALSE)*VLOOKUP($A51,NYMTSP!$C:$L,8,FALSE),-2)</f>
        <v>103400</v>
      </c>
      <c r="J51" s="12">
        <f>ROUND(VLOOKUP($D$2,'Income Limits Definitions'!$A:$C,3,FALSE)*VLOOKUP($A51,NYMTSP!$C:$L,9,FALSE),-2)</f>
        <v>110500</v>
      </c>
      <c r="K51" s="17">
        <f>ROUND(VLOOKUP($D$2,'Income Limits Definitions'!$A:$C,3,FALSE)*VLOOKUP($A51,NYMTSP!$C:$L,10,FALSE),-2)</f>
        <v>117700</v>
      </c>
    </row>
    <row r="52" spans="1:11" x14ac:dyDescent="0.2">
      <c r="A52" t="s">
        <v>10</v>
      </c>
      <c r="B52" s="13" t="str">
        <f>CONCATENATE(INDEX(NYMTSP!$AR:$AR,ROW()-5,1)," ",IF(AND($C52&lt;$C$5,VLOOKUP($A52,NYMTSP!$C:$G,5,FALSE)=($C$5/2)),"*",IF($C52&lt;(2*VLOOKUP($A52,NYMTSP!$C:$G,5,FALSE)),"#","")),IF(VLOOKUP($A52,NYMTSP!$C:$G,5,FALSE)&gt;$C$6,"†",""))</f>
        <v xml:space="preserve">Saratoga County </v>
      </c>
      <c r="C52" s="12">
        <f>VLOOKUP($A52,NYMTSP!$C:$L,2,FALSE)</f>
        <v>116100</v>
      </c>
      <c r="D52" s="12">
        <f>ROUND(VLOOKUP($D$2,'Income Limits Definitions'!$A:$C,3,FALSE)*VLOOKUP($A52,NYMTSP!$C:$L,3,FALSE),-2)</f>
        <v>81300</v>
      </c>
      <c r="E52" s="12">
        <f>ROUND(VLOOKUP($D$2,'Income Limits Definitions'!$A:$C,3,FALSE)*VLOOKUP($A52,NYMTSP!$C:$L,4,FALSE),-2)</f>
        <v>92900</v>
      </c>
      <c r="F52" s="12">
        <f>ROUND(VLOOKUP($D$2,'Income Limits Definitions'!$A:$C,3,FALSE)*VLOOKUP($A52,NYMTSP!$C:$L,5,FALSE),-2)</f>
        <v>104500</v>
      </c>
      <c r="G52" s="12">
        <f>ROUND(VLOOKUP($D$2,'Income Limits Definitions'!$A:$C,3,FALSE)*VLOOKUP($A52,NYMTSP!$C:$L,6,FALSE),-2)</f>
        <v>116100</v>
      </c>
      <c r="H52" s="12">
        <f>ROUND(VLOOKUP($D$2,'Income Limits Definitions'!$A:$C,3,FALSE)*VLOOKUP($A52,NYMTSP!$C:$L,7,FALSE),-2)</f>
        <v>125400</v>
      </c>
      <c r="I52" s="12">
        <f>ROUND(VLOOKUP($D$2,'Income Limits Definitions'!$A:$C,3,FALSE)*VLOOKUP($A52,NYMTSP!$C:$L,8,FALSE),-2)</f>
        <v>134700</v>
      </c>
      <c r="J52" s="12">
        <f>ROUND(VLOOKUP($D$2,'Income Limits Definitions'!$A:$C,3,FALSE)*VLOOKUP($A52,NYMTSP!$C:$L,9,FALSE),-2)</f>
        <v>144000</v>
      </c>
      <c r="K52" s="17">
        <f>ROUND(VLOOKUP($D$2,'Income Limits Definitions'!$A:$C,3,FALSE)*VLOOKUP($A52,NYMTSP!$C:$L,10,FALSE),-2)</f>
        <v>153300</v>
      </c>
    </row>
    <row r="53" spans="1:11" x14ac:dyDescent="0.2">
      <c r="A53" t="s">
        <v>10</v>
      </c>
      <c r="B53" s="6" t="str">
        <f>CONCATENATE(INDEX(NYMTSP!$AR:$AR,ROW()-5,1)," ",IF(AND($C53&lt;$C$5,VLOOKUP($A53,NYMTSP!$C:$G,5,FALSE)=($C$5/2)),"*",IF($C53&lt;(2*VLOOKUP($A53,NYMTSP!$C:$G,5,FALSE)),"#","")),IF(VLOOKUP($A53,NYMTSP!$C:$G,5,FALSE)&gt;$C$6,"†",""))</f>
        <v xml:space="preserve">Schenectady County </v>
      </c>
      <c r="C53" s="12">
        <f>VLOOKUP($A53,NYMTSP!$C:$L,2,FALSE)</f>
        <v>116100</v>
      </c>
      <c r="D53" s="12">
        <f>ROUND(VLOOKUP($D$2,'Income Limits Definitions'!$A:$C,3,FALSE)*VLOOKUP($A53,NYMTSP!$C:$L,3,FALSE),-2)</f>
        <v>81300</v>
      </c>
      <c r="E53" s="12">
        <f>ROUND(VLOOKUP($D$2,'Income Limits Definitions'!$A:$C,3,FALSE)*VLOOKUP($A53,NYMTSP!$C:$L,4,FALSE),-2)</f>
        <v>92900</v>
      </c>
      <c r="F53" s="12">
        <f>ROUND(VLOOKUP($D$2,'Income Limits Definitions'!$A:$C,3,FALSE)*VLOOKUP($A53,NYMTSP!$C:$L,5,FALSE),-2)</f>
        <v>104500</v>
      </c>
      <c r="G53" s="12">
        <f>ROUND(VLOOKUP($D$2,'Income Limits Definitions'!$A:$C,3,FALSE)*VLOOKUP($A53,NYMTSP!$C:$L,6,FALSE),-2)</f>
        <v>116100</v>
      </c>
      <c r="H53" s="12">
        <f>ROUND(VLOOKUP($D$2,'Income Limits Definitions'!$A:$C,3,FALSE)*VLOOKUP($A53,NYMTSP!$C:$L,7,FALSE),-2)</f>
        <v>125400</v>
      </c>
      <c r="I53" s="12">
        <f>ROUND(VLOOKUP($D$2,'Income Limits Definitions'!$A:$C,3,FALSE)*VLOOKUP($A53,NYMTSP!$C:$L,8,FALSE),-2)</f>
        <v>134700</v>
      </c>
      <c r="J53" s="12">
        <f>ROUND(VLOOKUP($D$2,'Income Limits Definitions'!$A:$C,3,FALSE)*VLOOKUP($A53,NYMTSP!$C:$L,9,FALSE),-2)</f>
        <v>144000</v>
      </c>
      <c r="K53" s="17">
        <f>ROUND(VLOOKUP($D$2,'Income Limits Definitions'!$A:$C,3,FALSE)*VLOOKUP($A53,NYMTSP!$C:$L,10,FALSE),-2)</f>
        <v>153300</v>
      </c>
    </row>
    <row r="54" spans="1:11" x14ac:dyDescent="0.2">
      <c r="A54" t="s">
        <v>10</v>
      </c>
      <c r="B54" s="13" t="str">
        <f>CONCATENATE(INDEX(NYMTSP!$AR:$AR,ROW()-5,1)," ",IF(AND($C54&lt;$C$5,VLOOKUP($A54,NYMTSP!$C:$G,5,FALSE)=($C$5/2)),"*",IF($C54&lt;(2*VLOOKUP($A54,NYMTSP!$C:$G,5,FALSE)),"#","")),IF(VLOOKUP($A54,NYMTSP!$C:$G,5,FALSE)&gt;$C$6,"†",""))</f>
        <v xml:space="preserve">Schoharie County </v>
      </c>
      <c r="C54" s="12">
        <f>VLOOKUP($A54,NYMTSP!$C:$L,2,FALSE)</f>
        <v>116100</v>
      </c>
      <c r="D54" s="12">
        <f>ROUND(VLOOKUP($D$2,'Income Limits Definitions'!$A:$C,3,FALSE)*VLOOKUP($A54,NYMTSP!$C:$L,3,FALSE),-2)</f>
        <v>81300</v>
      </c>
      <c r="E54" s="12">
        <f>ROUND(VLOOKUP($D$2,'Income Limits Definitions'!$A:$C,3,FALSE)*VLOOKUP($A54,NYMTSP!$C:$L,4,FALSE),-2)</f>
        <v>92900</v>
      </c>
      <c r="F54" s="12">
        <f>ROUND(VLOOKUP($D$2,'Income Limits Definitions'!$A:$C,3,FALSE)*VLOOKUP($A54,NYMTSP!$C:$L,5,FALSE),-2)</f>
        <v>104500</v>
      </c>
      <c r="G54" s="12">
        <f>ROUND(VLOOKUP($D$2,'Income Limits Definitions'!$A:$C,3,FALSE)*VLOOKUP($A54,NYMTSP!$C:$L,6,FALSE),-2)</f>
        <v>116100</v>
      </c>
      <c r="H54" s="12">
        <f>ROUND(VLOOKUP($D$2,'Income Limits Definitions'!$A:$C,3,FALSE)*VLOOKUP($A54,NYMTSP!$C:$L,7,FALSE),-2)</f>
        <v>125400</v>
      </c>
      <c r="I54" s="12">
        <f>ROUND(VLOOKUP($D$2,'Income Limits Definitions'!$A:$C,3,FALSE)*VLOOKUP($A54,NYMTSP!$C:$L,8,FALSE),-2)</f>
        <v>134700</v>
      </c>
      <c r="J54" s="12">
        <f>ROUND(VLOOKUP($D$2,'Income Limits Definitions'!$A:$C,3,FALSE)*VLOOKUP($A54,NYMTSP!$C:$L,9,FALSE),-2)</f>
        <v>144000</v>
      </c>
      <c r="K54" s="17">
        <f>ROUND(VLOOKUP($D$2,'Income Limits Definitions'!$A:$C,3,FALSE)*VLOOKUP($A54,NYMTSP!$C:$L,10,FALSE),-2)</f>
        <v>153300</v>
      </c>
    </row>
    <row r="55" spans="1:11" x14ac:dyDescent="0.2">
      <c r="A55" t="s">
        <v>121</v>
      </c>
      <c r="B55" s="13" t="str">
        <f>CONCATENATE(INDEX(NYMTSP!$AR:$AR,ROW()-5,1)," ",IF(AND($C55&lt;$C$5,VLOOKUP($A55,NYMTSP!$C:$G,5,FALSE)=($C$5/2)),"*",IF($C55&lt;(2*VLOOKUP($A55,NYMTSP!$C:$G,5,FALSE)),"#","")),IF(VLOOKUP($A55,NYMTSP!$C:$G,5,FALSE)&gt;$C$6,"†",""))</f>
        <v xml:space="preserve">Schuyler County </v>
      </c>
      <c r="C55" s="12">
        <f>VLOOKUP($A55,NYMTSP!$C:$L,2,FALSE)</f>
        <v>91700</v>
      </c>
      <c r="D55" s="12">
        <f>ROUND(VLOOKUP($D$2,'Income Limits Definitions'!$A:$C,3,FALSE)*VLOOKUP($A55,NYMTSP!$C:$L,3,FALSE),-2)</f>
        <v>64200</v>
      </c>
      <c r="E55" s="12">
        <f>ROUND(VLOOKUP($D$2,'Income Limits Definitions'!$A:$C,3,FALSE)*VLOOKUP($A55,NYMTSP!$C:$L,4,FALSE),-2)</f>
        <v>73400</v>
      </c>
      <c r="F55" s="12">
        <f>ROUND(VLOOKUP($D$2,'Income Limits Definitions'!$A:$C,3,FALSE)*VLOOKUP($A55,NYMTSP!$C:$L,5,FALSE),-2)</f>
        <v>82600</v>
      </c>
      <c r="G55" s="12">
        <f>ROUND(VLOOKUP($D$2,'Income Limits Definitions'!$A:$C,3,FALSE)*VLOOKUP($A55,NYMTSP!$C:$L,6,FALSE),-2)</f>
        <v>91700</v>
      </c>
      <c r="H55" s="12">
        <f>ROUND(VLOOKUP($D$2,'Income Limits Definitions'!$A:$C,3,FALSE)*VLOOKUP($A55,NYMTSP!$C:$L,7,FALSE),-2)</f>
        <v>99100</v>
      </c>
      <c r="I55" s="12">
        <f>ROUND(VLOOKUP($D$2,'Income Limits Definitions'!$A:$C,3,FALSE)*VLOOKUP($A55,NYMTSP!$C:$L,8,FALSE),-2)</f>
        <v>106400</v>
      </c>
      <c r="J55" s="12">
        <f>ROUND(VLOOKUP($D$2,'Income Limits Definitions'!$A:$C,3,FALSE)*VLOOKUP($A55,NYMTSP!$C:$L,9,FALSE),-2)</f>
        <v>113800</v>
      </c>
      <c r="K55" s="17">
        <f>ROUND(VLOOKUP($D$2,'Income Limits Definitions'!$A:$C,3,FALSE)*VLOOKUP($A55,NYMTSP!$C:$L,10,FALSE),-2)</f>
        <v>121100</v>
      </c>
    </row>
    <row r="56" spans="1:11" x14ac:dyDescent="0.2">
      <c r="A56" t="s">
        <v>124</v>
      </c>
      <c r="B56" s="6" t="str">
        <f>CONCATENATE(INDEX(NYMTSP!$AR:$AR,ROW()-5,1)," ",IF(AND($C56&lt;$C$5,VLOOKUP($A56,NYMTSP!$C:$G,5,FALSE)=($C$5/2)),"*",IF($C56&lt;(2*VLOOKUP($A56,NYMTSP!$C:$G,5,FALSE)),"#","")),IF(VLOOKUP($A56,NYMTSP!$C:$G,5,FALSE)&gt;$C$6,"†",""))</f>
        <v xml:space="preserve">Seneca County </v>
      </c>
      <c r="C56" s="12">
        <f>VLOOKUP($A56,NYMTSP!$C:$L,2,FALSE)</f>
        <v>93900</v>
      </c>
      <c r="D56" s="12">
        <f>ROUND(VLOOKUP($D$2,'Income Limits Definitions'!$A:$C,3,FALSE)*VLOOKUP($A56,NYMTSP!$C:$L,3,FALSE),-2)</f>
        <v>65800</v>
      </c>
      <c r="E56" s="12">
        <f>ROUND(VLOOKUP($D$2,'Income Limits Definitions'!$A:$C,3,FALSE)*VLOOKUP($A56,NYMTSP!$C:$L,4,FALSE),-2)</f>
        <v>75200</v>
      </c>
      <c r="F56" s="12">
        <f>ROUND(VLOOKUP($D$2,'Income Limits Definitions'!$A:$C,3,FALSE)*VLOOKUP($A56,NYMTSP!$C:$L,5,FALSE),-2)</f>
        <v>84600</v>
      </c>
      <c r="G56" s="12">
        <f>ROUND(VLOOKUP($D$2,'Income Limits Definitions'!$A:$C,3,FALSE)*VLOOKUP($A56,NYMTSP!$C:$L,6,FALSE),-2)</f>
        <v>93900</v>
      </c>
      <c r="H56" s="12">
        <f>ROUND(VLOOKUP($D$2,'Income Limits Definitions'!$A:$C,3,FALSE)*VLOOKUP($A56,NYMTSP!$C:$L,7,FALSE),-2)</f>
        <v>101500</v>
      </c>
      <c r="I56" s="12">
        <f>ROUND(VLOOKUP($D$2,'Income Limits Definitions'!$A:$C,3,FALSE)*VLOOKUP($A56,NYMTSP!$C:$L,8,FALSE),-2)</f>
        <v>109000</v>
      </c>
      <c r="J56" s="12">
        <f>ROUND(VLOOKUP($D$2,'Income Limits Definitions'!$A:$C,3,FALSE)*VLOOKUP($A56,NYMTSP!$C:$L,9,FALSE),-2)</f>
        <v>116500</v>
      </c>
      <c r="K56" s="17">
        <f>ROUND(VLOOKUP($D$2,'Income Limits Definitions'!$A:$C,3,FALSE)*VLOOKUP($A56,NYMTSP!$C:$L,10,FALSE),-2)</f>
        <v>124000</v>
      </c>
    </row>
    <row r="57" spans="1:11" x14ac:dyDescent="0.2">
      <c r="A57" t="s">
        <v>127</v>
      </c>
      <c r="B57" s="13" t="str">
        <f>CONCATENATE(INDEX(NYMTSP!$AR:$AR,ROW()-5,1)," ",IF(AND($C57&lt;$C$5,VLOOKUP($A57,NYMTSP!$C:$G,5,FALSE)=($C$5/2)),"*",IF($C57&lt;(2*VLOOKUP($A57,NYMTSP!$C:$G,5,FALSE)),"#","")),IF(VLOOKUP($A57,NYMTSP!$C:$G,5,FALSE)&gt;$C$6,"†",""))</f>
        <v xml:space="preserve">Steuben County </v>
      </c>
      <c r="C57" s="12">
        <f>VLOOKUP($A57,NYMTSP!$C:$L,2,FALSE)</f>
        <v>91300</v>
      </c>
      <c r="D57" s="12">
        <f>ROUND(VLOOKUP($D$2,'Income Limits Definitions'!$A:$C,3,FALSE)*VLOOKUP($A57,NYMTSP!$C:$L,3,FALSE),-2)</f>
        <v>64000</v>
      </c>
      <c r="E57" s="12">
        <f>ROUND(VLOOKUP($D$2,'Income Limits Definitions'!$A:$C,3,FALSE)*VLOOKUP($A57,NYMTSP!$C:$L,4,FALSE),-2)</f>
        <v>73100</v>
      </c>
      <c r="F57" s="12">
        <f>ROUND(VLOOKUP($D$2,'Income Limits Definitions'!$A:$C,3,FALSE)*VLOOKUP($A57,NYMTSP!$C:$L,5,FALSE),-2)</f>
        <v>82200</v>
      </c>
      <c r="G57" s="12">
        <f>ROUND(VLOOKUP($D$2,'Income Limits Definitions'!$A:$C,3,FALSE)*VLOOKUP($A57,NYMTSP!$C:$L,6,FALSE),-2)</f>
        <v>91300</v>
      </c>
      <c r="H57" s="12">
        <f>ROUND(VLOOKUP($D$2,'Income Limits Definitions'!$A:$C,3,FALSE)*VLOOKUP($A57,NYMTSP!$C:$L,7,FALSE),-2)</f>
        <v>98700</v>
      </c>
      <c r="I57" s="12">
        <f>ROUND(VLOOKUP($D$2,'Income Limits Definitions'!$A:$C,3,FALSE)*VLOOKUP($A57,NYMTSP!$C:$L,8,FALSE),-2)</f>
        <v>106000</v>
      </c>
      <c r="J57" s="12">
        <f>ROUND(VLOOKUP($D$2,'Income Limits Definitions'!$A:$C,3,FALSE)*VLOOKUP($A57,NYMTSP!$C:$L,9,FALSE),-2)</f>
        <v>113300</v>
      </c>
      <c r="K57" s="17">
        <f>ROUND(VLOOKUP($D$2,'Income Limits Definitions'!$A:$C,3,FALSE)*VLOOKUP($A57,NYMTSP!$C:$L,10,FALSE),-2)</f>
        <v>120600</v>
      </c>
    </row>
    <row r="58" spans="1:11" x14ac:dyDescent="0.2">
      <c r="A58" t="s">
        <v>95</v>
      </c>
      <c r="B58" s="13" t="str">
        <f>CONCATENATE(INDEX(NYMTSP!$AR:$AR,ROW()-5,1)," ",IF(AND($C58&lt;$C$5,VLOOKUP($A58,NYMTSP!$C:$G,5,FALSE)=($C$5/2)),"*",IF($C58&lt;(2*VLOOKUP($A58,NYMTSP!$C:$G,5,FALSE)),"#","")),IF(VLOOKUP($A58,NYMTSP!$C:$G,5,FALSE)&gt;$C$6,"†",""))</f>
        <v xml:space="preserve">Suffolk County </v>
      </c>
      <c r="C58" s="12">
        <f>VLOOKUP($A58,NYMTSP!$C:$L,2,FALSE)</f>
        <v>164900</v>
      </c>
      <c r="D58" s="12">
        <f>ROUND(VLOOKUP($D$2,'Income Limits Definitions'!$A:$C,3,FALSE)*VLOOKUP($A58,NYMTSP!$C:$L,3,FALSE),-2)</f>
        <v>115500</v>
      </c>
      <c r="E58" s="12">
        <f>ROUND(VLOOKUP($D$2,'Income Limits Definitions'!$A:$C,3,FALSE)*VLOOKUP($A58,NYMTSP!$C:$L,4,FALSE),-2)</f>
        <v>132000</v>
      </c>
      <c r="F58" s="12">
        <f>ROUND(VLOOKUP($D$2,'Income Limits Definitions'!$A:$C,3,FALSE)*VLOOKUP($A58,NYMTSP!$C:$L,5,FALSE),-2)</f>
        <v>148500</v>
      </c>
      <c r="G58" s="12">
        <f>ROUND(VLOOKUP($D$2,'Income Limits Definitions'!$A:$C,3,FALSE)*VLOOKUP($A58,NYMTSP!$C:$L,6,FALSE),-2)</f>
        <v>164900</v>
      </c>
      <c r="H58" s="12">
        <f>ROUND(VLOOKUP($D$2,'Income Limits Definitions'!$A:$C,3,FALSE)*VLOOKUP($A58,NYMTSP!$C:$L,7,FALSE),-2)</f>
        <v>178100</v>
      </c>
      <c r="I58" s="12">
        <f>ROUND(VLOOKUP($D$2,'Income Limits Definitions'!$A:$C,3,FALSE)*VLOOKUP($A58,NYMTSP!$C:$L,8,FALSE),-2)</f>
        <v>191300</v>
      </c>
      <c r="J58" s="12">
        <f>ROUND(VLOOKUP($D$2,'Income Limits Definitions'!$A:$C,3,FALSE)*VLOOKUP($A58,NYMTSP!$C:$L,9,FALSE),-2)</f>
        <v>204500</v>
      </c>
      <c r="K58" s="17">
        <f>ROUND(VLOOKUP($D$2,'Income Limits Definitions'!$A:$C,3,FALSE)*VLOOKUP($A58,NYMTSP!$C:$L,10,FALSE),-2)</f>
        <v>217700</v>
      </c>
    </row>
    <row r="59" spans="1:11" x14ac:dyDescent="0.2">
      <c r="A59" t="s">
        <v>131</v>
      </c>
      <c r="B59" s="13" t="str">
        <f>CONCATENATE(INDEX(NYMTSP!$AR:$AR,ROW()-5,1)," ",IF(AND($C59&lt;$C$5,VLOOKUP($A59,NYMTSP!$C:$G,5,FALSE)=($C$5/2)),"*",IF($C59&lt;(2*VLOOKUP($A59,NYMTSP!$C:$G,5,FALSE)),"#","")),IF(VLOOKUP($A59,NYMTSP!$C:$G,5,FALSE)&gt;$C$6,"†",""))</f>
        <v xml:space="preserve">Sullivan County </v>
      </c>
      <c r="C59" s="12">
        <f>VLOOKUP($A59,NYMTSP!$C:$L,2,FALSE)</f>
        <v>105700</v>
      </c>
      <c r="D59" s="12">
        <f>ROUND(VLOOKUP($D$2,'Income Limits Definitions'!$A:$C,3,FALSE)*VLOOKUP($A59,NYMTSP!$C:$L,3,FALSE),-2)</f>
        <v>68200</v>
      </c>
      <c r="E59" s="12">
        <f>ROUND(VLOOKUP($D$2,'Income Limits Definitions'!$A:$C,3,FALSE)*VLOOKUP($A59,NYMTSP!$C:$L,4,FALSE),-2)</f>
        <v>78000</v>
      </c>
      <c r="F59" s="12">
        <f>ROUND(VLOOKUP($D$2,'Income Limits Definitions'!$A:$C,3,FALSE)*VLOOKUP($A59,NYMTSP!$C:$L,5,FALSE),-2)</f>
        <v>87800</v>
      </c>
      <c r="G59" s="12">
        <f>ROUND(VLOOKUP($D$2,'Income Limits Definitions'!$A:$C,3,FALSE)*VLOOKUP($A59,NYMTSP!$C:$L,6,FALSE),-2)</f>
        <v>97500</v>
      </c>
      <c r="H59" s="12">
        <f>ROUND(VLOOKUP($D$2,'Income Limits Definitions'!$A:$C,3,FALSE)*VLOOKUP($A59,NYMTSP!$C:$L,7,FALSE),-2)</f>
        <v>105300</v>
      </c>
      <c r="I59" s="12">
        <f>ROUND(VLOOKUP($D$2,'Income Limits Definitions'!$A:$C,3,FALSE)*VLOOKUP($A59,NYMTSP!$C:$L,8,FALSE),-2)</f>
        <v>113100</v>
      </c>
      <c r="J59" s="12">
        <f>ROUND(VLOOKUP($D$2,'Income Limits Definitions'!$A:$C,3,FALSE)*VLOOKUP($A59,NYMTSP!$C:$L,9,FALSE),-2)</f>
        <v>120900</v>
      </c>
      <c r="K59" s="17">
        <f>ROUND(VLOOKUP($D$2,'Income Limits Definitions'!$A:$C,3,FALSE)*VLOOKUP($A59,NYMTSP!$C:$L,10,FALSE),-2)</f>
        <v>128700</v>
      </c>
    </row>
    <row r="60" spans="1:11" x14ac:dyDescent="0.2">
      <c r="A60" t="s">
        <v>22</v>
      </c>
      <c r="B60" s="13" t="str">
        <f>CONCATENATE(INDEX(NYMTSP!$AR:$AR,ROW()-5,1)," ",IF(AND($C60&lt;$C$5,VLOOKUP($A60,NYMTSP!$C:$G,5,FALSE)=($C$5/2)),"*",IF($C60&lt;(2*VLOOKUP($A60,NYMTSP!$C:$G,5,FALSE)),"#","")),IF(VLOOKUP($A60,NYMTSP!$C:$G,5,FALSE)&gt;$C$6,"†",""))</f>
        <v xml:space="preserve">Tioga County </v>
      </c>
      <c r="C60" s="12">
        <f>VLOOKUP($A60,NYMTSP!$C:$L,2,FALSE)</f>
        <v>94500</v>
      </c>
      <c r="D60" s="12">
        <f>ROUND(VLOOKUP($D$2,'Income Limits Definitions'!$A:$C,3,FALSE)*VLOOKUP($A60,NYMTSP!$C:$L,3,FALSE),-2)</f>
        <v>66200</v>
      </c>
      <c r="E60" s="12">
        <f>ROUND(VLOOKUP($D$2,'Income Limits Definitions'!$A:$C,3,FALSE)*VLOOKUP($A60,NYMTSP!$C:$L,4,FALSE),-2)</f>
        <v>75600</v>
      </c>
      <c r="F60" s="12">
        <f>ROUND(VLOOKUP($D$2,'Income Limits Definitions'!$A:$C,3,FALSE)*VLOOKUP($A60,NYMTSP!$C:$L,5,FALSE),-2)</f>
        <v>85100</v>
      </c>
      <c r="G60" s="12">
        <f>ROUND(VLOOKUP($D$2,'Income Limits Definitions'!$A:$C,3,FALSE)*VLOOKUP($A60,NYMTSP!$C:$L,6,FALSE),-2)</f>
        <v>94500</v>
      </c>
      <c r="H60" s="12">
        <f>ROUND(VLOOKUP($D$2,'Income Limits Definitions'!$A:$C,3,FALSE)*VLOOKUP($A60,NYMTSP!$C:$L,7,FALSE),-2)</f>
        <v>102100</v>
      </c>
      <c r="I60" s="12">
        <f>ROUND(VLOOKUP($D$2,'Income Limits Definitions'!$A:$C,3,FALSE)*VLOOKUP($A60,NYMTSP!$C:$L,8,FALSE),-2)</f>
        <v>109700</v>
      </c>
      <c r="J60" s="12">
        <f>ROUND(VLOOKUP($D$2,'Income Limits Definitions'!$A:$C,3,FALSE)*VLOOKUP($A60,NYMTSP!$C:$L,9,FALSE),-2)</f>
        <v>117200</v>
      </c>
      <c r="K60" s="17">
        <f>ROUND(VLOOKUP($D$2,'Income Limits Definitions'!$A:$C,3,FALSE)*VLOOKUP($A60,NYMTSP!$C:$L,10,FALSE),-2)</f>
        <v>124800</v>
      </c>
    </row>
    <row r="61" spans="1:11" x14ac:dyDescent="0.2">
      <c r="A61" t="s">
        <v>135</v>
      </c>
      <c r="B61" s="6" t="str">
        <f>CONCATENATE(INDEX(NYMTSP!$AR:$AR,ROW()-5,1)," ",IF(AND($C61&lt;$C$5,VLOOKUP($A61,NYMTSP!$C:$G,5,FALSE)=($C$5/2)),"*",IF($C61&lt;(2*VLOOKUP($A61,NYMTSP!$C:$G,5,FALSE)),"#","")),IF(VLOOKUP($A61,NYMTSP!$C:$G,5,FALSE)&gt;$C$6,"†",""))</f>
        <v xml:space="preserve">Tompkins County </v>
      </c>
      <c r="C61" s="12">
        <f>VLOOKUP($A61,NYMTSP!$C:$L,2,FALSE)</f>
        <v>122100</v>
      </c>
      <c r="D61" s="12">
        <f>ROUND(VLOOKUP($D$2,'Income Limits Definitions'!$A:$C,3,FALSE)*VLOOKUP($A61,NYMTSP!$C:$L,3,FALSE),-2)</f>
        <v>84300</v>
      </c>
      <c r="E61" s="12">
        <f>ROUND(VLOOKUP($D$2,'Income Limits Definitions'!$A:$C,3,FALSE)*VLOOKUP($A61,NYMTSP!$C:$L,4,FALSE),-2)</f>
        <v>96300</v>
      </c>
      <c r="F61" s="12">
        <f>ROUND(VLOOKUP($D$2,'Income Limits Definitions'!$A:$C,3,FALSE)*VLOOKUP($A61,NYMTSP!$C:$L,5,FALSE),-2)</f>
        <v>108300</v>
      </c>
      <c r="G61" s="12">
        <f>ROUND(VLOOKUP($D$2,'Income Limits Definitions'!$A:$C,3,FALSE)*VLOOKUP($A61,NYMTSP!$C:$L,6,FALSE),-2)</f>
        <v>120300</v>
      </c>
      <c r="H61" s="12">
        <f>ROUND(VLOOKUP($D$2,'Income Limits Definitions'!$A:$C,3,FALSE)*VLOOKUP($A61,NYMTSP!$C:$L,7,FALSE),-2)</f>
        <v>130000</v>
      </c>
      <c r="I61" s="12">
        <f>ROUND(VLOOKUP($D$2,'Income Limits Definitions'!$A:$C,3,FALSE)*VLOOKUP($A61,NYMTSP!$C:$L,8,FALSE),-2)</f>
        <v>139600</v>
      </c>
      <c r="J61" s="12">
        <f>ROUND(VLOOKUP($D$2,'Income Limits Definitions'!$A:$C,3,FALSE)*VLOOKUP($A61,NYMTSP!$C:$L,9,FALSE),-2)</f>
        <v>149200</v>
      </c>
      <c r="K61" s="17">
        <f>ROUND(VLOOKUP($D$2,'Income Limits Definitions'!$A:$C,3,FALSE)*VLOOKUP($A61,NYMTSP!$C:$L,10,FALSE),-2)</f>
        <v>158800</v>
      </c>
    </row>
    <row r="62" spans="1:11" x14ac:dyDescent="0.2">
      <c r="A62" t="s">
        <v>138</v>
      </c>
      <c r="B62" s="13" t="str">
        <f>CONCATENATE(INDEX(NYMTSP!$AR:$AR,ROW()-5,1)," ",IF(AND($C62&lt;$C$5,VLOOKUP($A62,NYMTSP!$C:$G,5,FALSE)=($C$5/2)),"*",IF($C62&lt;(2*VLOOKUP($A62,NYMTSP!$C:$G,5,FALSE)),"#","")),IF(VLOOKUP($A62,NYMTSP!$C:$G,5,FALSE)&gt;$C$6,"†",""))</f>
        <v xml:space="preserve">Ulster County </v>
      </c>
      <c r="C62" s="12">
        <f>VLOOKUP($A62,NYMTSP!$C:$L,2,FALSE)</f>
        <v>119800</v>
      </c>
      <c r="D62" s="12">
        <f>ROUND(VLOOKUP($D$2,'Income Limits Definitions'!$A:$C,3,FALSE)*VLOOKUP($A62,NYMTSP!$C:$L,3,FALSE),-2)</f>
        <v>83900</v>
      </c>
      <c r="E62" s="12">
        <f>ROUND(VLOOKUP($D$2,'Income Limits Definitions'!$A:$C,3,FALSE)*VLOOKUP($A62,NYMTSP!$C:$L,4,FALSE),-2)</f>
        <v>95900</v>
      </c>
      <c r="F62" s="12">
        <f>ROUND(VLOOKUP($D$2,'Income Limits Definitions'!$A:$C,3,FALSE)*VLOOKUP($A62,NYMTSP!$C:$L,5,FALSE),-2)</f>
        <v>107900</v>
      </c>
      <c r="G62" s="12">
        <f>ROUND(VLOOKUP($D$2,'Income Limits Definitions'!$A:$C,3,FALSE)*VLOOKUP($A62,NYMTSP!$C:$L,6,FALSE),-2)</f>
        <v>119800</v>
      </c>
      <c r="H62" s="12">
        <f>ROUND(VLOOKUP($D$2,'Income Limits Definitions'!$A:$C,3,FALSE)*VLOOKUP($A62,NYMTSP!$C:$L,7,FALSE),-2)</f>
        <v>129400</v>
      </c>
      <c r="I62" s="12">
        <f>ROUND(VLOOKUP($D$2,'Income Limits Definitions'!$A:$C,3,FALSE)*VLOOKUP($A62,NYMTSP!$C:$L,8,FALSE),-2)</f>
        <v>139000</v>
      </c>
      <c r="J62" s="12">
        <f>ROUND(VLOOKUP($D$2,'Income Limits Definitions'!$A:$C,3,FALSE)*VLOOKUP($A62,NYMTSP!$C:$L,9,FALSE),-2)</f>
        <v>148600</v>
      </c>
      <c r="K62" s="17">
        <f>ROUND(VLOOKUP($D$2,'Income Limits Definitions'!$A:$C,3,FALSE)*VLOOKUP($A62,NYMTSP!$C:$L,10,FALSE),-2)</f>
        <v>158200</v>
      </c>
    </row>
    <row r="63" spans="1:11" x14ac:dyDescent="0.2">
      <c r="A63" t="s">
        <v>141</v>
      </c>
      <c r="B63" s="6" t="str">
        <f>CONCATENATE(INDEX(NYMTSP!$AR:$AR,ROW()-5,1)," ",IF(AND($C63&lt;$C$5,VLOOKUP($A63,NYMTSP!$C:$G,5,FALSE)=($C$5/2)),"*",IF($C63&lt;(2*VLOOKUP($A63,NYMTSP!$C:$G,5,FALSE)),"#","")),IF(VLOOKUP($A63,NYMTSP!$C:$G,5,FALSE)&gt;$C$6,"†",""))</f>
        <v xml:space="preserve">Warren County </v>
      </c>
      <c r="C63" s="12">
        <f>VLOOKUP($A63,NYMTSP!$C:$L,2,FALSE)</f>
        <v>100000</v>
      </c>
      <c r="D63" s="12">
        <f>ROUND(VLOOKUP($D$2,'Income Limits Definitions'!$A:$C,3,FALSE)*VLOOKUP($A63,NYMTSP!$C:$L,3,FALSE),-2)</f>
        <v>70000</v>
      </c>
      <c r="E63" s="12">
        <f>ROUND(VLOOKUP($D$2,'Income Limits Definitions'!$A:$C,3,FALSE)*VLOOKUP($A63,NYMTSP!$C:$L,4,FALSE),-2)</f>
        <v>80000</v>
      </c>
      <c r="F63" s="12">
        <f>ROUND(VLOOKUP($D$2,'Income Limits Definitions'!$A:$C,3,FALSE)*VLOOKUP($A63,NYMTSP!$C:$L,5,FALSE),-2)</f>
        <v>90000</v>
      </c>
      <c r="G63" s="12">
        <f>ROUND(VLOOKUP($D$2,'Income Limits Definitions'!$A:$C,3,FALSE)*VLOOKUP($A63,NYMTSP!$C:$L,6,FALSE),-2)</f>
        <v>100000</v>
      </c>
      <c r="H63" s="12">
        <f>ROUND(VLOOKUP($D$2,'Income Limits Definitions'!$A:$C,3,FALSE)*VLOOKUP($A63,NYMTSP!$C:$L,7,FALSE),-2)</f>
        <v>108000</v>
      </c>
      <c r="I63" s="12">
        <f>ROUND(VLOOKUP($D$2,'Income Limits Definitions'!$A:$C,3,FALSE)*VLOOKUP($A63,NYMTSP!$C:$L,8,FALSE),-2)</f>
        <v>116000</v>
      </c>
      <c r="J63" s="12">
        <f>ROUND(VLOOKUP($D$2,'Income Limits Definitions'!$A:$C,3,FALSE)*VLOOKUP($A63,NYMTSP!$C:$L,9,FALSE),-2)</f>
        <v>124000</v>
      </c>
      <c r="K63" s="17">
        <f>ROUND(VLOOKUP($D$2,'Income Limits Definitions'!$A:$C,3,FALSE)*VLOOKUP($A63,NYMTSP!$C:$L,10,FALSE),-2)</f>
        <v>132000</v>
      </c>
    </row>
    <row r="64" spans="1:11" x14ac:dyDescent="0.2">
      <c r="A64" t="s">
        <v>141</v>
      </c>
      <c r="B64" s="6" t="str">
        <f>CONCATENATE(INDEX(NYMTSP!$AR:$AR,ROW()-5,1)," ",IF(AND($C64&lt;$C$5,VLOOKUP($A64,NYMTSP!$C:$G,5,FALSE)=($C$5/2)),"*",IF($C64&lt;(2*VLOOKUP($A64,NYMTSP!$C:$G,5,FALSE)),"#","")),IF(VLOOKUP($A64,NYMTSP!$C:$G,5,FALSE)&gt;$C$6,"†",""))</f>
        <v xml:space="preserve">Washington County </v>
      </c>
      <c r="C64" s="12">
        <f>VLOOKUP($A64,NYMTSP!$C:$L,2,FALSE)</f>
        <v>100000</v>
      </c>
      <c r="D64" s="12">
        <f>ROUND(VLOOKUP($D$2,'Income Limits Definitions'!$A:$C,3,FALSE)*VLOOKUP($A64,NYMTSP!$C:$L,3,FALSE),-2)</f>
        <v>70000</v>
      </c>
      <c r="E64" s="12">
        <f>ROUND(VLOOKUP($D$2,'Income Limits Definitions'!$A:$C,3,FALSE)*VLOOKUP($A64,NYMTSP!$C:$L,4,FALSE),-2)</f>
        <v>80000</v>
      </c>
      <c r="F64" s="12">
        <f>ROUND(VLOOKUP($D$2,'Income Limits Definitions'!$A:$C,3,FALSE)*VLOOKUP($A64,NYMTSP!$C:$L,5,FALSE),-2)</f>
        <v>90000</v>
      </c>
      <c r="G64" s="12">
        <f>ROUND(VLOOKUP($D$2,'Income Limits Definitions'!$A:$C,3,FALSE)*VLOOKUP($A64,NYMTSP!$C:$L,6,FALSE),-2)</f>
        <v>100000</v>
      </c>
      <c r="H64" s="12">
        <f>ROUND(VLOOKUP($D$2,'Income Limits Definitions'!$A:$C,3,FALSE)*VLOOKUP($A64,NYMTSP!$C:$L,7,FALSE),-2)</f>
        <v>108000</v>
      </c>
      <c r="I64" s="12">
        <f>ROUND(VLOOKUP($D$2,'Income Limits Definitions'!$A:$C,3,FALSE)*VLOOKUP($A64,NYMTSP!$C:$L,8,FALSE),-2)</f>
        <v>116000</v>
      </c>
      <c r="J64" s="12">
        <f>ROUND(VLOOKUP($D$2,'Income Limits Definitions'!$A:$C,3,FALSE)*VLOOKUP($A64,NYMTSP!$C:$L,9,FALSE),-2)</f>
        <v>124000</v>
      </c>
      <c r="K64" s="17">
        <f>ROUND(VLOOKUP($D$2,'Income Limits Definitions'!$A:$C,3,FALSE)*VLOOKUP($A64,NYMTSP!$C:$L,10,FALSE),-2)</f>
        <v>132000</v>
      </c>
    </row>
    <row r="65" spans="1:11" x14ac:dyDescent="0.2">
      <c r="A65" t="s">
        <v>85</v>
      </c>
      <c r="B65" s="13" t="str">
        <f>CONCATENATE(INDEX(NYMTSP!$AR:$AR,ROW()-5,1)," ",IF(AND($C65&lt;$C$5,VLOOKUP($A65,NYMTSP!$C:$G,5,FALSE)=($C$5/2)),"*",IF($C65&lt;(2*VLOOKUP($A65,NYMTSP!$C:$G,5,FALSE)),"#","")),IF(VLOOKUP($A65,NYMTSP!$C:$G,5,FALSE)&gt;$C$6,"†",""))</f>
        <v xml:space="preserve">Wayne County </v>
      </c>
      <c r="C65" s="12">
        <f>VLOOKUP($A65,NYMTSP!$C:$L,2,FALSE)</f>
        <v>103900</v>
      </c>
      <c r="D65" s="12">
        <f>ROUND(VLOOKUP($D$2,'Income Limits Definitions'!$A:$C,3,FALSE)*VLOOKUP($A65,NYMTSP!$C:$L,3,FALSE),-2)</f>
        <v>72800</v>
      </c>
      <c r="E65" s="12">
        <f>ROUND(VLOOKUP($D$2,'Income Limits Definitions'!$A:$C,3,FALSE)*VLOOKUP($A65,NYMTSP!$C:$L,4,FALSE),-2)</f>
        <v>83200</v>
      </c>
      <c r="F65" s="12">
        <f>ROUND(VLOOKUP($D$2,'Income Limits Definitions'!$A:$C,3,FALSE)*VLOOKUP($A65,NYMTSP!$C:$L,5,FALSE),-2)</f>
        <v>93600</v>
      </c>
      <c r="G65" s="12">
        <f>ROUND(VLOOKUP($D$2,'Income Limits Definitions'!$A:$C,3,FALSE)*VLOOKUP($A65,NYMTSP!$C:$L,6,FALSE),-2)</f>
        <v>103900</v>
      </c>
      <c r="H65" s="12">
        <f>ROUND(VLOOKUP($D$2,'Income Limits Definitions'!$A:$C,3,FALSE)*VLOOKUP($A65,NYMTSP!$C:$L,7,FALSE),-2)</f>
        <v>112300</v>
      </c>
      <c r="I65" s="12">
        <f>ROUND(VLOOKUP($D$2,'Income Limits Definitions'!$A:$C,3,FALSE)*VLOOKUP($A65,NYMTSP!$C:$L,8,FALSE),-2)</f>
        <v>120600</v>
      </c>
      <c r="J65" s="12">
        <f>ROUND(VLOOKUP($D$2,'Income Limits Definitions'!$A:$C,3,FALSE)*VLOOKUP($A65,NYMTSP!$C:$L,9,FALSE),-2)</f>
        <v>128900</v>
      </c>
      <c r="K65" s="17">
        <f>ROUND(VLOOKUP($D$2,'Income Limits Definitions'!$A:$C,3,FALSE)*VLOOKUP($A65,NYMTSP!$C:$L,10,FALSE),-2)</f>
        <v>137200</v>
      </c>
    </row>
    <row r="66" spans="1:11" x14ac:dyDescent="0.2">
      <c r="A66" t="s">
        <v>146</v>
      </c>
      <c r="B66" s="13" t="str">
        <f>CONCATENATE(INDEX(NYMTSP!$AR:$AR,ROW()-5,1)," ",IF(AND($C66&lt;$C$5,VLOOKUP($A66,NYMTSP!$C:$G,5,FALSE)=($C$5/2)),"*",IF($C66&lt;(2*VLOOKUP($A66,NYMTSP!$C:$G,5,FALSE)),"#","")),IF(VLOOKUP($A66,NYMTSP!$C:$G,5,FALSE)&gt;$C$6,"†",""))</f>
        <v xml:space="preserve">Westchester County </v>
      </c>
      <c r="C66" s="12">
        <f>VLOOKUP($A66,NYMTSP!$C:$L,2,FALSE)</f>
        <v>170000</v>
      </c>
      <c r="D66" s="12">
        <f>ROUND(VLOOKUP($D$2,'Income Limits Definitions'!$A:$C,3,FALSE)*VLOOKUP($A66,NYMTSP!$C:$L,3,FALSE),-2)</f>
        <v>119000</v>
      </c>
      <c r="E66" s="12">
        <f>ROUND(VLOOKUP($D$2,'Income Limits Definitions'!$A:$C,3,FALSE)*VLOOKUP($A66,NYMTSP!$C:$L,4,FALSE),-2)</f>
        <v>136000</v>
      </c>
      <c r="F66" s="12">
        <f>ROUND(VLOOKUP($D$2,'Income Limits Definitions'!$A:$C,3,FALSE)*VLOOKUP($A66,NYMTSP!$C:$L,5,FALSE),-2)</f>
        <v>153000</v>
      </c>
      <c r="G66" s="12">
        <f>ROUND(VLOOKUP($D$2,'Income Limits Definitions'!$A:$C,3,FALSE)*VLOOKUP($A66,NYMTSP!$C:$L,6,FALSE),-2)</f>
        <v>170000</v>
      </c>
      <c r="H66" s="12">
        <f>ROUND(VLOOKUP($D$2,'Income Limits Definitions'!$A:$C,3,FALSE)*VLOOKUP($A66,NYMTSP!$C:$L,7,FALSE),-2)</f>
        <v>183600</v>
      </c>
      <c r="I66" s="12">
        <f>ROUND(VLOOKUP($D$2,'Income Limits Definitions'!$A:$C,3,FALSE)*VLOOKUP($A66,NYMTSP!$C:$L,8,FALSE),-2)</f>
        <v>197200</v>
      </c>
      <c r="J66" s="12">
        <f>ROUND(VLOOKUP($D$2,'Income Limits Definitions'!$A:$C,3,FALSE)*VLOOKUP($A66,NYMTSP!$C:$L,9,FALSE),-2)</f>
        <v>210800</v>
      </c>
      <c r="K66" s="17">
        <f>ROUND(VLOOKUP($D$2,'Income Limits Definitions'!$A:$C,3,FALSE)*VLOOKUP($A66,NYMTSP!$C:$L,10,FALSE),-2)</f>
        <v>224400</v>
      </c>
    </row>
    <row r="67" spans="1:11" x14ac:dyDescent="0.2">
      <c r="A67" t="s">
        <v>149</v>
      </c>
      <c r="B67" s="6" t="str">
        <f>CONCATENATE(INDEX(NYMTSP!$AR:$AR,ROW()-5,1)," ",IF(AND($C67&lt;$C$5,VLOOKUP($A67,NYMTSP!$C:$G,5,FALSE)=($C$5/2)),"*",IF($C67&lt;(2*VLOOKUP($A67,NYMTSP!$C:$G,5,FALSE)),"#","")),IF(VLOOKUP($A67,NYMTSP!$C:$G,5,FALSE)&gt;$C$6,"†",""))</f>
        <v xml:space="preserve">Wyoming County </v>
      </c>
      <c r="C67" s="12">
        <f>VLOOKUP($A67,NYMTSP!$C:$L,2,FALSE)</f>
        <v>91800</v>
      </c>
      <c r="D67" s="12">
        <f>ROUND(VLOOKUP($D$2,'Income Limits Definitions'!$A:$C,3,FALSE)*VLOOKUP($A67,NYMTSP!$C:$L,3,FALSE),-2)</f>
        <v>64300</v>
      </c>
      <c r="E67" s="12">
        <f>ROUND(VLOOKUP($D$2,'Income Limits Definitions'!$A:$C,3,FALSE)*VLOOKUP($A67,NYMTSP!$C:$L,4,FALSE),-2)</f>
        <v>73500</v>
      </c>
      <c r="F67" s="12">
        <f>ROUND(VLOOKUP($D$2,'Income Limits Definitions'!$A:$C,3,FALSE)*VLOOKUP($A67,NYMTSP!$C:$L,5,FALSE),-2)</f>
        <v>82700</v>
      </c>
      <c r="G67" s="12">
        <f>ROUND(VLOOKUP($D$2,'Income Limits Definitions'!$A:$C,3,FALSE)*VLOOKUP($A67,NYMTSP!$C:$L,6,FALSE),-2)</f>
        <v>91800</v>
      </c>
      <c r="H67" s="12">
        <f>ROUND(VLOOKUP($D$2,'Income Limits Definitions'!$A:$C,3,FALSE)*VLOOKUP($A67,NYMTSP!$C:$L,7,FALSE),-2)</f>
        <v>99200</v>
      </c>
      <c r="I67" s="12">
        <f>ROUND(VLOOKUP($D$2,'Income Limits Definitions'!$A:$C,3,FALSE)*VLOOKUP($A67,NYMTSP!$C:$L,8,FALSE),-2)</f>
        <v>106500</v>
      </c>
      <c r="J67" s="12">
        <f>ROUND(VLOOKUP($D$2,'Income Limits Definitions'!$A:$C,3,FALSE)*VLOOKUP($A67,NYMTSP!$C:$L,9,FALSE),-2)</f>
        <v>113900</v>
      </c>
      <c r="K67" s="17">
        <f>ROUND(VLOOKUP($D$2,'Income Limits Definitions'!$A:$C,3,FALSE)*VLOOKUP($A67,NYMTSP!$C:$L,10,FALSE),-2)</f>
        <v>121200</v>
      </c>
    </row>
    <row r="68" spans="1:11" ht="16" thickBot="1" x14ac:dyDescent="0.25">
      <c r="A68" t="s">
        <v>294</v>
      </c>
      <c r="B68" s="14" t="str">
        <f>CONCATENATE(INDEX(NYMTSP!$AR:$AR,ROW()-5,1)," ",IF(AND($C68&lt;$C$5,VLOOKUP($A68,NYMTSP!$C:$G,5,FALSE)=($C$5/2)),"*",IF($C68&lt;(2*VLOOKUP($A68,NYMTSP!$C:$G,5,FALSE)),"#","")),IF(VLOOKUP($A68,NYMTSP!$C:$G,5,FALSE)&gt;$C$6,"†",""))</f>
        <v xml:space="preserve">Yates County </v>
      </c>
      <c r="C68" s="18">
        <f>VLOOKUP($A68,NYMTSP!$C:$L,2,FALSE)</f>
        <v>88800</v>
      </c>
      <c r="D68" s="18">
        <f>ROUND(VLOOKUP($D$2,'Income Limits Definitions'!$A:$C,3,FALSE)*VLOOKUP($A68,NYMTSP!$C:$L,3,FALSE),-2)</f>
        <v>62200</v>
      </c>
      <c r="E68" s="18">
        <f>ROUND(VLOOKUP($D$2,'Income Limits Definitions'!$A:$C,3,FALSE)*VLOOKUP($A68,NYMTSP!$C:$L,4,FALSE),-2)</f>
        <v>71100</v>
      </c>
      <c r="F68" s="18">
        <f>ROUND(VLOOKUP($D$2,'Income Limits Definitions'!$A:$C,3,FALSE)*VLOOKUP($A68,NYMTSP!$C:$L,5,FALSE),-2)</f>
        <v>80000</v>
      </c>
      <c r="G68" s="18">
        <f>ROUND(VLOOKUP($D$2,'Income Limits Definitions'!$A:$C,3,FALSE)*VLOOKUP($A68,NYMTSP!$C:$L,6,FALSE),-2)</f>
        <v>88800</v>
      </c>
      <c r="H68" s="18">
        <f>ROUND(VLOOKUP($D$2,'Income Limits Definitions'!$A:$C,3,FALSE)*VLOOKUP($A68,NYMTSP!$C:$L,7,FALSE),-2)</f>
        <v>96000</v>
      </c>
      <c r="I68" s="18">
        <f>ROUND(VLOOKUP($D$2,'Income Limits Definitions'!$A:$C,3,FALSE)*VLOOKUP($A68,NYMTSP!$C:$L,8,FALSE),-2)</f>
        <v>103100</v>
      </c>
      <c r="J68" s="18">
        <f>ROUND(VLOOKUP($D$2,'Income Limits Definitions'!$A:$C,3,FALSE)*VLOOKUP($A68,NYMTSP!$C:$L,9,FALSE),-2)</f>
        <v>110200</v>
      </c>
      <c r="K68" s="19">
        <f>ROUND(VLOOKUP($D$2,'Income Limits Definitions'!$A:$C,3,FALSE)*VLOOKUP($A68,NYMTSP!$C:$L,10,FALSE),-2)</f>
        <v>117300</v>
      </c>
    </row>
    <row r="69" spans="1:11" ht="6" customHeight="1" x14ac:dyDescent="0.2"/>
    <row r="70" spans="1:11" x14ac:dyDescent="0.2">
      <c r="B70" t="str">
        <f>CONCATENATE(RIGHT(NYMTSP!$D$1,4)," median incomes were issued by HUD, and are effective on, 4/1/",RIGHT(NYMTSP!$D$1,4),".")</f>
        <v>2025 median incomes were issued by HUD, and are effective on, 4/1/2025.</v>
      </c>
    </row>
    <row r="71" spans="1:11" x14ac:dyDescent="0.2">
      <c r="B71" t="s">
        <v>164</v>
      </c>
    </row>
    <row r="72" spans="1:11" x14ac:dyDescent="0.2">
      <c r="B72" t="s">
        <v>256</v>
      </c>
    </row>
    <row r="73" spans="1:11" x14ac:dyDescent="0.2">
      <c r="B73" t="s">
        <v>257</v>
      </c>
    </row>
    <row r="74" spans="1:11" x14ac:dyDescent="0.2">
      <c r="B74" t="s">
        <v>165</v>
      </c>
    </row>
  </sheetData>
  <mergeCells count="10">
    <mergeCell ref="B1:K1"/>
    <mergeCell ref="D5:D6"/>
    <mergeCell ref="E5:E6"/>
    <mergeCell ref="F5:F6"/>
    <mergeCell ref="G5:G6"/>
    <mergeCell ref="H5:H6"/>
    <mergeCell ref="I5:I6"/>
    <mergeCell ref="J5:J6"/>
    <mergeCell ref="K5:K6"/>
    <mergeCell ref="D2:K2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'Income Limits Definitions'!$A$1:$A$13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42.83203125" customWidth="1"/>
    <col min="2" max="2" width="21.5" customWidth="1"/>
    <col min="4" max="4" width="16" bestFit="1" customWidth="1"/>
    <col min="5" max="5" width="37.1640625" bestFit="1" customWidth="1"/>
  </cols>
  <sheetData>
    <row r="1" spans="1:7" x14ac:dyDescent="0.2">
      <c r="A1" t="s">
        <v>179</v>
      </c>
      <c r="B1" t="s">
        <v>166</v>
      </c>
      <c r="C1">
        <f>0.375*1.6</f>
        <v>0.60000000000000009</v>
      </c>
      <c r="D1" t="s">
        <v>167</v>
      </c>
      <c r="E1" t="s">
        <v>192</v>
      </c>
      <c r="F1">
        <v>0.3</v>
      </c>
      <c r="G1" t="s">
        <v>168</v>
      </c>
    </row>
    <row r="2" spans="1:7" x14ac:dyDescent="0.2">
      <c r="A2" t="s">
        <v>180</v>
      </c>
      <c r="B2" t="s">
        <v>166</v>
      </c>
      <c r="C2">
        <f>0.625*1.6</f>
        <v>1</v>
      </c>
      <c r="D2" t="s">
        <v>167</v>
      </c>
      <c r="E2" t="s">
        <v>190</v>
      </c>
      <c r="F2">
        <v>0.5</v>
      </c>
      <c r="G2" t="s">
        <v>168</v>
      </c>
    </row>
    <row r="3" spans="1:7" x14ac:dyDescent="0.2">
      <c r="A3" t="s">
        <v>176</v>
      </c>
      <c r="B3" t="s">
        <v>166</v>
      </c>
      <c r="C3">
        <f>0.75*1.6</f>
        <v>1.2000000000000002</v>
      </c>
      <c r="D3" t="s">
        <v>167</v>
      </c>
      <c r="E3" t="s">
        <v>187</v>
      </c>
      <c r="F3">
        <v>0.6</v>
      </c>
      <c r="G3" t="s">
        <v>168</v>
      </c>
    </row>
    <row r="4" spans="1:7" x14ac:dyDescent="0.2">
      <c r="A4" t="s">
        <v>169</v>
      </c>
      <c r="B4" t="s">
        <v>166</v>
      </c>
      <c r="C4">
        <f>1*1.6</f>
        <v>1.6</v>
      </c>
      <c r="D4" t="s">
        <v>167</v>
      </c>
      <c r="E4" t="s">
        <v>191</v>
      </c>
      <c r="F4">
        <f>C4*0.5</f>
        <v>0.8</v>
      </c>
      <c r="G4" t="s">
        <v>168</v>
      </c>
    </row>
    <row r="5" spans="1:7" x14ac:dyDescent="0.2">
      <c r="A5" t="s">
        <v>170</v>
      </c>
      <c r="B5" t="s">
        <v>166</v>
      </c>
      <c r="C5">
        <f>1.12*1.6</f>
        <v>1.7920000000000003</v>
      </c>
      <c r="D5" t="s">
        <v>167</v>
      </c>
      <c r="E5" t="s">
        <v>182</v>
      </c>
      <c r="F5">
        <f t="shared" ref="F5:F10" si="0">C5*0.5</f>
        <v>0.89600000000000013</v>
      </c>
      <c r="G5" t="s">
        <v>168</v>
      </c>
    </row>
    <row r="6" spans="1:7" x14ac:dyDescent="0.2">
      <c r="A6" t="s">
        <v>171</v>
      </c>
      <c r="B6" t="s">
        <v>166</v>
      </c>
      <c r="C6">
        <f>1.2*1.6</f>
        <v>1.92</v>
      </c>
      <c r="D6" t="s">
        <v>167</v>
      </c>
      <c r="E6" t="s">
        <v>181</v>
      </c>
      <c r="F6">
        <f t="shared" si="0"/>
        <v>0.96</v>
      </c>
      <c r="G6" t="s">
        <v>168</v>
      </c>
    </row>
    <row r="7" spans="1:7" x14ac:dyDescent="0.2">
      <c r="A7" t="s">
        <v>297</v>
      </c>
      <c r="B7" t="s">
        <v>166</v>
      </c>
      <c r="C7">
        <f>1.25*1.6</f>
        <v>2</v>
      </c>
      <c r="D7" t="s">
        <v>167</v>
      </c>
      <c r="E7" t="s">
        <v>298</v>
      </c>
      <c r="F7">
        <f>C7*0.5</f>
        <v>1</v>
      </c>
      <c r="G7" t="s">
        <v>168</v>
      </c>
    </row>
    <row r="8" spans="1:7" x14ac:dyDescent="0.2">
      <c r="A8" t="s">
        <v>177</v>
      </c>
      <c r="B8" t="s">
        <v>166</v>
      </c>
      <c r="C8">
        <f>1.563*1.6</f>
        <v>2.5007999999999999</v>
      </c>
      <c r="D8" t="s">
        <v>167</v>
      </c>
      <c r="E8" t="s">
        <v>183</v>
      </c>
      <c r="F8">
        <f>C8*0.5</f>
        <v>1.2504</v>
      </c>
      <c r="G8" t="s">
        <v>168</v>
      </c>
    </row>
    <row r="9" spans="1:7" x14ac:dyDescent="0.2">
      <c r="A9" t="s">
        <v>172</v>
      </c>
      <c r="B9" t="s">
        <v>166</v>
      </c>
      <c r="C9">
        <f>1.37*1.6</f>
        <v>2.1920000000000002</v>
      </c>
      <c r="D9" t="s">
        <v>167</v>
      </c>
      <c r="E9" t="s">
        <v>184</v>
      </c>
      <c r="F9">
        <f t="shared" si="0"/>
        <v>1.0960000000000001</v>
      </c>
      <c r="G9" t="s">
        <v>168</v>
      </c>
    </row>
    <row r="10" spans="1:7" x14ac:dyDescent="0.2">
      <c r="A10" t="s">
        <v>173</v>
      </c>
      <c r="B10" t="s">
        <v>166</v>
      </c>
      <c r="C10">
        <f>1.438*1.6</f>
        <v>2.3008000000000002</v>
      </c>
      <c r="D10" t="s">
        <v>167</v>
      </c>
      <c r="E10" t="s">
        <v>188</v>
      </c>
      <c r="F10">
        <f t="shared" si="0"/>
        <v>1.1504000000000001</v>
      </c>
      <c r="G10" t="s">
        <v>168</v>
      </c>
    </row>
    <row r="11" spans="1:7" x14ac:dyDescent="0.2">
      <c r="A11" t="s">
        <v>174</v>
      </c>
      <c r="B11" t="s">
        <v>166</v>
      </c>
      <c r="C11">
        <f>1.5*1.6</f>
        <v>2.4000000000000004</v>
      </c>
      <c r="D11" t="s">
        <v>167</v>
      </c>
      <c r="E11" t="s">
        <v>185</v>
      </c>
      <c r="F11">
        <f>C11*0.5</f>
        <v>1.2000000000000002</v>
      </c>
      <c r="G11" t="s">
        <v>168</v>
      </c>
    </row>
    <row r="12" spans="1:7" x14ac:dyDescent="0.2">
      <c r="A12" t="s">
        <v>178</v>
      </c>
      <c r="B12" t="s">
        <v>166</v>
      </c>
      <c r="C12">
        <f>1.625*1.6</f>
        <v>2.6</v>
      </c>
      <c r="D12" t="s">
        <v>167</v>
      </c>
      <c r="E12" t="s">
        <v>189</v>
      </c>
      <c r="F12">
        <f>C12*0.5</f>
        <v>1.3</v>
      </c>
      <c r="G12" t="s">
        <v>168</v>
      </c>
    </row>
    <row r="13" spans="1:7" x14ac:dyDescent="0.2">
      <c r="A13" t="s">
        <v>175</v>
      </c>
      <c r="B13" t="s">
        <v>166</v>
      </c>
      <c r="C13">
        <f>1.66*1.6</f>
        <v>2.6560000000000001</v>
      </c>
      <c r="D13" t="s">
        <v>167</v>
      </c>
      <c r="E13" t="s">
        <v>186</v>
      </c>
      <c r="F13">
        <f>C13*0.5</f>
        <v>1.3280000000000001</v>
      </c>
      <c r="G13" t="s">
        <v>168</v>
      </c>
    </row>
  </sheetData>
  <sortState xmlns:xlrd2="http://schemas.microsoft.com/office/spreadsheetml/2017/richdata2" ref="A4:G16">
    <sortCondition ref="F4:F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c3c7df-cbe1-4b43-9784-bcd544130947">
      <Terms xmlns="http://schemas.microsoft.com/office/infopath/2007/PartnerControls"/>
    </lcf76f155ced4ddcb4097134ff3c332f>
    <TaxCatchAll xmlns="0aae6c51-6a4b-49f0-b837-2844d160e0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6BCF5F66560A468A870D6631E2A37C" ma:contentTypeVersion="14" ma:contentTypeDescription="Create a new document." ma:contentTypeScope="" ma:versionID="23979b0c53f3d0964624d6eb458b1e6a">
  <xsd:schema xmlns:xsd="http://www.w3.org/2001/XMLSchema" xmlns:xs="http://www.w3.org/2001/XMLSchema" xmlns:p="http://schemas.microsoft.com/office/2006/metadata/properties" xmlns:ns2="0dc3c7df-cbe1-4b43-9784-bcd544130947" xmlns:ns3="0aae6c51-6a4b-49f0-b837-2844d160e095" targetNamespace="http://schemas.microsoft.com/office/2006/metadata/properties" ma:root="true" ma:fieldsID="abc8992b59fec0e2d4924b340e01437c" ns2:_="" ns3:_="">
    <xsd:import namespace="0dc3c7df-cbe1-4b43-9784-bcd544130947"/>
    <xsd:import namespace="0aae6c51-6a4b-49f0-b837-2844d160e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3c7df-cbe1-4b43-9784-bcd544130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6c51-6a4b-49f0-b837-2844d160e0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ca9a56d-c583-4f69-8500-01a9e706e073}" ma:internalName="TaxCatchAll" ma:showField="CatchAllData" ma:web="0aae6c51-6a4b-49f0-b837-2844d160e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A44E4A-F0F1-4678-9691-6940CE8B89F8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0aae6c51-6a4b-49f0-b837-2844d160e095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dc3c7df-cbe1-4b43-9784-bcd54413094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4BB3D4-751D-454B-B061-E5478E0F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c3c7df-cbe1-4b43-9784-bcd544130947"/>
    <ds:schemaRef ds:uri="0aae6c51-6a4b-49f0-b837-2844d160e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757FFF-9E43-46EA-B660-65058F0CA5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NYMTSP</vt:lpstr>
      <vt:lpstr>Income Limits Table</vt:lpstr>
      <vt:lpstr>Income Limits Definitions</vt:lpstr>
    </vt:vector>
  </TitlesOfParts>
  <Manager/>
  <Company>NYSHCR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Wetzler</dc:creator>
  <cp:keywords/>
  <dc:description/>
  <cp:lastModifiedBy>Baron Carr</cp:lastModifiedBy>
  <cp:revision/>
  <dcterms:created xsi:type="dcterms:W3CDTF">2021-09-15T14:42:47Z</dcterms:created>
  <dcterms:modified xsi:type="dcterms:W3CDTF">2025-11-24T13:33:47Z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0x010100EF6BCF5F66560A468A870D6631E2A37C</vt:lpwstr>
  </property>
  <property fmtid="{D5CDD505-2E9C-101B-9397-08002B2CF9AE}" pid="3" name="MediaServiceImageTags">
    <vt:lpwstr/>
  </property>
</Properties>
</file>